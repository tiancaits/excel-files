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tabRatio="939"/>
  </bookViews>
  <sheets>
    <sheet name="目录" sheetId="5" r:id="rId1"/>
    <sheet name="预配船期表" sheetId="110" r:id="rId2"/>
    <sheet name="卡派FBA价格速查指引" sheetId="129" state="hidden" r:id="rId3"/>
    <sheet name="价格汇总" sheetId="132" state="hidden" r:id="rId4"/>
    <sheet name="美国海派总表" sheetId="63" r:id="rId5"/>
    <sheet name="美森正班卡派" sheetId="89" r:id="rId6"/>
    <sheet name="美森MAX卡派" sheetId="109" r:id="rId7"/>
    <sheet name="EXX卡派" sheetId="127" r:id="rId8"/>
    <sheet name="盐田以星南沙合德限时达卡派" sheetId="118" r:id="rId9"/>
    <sheet name="盐田以星南沙合德DG限时达卡派" sheetId="134" r:id="rId10"/>
    <sheet name="义乌合德以星限时达卡派" sheetId="133" r:id="rId11"/>
    <sheet name="盐田以星南沙合德普提卡派" sheetId="136" state="hidden" r:id="rId12"/>
    <sheet name="普船洛杉矶卡派" sheetId="115" r:id="rId13"/>
    <sheet name="美西特惠卡派" sheetId="123" state="hidden" r:id="rId14"/>
    <sheet name="DG洛杉矶卡派" sheetId="135" r:id="rId15"/>
    <sheet name="普船芝加哥卡派" sheetId="108" state="hidden" r:id="rId16"/>
    <sheet name="普船纽约卡派" sheetId="112" r:id="rId17"/>
    <sheet name="普船萨凡纳卡派" sheetId="116" r:id="rId18"/>
    <sheet name="赔偿说明" sheetId="93" r:id="rId19"/>
    <sheet name="注意事项" sheetId="98" r:id="rId20"/>
    <sheet name="海外仓收费明细" sheetId="105" r:id="rId21"/>
    <sheet name="FBA仓库邮编对照表" sheetId="52" r:id="rId22"/>
    <sheet name="交接清单" sheetId="9" r:id="rId23"/>
    <sheet name="禁运品反倾销及特殊监管产品" sheetId="125" r:id="rId24"/>
    <sheet name="美国对华反倾销产品目录" sheetId="126" r:id="rId25"/>
    <sheet name="下单发票模板" sheetId="128" r:id="rId26"/>
    <sheet name="Sheet2" sheetId="131" r:id="rId27"/>
  </sheets>
  <externalReferences>
    <externalReference r:id="rId29"/>
    <externalReference r:id="rId30"/>
    <externalReference r:id="rId31"/>
  </externalReferences>
  <definedNames>
    <definedName name="FBA仓库代码">[1]亚马逊地址库!$C$2:$C$428</definedName>
    <definedName name="城市">[1]亚马逊地址库!$K$2:$K$428</definedName>
    <definedName name="地址编码">[1]亚马逊地址库!$B$2:$B$428</definedName>
    <definedName name="地址二">[1]亚马逊地址库!$I$2:$I$428</definedName>
    <definedName name="地址简称">[1]亚马逊地址库!$A$2:$A$428</definedName>
    <definedName name="地址三">[1]亚马逊地址库!$J$2:$J$428</definedName>
    <definedName name="地址一">[1]亚马逊地址库!$H$2:$H$428</definedName>
    <definedName name="公司名">[1]亚马逊地址库!$E$2:$E$428</definedName>
    <definedName name="国家">[1]亚马逊地址库!$M$2:$M$428</definedName>
    <definedName name="联系电话">[1]亚马逊地址库!$F$2:$F$428</definedName>
    <definedName name="联系人">[1]亚马逊地址库!$D$2:$D$428</definedName>
    <definedName name="联系手机">[1]亚马逊地址库!$G$2:$G$428</definedName>
    <definedName name="渠道">OFFSET([1]亚马逊地址库!$O$1,1,,COUNTA([1]亚马逊地址库!$O$1:$O$65536)-1,1)</definedName>
    <definedName name="省_洲">[1]亚马逊地址库!$L$2:$L$428</definedName>
    <definedName name="邮编">[1]亚马逊地址库!$N$2:$N$428</definedName>
    <definedName name="\0">#REF!</definedName>
    <definedName name="_Loc11">[3]Request!$M$135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3" authorId="0">
      <text>
        <r>
          <rPr>
            <b/>
            <u/>
            <sz val="10"/>
            <rFont val="微软雅黑"/>
            <charset val="134"/>
          </rPr>
          <t>仅限这里输入</t>
        </r>
      </text>
    </comment>
    <comment ref="A11" authorId="0">
      <text>
        <r>
          <rPr>
            <b/>
            <sz val="10"/>
            <rFont val="微软雅黑"/>
            <charset val="134"/>
          </rPr>
          <t>这里不能输入</t>
        </r>
      </text>
    </comment>
  </commentList>
</comments>
</file>

<file path=xl/comments2.xml><?xml version="1.0" encoding="utf-8"?>
<comments xmlns="http://schemas.openxmlformats.org/spreadsheetml/2006/main">
  <authors>
    <author>sunpe</author>
    <author>孙鹏程</author>
  </authors>
  <commentList>
    <comment ref="A1" authorId="0">
      <text>
        <r>
          <rPr>
            <sz val="9"/>
            <rFont val="宋体"/>
            <charset val="134"/>
          </rPr>
          <t xml:space="preserve">填写您货物的箱唛单号
</t>
        </r>
      </text>
    </comment>
    <comment ref="A3" authorId="0">
      <text>
        <r>
          <rPr>
            <sz val="9"/>
            <rFont val="宋体"/>
            <charset val="134"/>
          </rPr>
          <t>非表价做的亚马逊地址，海外仓商业地址或私人地址卡派，填写（私人地址），即可下单</t>
        </r>
      </text>
    </comment>
    <comment ref="B3" authorId="1">
      <text>
        <r>
          <rPr>
            <b/>
            <sz val="9"/>
            <rFont val="宋体"/>
            <charset val="134"/>
          </rPr>
          <t>Number1:
卡派表价服务的仓库
必须填写地址库编码才可以正常下单</t>
        </r>
      </text>
    </comment>
    <comment ref="B6" authorId="1">
      <text>
        <r>
          <rPr>
            <b/>
            <sz val="9"/>
            <rFont val="宋体"/>
            <charset val="134"/>
          </rPr>
          <t xml:space="preserve">Number1:
收件地址内含有函数
如函数消失
请使用新的模板
</t>
        </r>
      </text>
    </comment>
    <comment ref="B9" authorId="1">
      <text>
        <r>
          <rPr>
            <b/>
            <sz val="9"/>
            <rFont val="宋体"/>
            <charset val="134"/>
          </rPr>
          <t>Number1:
海派需填写正确的城市名</t>
        </r>
      </text>
    </comment>
    <comment ref="B10" authorId="1">
      <text>
        <r>
          <rPr>
            <b/>
            <sz val="9"/>
            <rFont val="宋体"/>
            <charset val="134"/>
          </rPr>
          <t>Number1:
海派需填写正确的州
名</t>
        </r>
      </text>
    </comment>
    <comment ref="B15" authorId="1">
      <text>
        <r>
          <rPr>
            <b/>
            <sz val="9"/>
            <rFont val="宋体"/>
            <charset val="134"/>
          </rPr>
          <t>Number1:
是否报关需正确填写</t>
        </r>
      </text>
    </comment>
    <comment ref="A17" authorId="0">
      <text>
        <r>
          <rPr>
            <sz val="9"/>
            <rFont val="宋体"/>
            <charset val="134"/>
          </rPr>
          <t>您可以在这里备注您的交货时间，或报关事宜。</t>
        </r>
      </text>
    </comment>
    <comment ref="H18" authorId="0">
      <text>
        <r>
          <rPr>
            <sz val="9"/>
            <rFont val="宋体"/>
            <charset val="134"/>
          </rPr>
          <t>此产品单个的单价</t>
        </r>
      </text>
    </comment>
    <comment ref="I18" authorId="0">
      <text>
        <r>
          <rPr>
            <sz val="9"/>
            <rFont val="宋体"/>
            <charset val="134"/>
          </rPr>
          <t>单个包裹产品装箱数量</t>
        </r>
      </text>
    </comment>
    <comment ref="P18" authorId="0">
      <text>
        <r>
          <rPr>
            <sz val="9"/>
            <rFont val="宋体"/>
            <charset val="134"/>
          </rPr>
          <t>PONumber 是指填写亚马逊“货件追踪编号”</t>
        </r>
      </text>
    </comment>
    <comment ref="Q18" authorId="0">
      <text>
        <r>
          <rPr>
            <b/>
            <sz val="9"/>
            <rFont val="宋体"/>
            <charset val="134"/>
          </rPr>
          <t>sunpe:</t>
        </r>
        <r>
          <rPr>
            <sz val="9"/>
            <rFont val="宋体"/>
            <charset val="134"/>
          </rPr>
          <t xml:space="preserve">
1.图片要使用悬浮图片完全保持在单元格内
2.每一行都需要填写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<sst xmlns="http://schemas.openxmlformats.org/spreadsheetml/2006/main" count="3480" uniqueCount="1599">
  <si>
    <t>深圳市商速航供应链有限公司</t>
  </si>
  <si>
    <t>区域</t>
  </si>
  <si>
    <t>渠道名称</t>
  </si>
  <si>
    <t>链接价格</t>
  </si>
  <si>
    <t>派送方式</t>
  </si>
  <si>
    <t>渠道优势简介</t>
  </si>
  <si>
    <t>价格动态</t>
  </si>
  <si>
    <t>执行日期</t>
  </si>
  <si>
    <t>美国海运
(卡派)</t>
  </si>
  <si>
    <t>美森正班-卡派</t>
  </si>
  <si>
    <t>点击进入</t>
  </si>
  <si>
    <t>卡车派</t>
  </si>
  <si>
    <t>预计时效：最快13-22个自然日入仓,热门仓有时效延误理赔！</t>
  </si>
  <si>
    <t>上调</t>
  </si>
  <si>
    <t>美森MAX-卡派</t>
  </si>
  <si>
    <t>预计时效：最快14-24个自然日入仓,热门仓有时效延误理赔！</t>
  </si>
  <si>
    <t>快船EXX-卡派</t>
  </si>
  <si>
    <t>盐田以星南沙合德限时达卡派</t>
  </si>
  <si>
    <t>预计时效：最快18-25个自然日入仓.热门仓有时效延误理赔！</t>
  </si>
  <si>
    <t>义乌合德以星限时达卡派</t>
  </si>
  <si>
    <t>普船洛杉矶-卡派</t>
  </si>
  <si>
    <t>洛杉矶拆柜-南加州FBA仓库价格优惠,组合仓点大幅调整</t>
  </si>
  <si>
    <t>普船纽约-卡派</t>
  </si>
  <si>
    <t>纽约拆柜-美东及周边仓库价格实惠</t>
  </si>
  <si>
    <t>普船萨凡纳-卡派</t>
  </si>
  <si>
    <t>萨凡纳拆柜-美东南附近FBA仓库及GA周边仓点最优选择</t>
  </si>
  <si>
    <t>美国海运
(快递派)</t>
  </si>
  <si>
    <t>美森正班-海派</t>
  </si>
  <si>
    <t>FEDEX/UPS派</t>
  </si>
  <si>
    <t>预计提取时间:开船后12-15天提取，超时提取有赔付.</t>
  </si>
  <si>
    <t>美森加班-海派</t>
  </si>
  <si>
    <t>预计提取时间:开船后13-16天提取，超时提取有赔付.</t>
  </si>
  <si>
    <t>快船EXX-海派</t>
  </si>
  <si>
    <t>预计提取时间:开船后14-18天提取，超时提取有赔付.</t>
  </si>
  <si>
    <t>义乌合德以星限时达海派</t>
  </si>
  <si>
    <t>普船洛杉矶-海派</t>
  </si>
  <si>
    <t>预计提取时间:开船后20-25天提取.</t>
  </si>
  <si>
    <t>预配船期表</t>
  </si>
  <si>
    <t>——</t>
  </si>
  <si>
    <t>海运各渠道预配当周及下一周对应船期表.</t>
  </si>
  <si>
    <t>海外仓</t>
  </si>
  <si>
    <t>海外仓收费明细</t>
  </si>
  <si>
    <t>综合</t>
  </si>
  <si>
    <t>自营海外仓综合服务，一件代发价格单询；</t>
  </si>
  <si>
    <t>其它</t>
  </si>
  <si>
    <t>注意事项</t>
  </si>
  <si>
    <t>出货前请详细查阅</t>
  </si>
  <si>
    <t>赔偿说明</t>
  </si>
  <si>
    <t>专线出货资料模版</t>
  </si>
  <si>
    <t>根据渠道仓点变化会不定期更新</t>
  </si>
  <si>
    <t>FBA仓库邮编地址对照表</t>
  </si>
  <si>
    <t>亚马逊仓点会不定期新增或关闭</t>
  </si>
  <si>
    <t>交接清单模版</t>
  </si>
  <si>
    <t>可用任意签名盖章的交接清单</t>
  </si>
  <si>
    <t>禁运品反倾销及特殊监管产品</t>
  </si>
  <si>
    <t>美线接货原则，相关产品需要资质认证大体明细</t>
  </si>
  <si>
    <t>美国对华反倾销产品目录表</t>
  </si>
  <si>
    <t>美国对于反倾销产品的归类会不定期更新,以实际出货清关为准!</t>
  </si>
  <si>
    <t>特别提示:如客户一旦同意接受我司服务，我司将默认为客户已详细阅读过此价格表内所有备注条款内容，并接受各条款的约束，严格按照备注条款内容执行!</t>
  </si>
  <si>
    <t>货物下单网址：http://shangs.nextsls.com/wos</t>
  </si>
  <si>
    <t>中性查件网址：http://tracking.nextsls.com/trace?app=607444a03aff974cf203c187</t>
  </si>
  <si>
    <t>特别提示：各代理，交货前请下单备好交接清单明细并签名盖章，谢谢配合！</t>
  </si>
  <si>
    <t>福永仓库地址：深圳市宝安区福海街道福园一路高新建工业区一楼商速航供应链(岗亭直走到底最里面左手边) （导航：商速航福永仓）  
联系人：陆先生：15677767671（紧急联系人李先生：15625507507)
收货时间：周一至周六上午9:00~晚上21:00</t>
  </si>
  <si>
    <t>龙华仓库地址：深圳市龙华区福城街道福民社区富康工业区A2栋厂房1楼（商速航龙华仓）
联系人：党先生：15591381931
收货时间：周一至周六12:00~24:00</t>
  </si>
  <si>
    <t>义乌仓库地址：浙江省金华市义乌市义乌京东亚洲一号物流园祥瑞路3号门进来右手边上天桥二楼开到头右手边4号库（导航：4栋2楼4号商速航义乌仓） 
晚班-联系人：钱先生 电话：18386399460（晚班）
早班-联系人：蔡先生 18083572991（早班）
收货时间：周一至周六上午9:00~晚上21:00</t>
  </si>
  <si>
    <t>广州仓地址：广东省广州市白云区狮子岭路35号四横路同星空间A101室
联系人：徐生 13376654475
联系人：李生 19128676486
联系人：袁生 19124276567
收货时间：周一至周六12:00~21:00</t>
  </si>
  <si>
    <t>厦门仓库地址：厦门市湖里区渔港中路18号自贸园12号仓（进门左前方）导航搜索：天鹰快运（厦门中心）
电话：0592-5738618 
电话：0592-5738628
联系人：张友 13950174628
收货时间：周一至周六9:00~22:00</t>
  </si>
  <si>
    <t>泉州仓库地址：泉州市晋江池店镇凤池路凤池路鸿运物流城天鹰快运
电话:0595-22594288
0595-22429199
联系人：黄小姐 13850700342
收货时间：周一至周六9:00~22:00</t>
  </si>
  <si>
    <t>福州收货地址：福州晓峰驾驶员培训有限公司（通鹤路东）
联系人：黄强强 19196240796
收货时间：周一至周六10:00~21:00</t>
  </si>
  <si>
    <r>
      <rPr>
        <b/>
        <sz val="12"/>
        <color rgb="FFFF0000"/>
        <rFont val="微软雅黑"/>
        <charset val="134"/>
      </rPr>
      <t xml:space="preserve">美森/义乌普船报关行 </t>
    </r>
    <r>
      <rPr>
        <b/>
        <sz val="12"/>
        <rFont val="微软雅黑"/>
        <charset val="134"/>
      </rPr>
      <t xml:space="preserve">
义乌市欣扬报关代理有限公司 33189800E6 
离境口岸 (310703) ：上海外高桥保税区   出境关别 (2225)：外港海关</t>
    </r>
  </si>
  <si>
    <r>
      <rPr>
        <b/>
        <sz val="12"/>
        <color rgb="FFFF0000"/>
        <rFont val="微软雅黑"/>
        <charset val="134"/>
      </rPr>
      <t>盐田渠道报关件委托报关行更新：</t>
    </r>
    <r>
      <rPr>
        <b/>
        <sz val="12"/>
        <rFont val="微软雅黑"/>
        <charset val="134"/>
      </rPr>
      <t xml:space="preserve">
</t>
    </r>
    <r>
      <rPr>
        <b/>
        <sz val="12"/>
        <color rgb="FFFF0000"/>
        <rFont val="微软雅黑"/>
        <charset val="134"/>
      </rPr>
      <t xml:space="preserve">深圳普船 以星 盐田出   报关行请委托以下报关行
</t>
    </r>
    <r>
      <rPr>
        <b/>
        <sz val="12"/>
        <rFont val="微软雅黑"/>
        <charset val="134"/>
      </rPr>
      <t>深圳市友缘国际物流有限公司 4403980C4Q</t>
    </r>
    <r>
      <rPr>
        <b/>
        <sz val="12"/>
        <color rgb="FFFF0000"/>
        <rFont val="微软雅黑"/>
        <charset val="134"/>
      </rPr>
      <t xml:space="preserve">
</t>
    </r>
    <r>
      <rPr>
        <b/>
        <sz val="12"/>
        <rFont val="微软雅黑"/>
        <charset val="134"/>
      </rPr>
      <t>离境口岸：盐田（470601） 出境关别（：大鹏海关 （5316）</t>
    </r>
  </si>
  <si>
    <r>
      <rPr>
        <b/>
        <sz val="28"/>
        <color theme="1"/>
        <rFont val="微软雅黑"/>
        <charset val="134"/>
      </rPr>
      <t xml:space="preserve">商速航美国海运装柜计划
</t>
    </r>
    <r>
      <rPr>
        <b/>
        <sz val="28"/>
        <color rgb="FFFF0000"/>
        <rFont val="微软雅黑"/>
        <charset val="134"/>
      </rPr>
      <t>(4月1日-4月7日)</t>
    </r>
  </si>
  <si>
    <t>渠道</t>
  </si>
  <si>
    <t>起运港</t>
  </si>
  <si>
    <t>目的港</t>
  </si>
  <si>
    <t>船名航次</t>
  </si>
  <si>
    <r>
      <rPr>
        <b/>
        <sz val="16"/>
        <color theme="0"/>
        <rFont val="微软雅黑"/>
        <charset val="134"/>
      </rPr>
      <t xml:space="preserve">ETD
</t>
    </r>
    <r>
      <rPr>
        <b/>
        <sz val="11"/>
        <color rgb="FFFF0000"/>
        <rFont val="微软雅黑"/>
        <charset val="134"/>
      </rPr>
      <t>以实际开船为准</t>
    </r>
  </si>
  <si>
    <r>
      <rPr>
        <b/>
        <sz val="16"/>
        <color theme="0"/>
        <rFont val="微软雅黑"/>
        <charset val="134"/>
      </rPr>
      <t xml:space="preserve">ETA
</t>
    </r>
    <r>
      <rPr>
        <b/>
        <sz val="11"/>
        <color rgb="FFFF0000"/>
        <rFont val="微软雅黑"/>
        <charset val="134"/>
      </rPr>
      <t>以实际到港为准</t>
    </r>
  </si>
  <si>
    <r>
      <rPr>
        <b/>
        <sz val="16"/>
        <color theme="0"/>
        <rFont val="微软雅黑"/>
        <charset val="134"/>
      </rPr>
      <t xml:space="preserve">截单时间
</t>
    </r>
    <r>
      <rPr>
        <b/>
        <sz val="11"/>
        <color rgb="FFFF0000"/>
        <rFont val="微软雅黑"/>
        <charset val="134"/>
      </rPr>
      <t>收满提前截单</t>
    </r>
  </si>
  <si>
    <t>预计装柜时间</t>
  </si>
  <si>
    <t>预计最晚装柜时间</t>
  </si>
  <si>
    <t>剩余舱位/CBM</t>
  </si>
  <si>
    <r>
      <rPr>
        <sz val="14"/>
        <color theme="1"/>
        <rFont val="微软雅黑"/>
        <charset val="134"/>
      </rPr>
      <t xml:space="preserve">美森限时达CLX
</t>
    </r>
    <r>
      <rPr>
        <sz val="14"/>
        <color rgb="FFFF0000"/>
        <rFont val="微软雅黑"/>
        <charset val="134"/>
      </rPr>
      <t>深圳装柜</t>
    </r>
  </si>
  <si>
    <t>上海</t>
  </si>
  <si>
    <t>长滩</t>
  </si>
  <si>
    <t>MATSON WAIKIKI 023E</t>
  </si>
  <si>
    <t>周六</t>
  </si>
  <si>
    <t>周日</t>
  </si>
  <si>
    <t>仓位充足</t>
  </si>
  <si>
    <r>
      <rPr>
        <sz val="14"/>
        <color theme="1"/>
        <rFont val="微软雅黑"/>
        <charset val="134"/>
      </rPr>
      <t xml:space="preserve">美森限时达CLX
</t>
    </r>
    <r>
      <rPr>
        <sz val="14"/>
        <color rgb="FFFF0000"/>
        <rFont val="微软雅黑"/>
        <charset val="134"/>
      </rPr>
      <t>义乌装柜</t>
    </r>
  </si>
  <si>
    <t>周一</t>
  </si>
  <si>
    <r>
      <rPr>
        <sz val="14"/>
        <color theme="1"/>
        <rFont val="微软雅黑"/>
        <charset val="134"/>
      </rPr>
      <t xml:space="preserve">美森加班MAX
</t>
    </r>
    <r>
      <rPr>
        <sz val="14"/>
        <color rgb="FFFF0000"/>
        <rFont val="微软雅黑"/>
        <charset val="134"/>
      </rPr>
      <t>深圳装柜</t>
    </r>
  </si>
  <si>
    <t>MANUKAI 254E</t>
  </si>
  <si>
    <r>
      <rPr>
        <sz val="14"/>
        <color theme="1"/>
        <rFont val="微软雅黑"/>
        <charset val="134"/>
      </rPr>
      <t xml:space="preserve">美森加班MAX
</t>
    </r>
    <r>
      <rPr>
        <sz val="14"/>
        <color rgb="FFFF0000"/>
        <rFont val="微软雅黑"/>
        <charset val="134"/>
      </rPr>
      <t>义乌装柜</t>
    </r>
  </si>
  <si>
    <t>周二</t>
  </si>
  <si>
    <r>
      <rPr>
        <sz val="14"/>
        <color theme="1"/>
        <rFont val="微软雅黑"/>
        <charset val="134"/>
      </rPr>
      <t>JF美森加班MAX
深圳</t>
    </r>
    <r>
      <rPr>
        <sz val="14"/>
        <color rgb="FFFF0000"/>
        <rFont val="微软雅黑"/>
        <charset val="134"/>
      </rPr>
      <t>装柜</t>
    </r>
  </si>
  <si>
    <t>宁波</t>
  </si>
  <si>
    <t>周六下午六点福永截</t>
  </si>
  <si>
    <r>
      <rPr>
        <sz val="14"/>
        <color theme="1"/>
        <rFont val="微软雅黑"/>
        <charset val="134"/>
      </rPr>
      <t xml:space="preserve">EXX 快船
</t>
    </r>
    <r>
      <rPr>
        <sz val="14"/>
        <color rgb="FFFF0000"/>
        <rFont val="微软雅黑"/>
        <charset val="134"/>
      </rPr>
      <t>深圳装柜</t>
    </r>
  </si>
  <si>
    <t>洛杉矶</t>
  </si>
  <si>
    <t>CMA CGM SWORDFISH 0GVMCE1MA</t>
  </si>
  <si>
    <r>
      <rPr>
        <sz val="14"/>
        <color theme="1"/>
        <rFont val="微软雅黑"/>
        <charset val="134"/>
      </rPr>
      <t xml:space="preserve">EXX 快船
</t>
    </r>
    <r>
      <rPr>
        <sz val="14"/>
        <color rgb="FFFF0000"/>
        <rFont val="微软雅黑"/>
        <charset val="134"/>
      </rPr>
      <t>义乌装柜</t>
    </r>
  </si>
  <si>
    <r>
      <rPr>
        <sz val="14"/>
        <color theme="1"/>
        <rFont val="微软雅黑"/>
        <charset val="134"/>
      </rPr>
      <t xml:space="preserve">JFEXX 快船
</t>
    </r>
    <r>
      <rPr>
        <sz val="14"/>
        <color rgb="FFFF0000"/>
        <rFont val="微软雅黑"/>
        <charset val="134"/>
      </rPr>
      <t>深圳装柜</t>
    </r>
  </si>
  <si>
    <r>
      <rPr>
        <sz val="14"/>
        <color theme="1"/>
        <rFont val="微软雅黑"/>
        <charset val="134"/>
      </rPr>
      <t xml:space="preserve">盐田以星南沙合德限时达
</t>
    </r>
    <r>
      <rPr>
        <sz val="14"/>
        <color rgb="FFFF0000"/>
        <rFont val="微软雅黑"/>
        <charset val="134"/>
      </rPr>
      <t>交货深圳/广州 统配</t>
    </r>
  </si>
  <si>
    <t>盐田</t>
  </si>
  <si>
    <t>NESTOS 15E</t>
  </si>
  <si>
    <t>南沙</t>
  </si>
  <si>
    <t>HELGOLAND 2603E</t>
  </si>
  <si>
    <r>
      <rPr>
        <sz val="14"/>
        <color theme="1"/>
        <rFont val="微软雅黑"/>
        <charset val="134"/>
      </rPr>
      <t xml:space="preserve">义乌合德/以星 </t>
    </r>
    <r>
      <rPr>
        <sz val="14"/>
        <color rgb="FFFF0000"/>
        <rFont val="微软雅黑"/>
        <charset val="134"/>
      </rPr>
      <t>统配</t>
    </r>
    <r>
      <rPr>
        <sz val="14"/>
        <color theme="1"/>
        <rFont val="微软雅黑"/>
        <charset val="134"/>
      </rPr>
      <t xml:space="preserve">
</t>
    </r>
    <r>
      <rPr>
        <sz val="14"/>
        <color rgb="FFFF0000"/>
        <rFont val="微软雅黑"/>
        <charset val="134"/>
      </rPr>
      <t>交货深圳/广州/义乌装柜</t>
    </r>
  </si>
  <si>
    <t>DORIS OCEAN 2603E</t>
  </si>
  <si>
    <t>ZIM ALBATROSS 13E</t>
  </si>
  <si>
    <t>盐田普船OA</t>
  </si>
  <si>
    <t>COSCO SHIPPING PANAMA 003E</t>
  </si>
  <si>
    <t>周五</t>
  </si>
  <si>
    <t>OOCL ATLANTA 172E</t>
  </si>
  <si>
    <r>
      <rPr>
        <sz val="14"/>
        <color theme="1"/>
        <rFont val="微软雅黑"/>
        <charset val="134"/>
      </rPr>
      <t xml:space="preserve">义乌普船                           </t>
    </r>
    <r>
      <rPr>
        <sz val="14"/>
        <color rgb="FFFF0000"/>
        <rFont val="微软雅黑"/>
        <charset val="134"/>
      </rPr>
      <t>深圳装柜-循环装柜</t>
    </r>
  </si>
  <si>
    <t>义乌</t>
  </si>
  <si>
    <t>COSCO ITALY 081E</t>
  </si>
  <si>
    <r>
      <rPr>
        <sz val="14"/>
        <color theme="1"/>
        <rFont val="微软雅黑"/>
        <charset val="134"/>
      </rPr>
      <t xml:space="preserve">义乌普船                           </t>
    </r>
    <r>
      <rPr>
        <sz val="14"/>
        <color rgb="FFFF0000"/>
        <rFont val="微软雅黑"/>
        <charset val="134"/>
      </rPr>
      <t>义乌装柜-循环装柜</t>
    </r>
  </si>
  <si>
    <t>CSCL EAST CHINA SEA 076E</t>
  </si>
  <si>
    <t>EVER LASTING 1215-092E</t>
  </si>
  <si>
    <t>纽约海卡</t>
  </si>
  <si>
    <t>纽约</t>
  </si>
  <si>
    <t>COSCO SHIPPING ORCHID 033E</t>
  </si>
  <si>
    <t>周三</t>
  </si>
  <si>
    <t>萨凡纳海卡</t>
  </si>
  <si>
    <t>萨凡纳</t>
  </si>
  <si>
    <t>EVER FOND 1260-022E</t>
  </si>
  <si>
    <r>
      <rPr>
        <sz val="14"/>
        <color theme="1"/>
        <rFont val="微软雅黑"/>
        <charset val="134"/>
      </rPr>
      <t>纽约</t>
    </r>
    <r>
      <rPr>
        <sz val="14"/>
        <color rgb="FFFF0000"/>
        <rFont val="微软雅黑"/>
        <charset val="134"/>
      </rPr>
      <t>（两水统配）</t>
    </r>
  </si>
  <si>
    <t>OOCL LAVENDER 002E</t>
  </si>
  <si>
    <t>EVER MAGI 1353-012E</t>
  </si>
  <si>
    <r>
      <rPr>
        <sz val="14"/>
        <color theme="1"/>
        <rFont val="微软雅黑"/>
        <charset val="134"/>
      </rPr>
      <t>萨凡纳</t>
    </r>
    <r>
      <rPr>
        <sz val="14"/>
        <color rgb="FFFF0000"/>
        <rFont val="微软雅黑"/>
        <charset val="134"/>
      </rPr>
      <t>（两水统配）</t>
    </r>
  </si>
  <si>
    <t>船期来自船司官网，最终船司可能会有调整，包括但不仅限于出现延期或者空班等情况，最终时效以实际开船和到港时间为准！</t>
  </si>
  <si>
    <t>输入仓码</t>
  </si>
  <si>
    <t>深圳/广州交货价</t>
  </si>
  <si>
    <t>义乌交货价</t>
  </si>
  <si>
    <t>入仓参考时效
（开船后次日起算）</t>
  </si>
  <si>
    <t>按方含税(2CBM+)</t>
  </si>
  <si>
    <t>包税(12KG+)</t>
  </si>
  <si>
    <t>包税(51KG+)</t>
  </si>
  <si>
    <t>包税(300KG+)</t>
  </si>
  <si>
    <t>SCK8</t>
  </si>
  <si>
    <t>美森正班卡派</t>
  </si>
  <si>
    <t>美森MAX卡派</t>
  </si>
  <si>
    <t>EXX卡派</t>
  </si>
  <si>
    <t>美西限时达卡派</t>
  </si>
  <si>
    <t>普船洛杉矶卡派</t>
  </si>
  <si>
    <t>美西特惠卡派</t>
  </si>
  <si>
    <t>专仓直送(深圳/广州交货价)</t>
  </si>
  <si>
    <t>专仓直送(义乌交货价)</t>
  </si>
  <si>
    <t>按方含税(1CBM+)</t>
  </si>
  <si>
    <t>包税(100KG+)</t>
  </si>
  <si>
    <t>普船奥克兰卡派</t>
  </si>
  <si>
    <t>普船芝加哥卡派</t>
  </si>
  <si>
    <t>普船纽约卡派</t>
  </si>
  <si>
    <t>普船萨凡纳卡派</t>
  </si>
  <si>
    <t>分区/重量</t>
  </si>
  <si>
    <t>深圳/广州交货</t>
  </si>
  <si>
    <t>义乌交货</t>
  </si>
  <si>
    <t>12KG+</t>
  </si>
  <si>
    <t>51KG+</t>
  </si>
  <si>
    <t>100KG+</t>
  </si>
  <si>
    <t>12KG+（系数）</t>
  </si>
  <si>
    <t>51KG+（系数）</t>
  </si>
  <si>
    <t>深圳和义乌系数</t>
  </si>
  <si>
    <t>SSH美森正班-海派</t>
  </si>
  <si>
    <t>美西 
 (邮编8,9开头)</t>
  </si>
  <si>
    <t>美中
(邮编4,5,6,7开头)</t>
  </si>
  <si>
    <t>美东
(邮编0,1,2,3开头)</t>
  </si>
  <si>
    <t>SSH美森MAX-海派</t>
  </si>
  <si>
    <t>SSH快船EXX-海派</t>
  </si>
  <si>
    <t>SSH以星限时达海派&amp;长荣定提海派&amp;义乌合德限时达-海派</t>
  </si>
  <si>
    <t>SSH义乌合德以星限时达-海派</t>
  </si>
  <si>
    <t>SSH普船洛杉矶-海派</t>
  </si>
  <si>
    <t>SSH美森正班卡派</t>
  </si>
  <si>
    <t>仓库代码</t>
  </si>
  <si>
    <t>ONT8/LGB8/LAX9/SBD1/IUSP IUSQ/IUSJ/POC1/POC2/POC3</t>
  </si>
  <si>
    <t>SNA4/SBD2/LGB4/LGB6
XLX7/IUTI/IUSW/PSP3</t>
  </si>
  <si>
    <t>SMF3/SCK4/LAS1/GYR2/GYR3 MIT2/VGT2/GEU2/GEU3/GEU5 HLI2/TCY2/TCY1/SCK8/SMF6 OAK3/MCE1/LAS6/SJC7/FAT2 PHX5/PHX7/IUTE</t>
  </si>
  <si>
    <t>ABQ2/QXY8/MCC1</t>
  </si>
  <si>
    <r>
      <rPr>
        <sz val="14"/>
        <color theme="1"/>
        <rFont val="微软雅黑"/>
        <charset val="134"/>
      </rPr>
      <t>FTW1/</t>
    </r>
    <r>
      <rPr>
        <sz val="14"/>
        <color rgb="FFFF0000"/>
        <rFont val="微软雅黑"/>
        <charset val="134"/>
      </rPr>
      <t>IUSF</t>
    </r>
    <r>
      <rPr>
        <sz val="14"/>
        <color theme="1"/>
        <rFont val="微软雅黑"/>
        <charset val="134"/>
      </rPr>
      <t xml:space="preserve">/DFW6/IAH3/SAT1 FTW5/STL3/PSC2/PDX7
</t>
    </r>
    <r>
      <rPr>
        <sz val="14"/>
        <color rgb="FFFF0000"/>
        <rFont val="微软雅黑"/>
        <charset val="134"/>
      </rPr>
      <t>(标红仓点按12KG起收)
单价按100KG段+1/KG
51KG-100KG按100KG+同价</t>
    </r>
  </si>
  <si>
    <t>100KG起收</t>
  </si>
  <si>
    <r>
      <rPr>
        <sz val="14"/>
        <color rgb="FFFF0000"/>
        <rFont val="微软雅黑"/>
        <charset val="134"/>
      </rPr>
      <t>IND9</t>
    </r>
    <r>
      <rPr>
        <sz val="14"/>
        <color theme="1"/>
        <rFont val="微软雅黑"/>
        <charset val="134"/>
      </rPr>
      <t>/</t>
    </r>
    <r>
      <rPr>
        <sz val="14"/>
        <color rgb="FFFF0000"/>
        <rFont val="微软雅黑"/>
        <charset val="134"/>
      </rPr>
      <t>MDW2</t>
    </r>
    <r>
      <rPr>
        <sz val="14"/>
        <color theme="1"/>
        <rFont val="微软雅黑"/>
        <charset val="134"/>
      </rPr>
      <t>/</t>
    </r>
    <r>
      <rPr>
        <sz val="14"/>
        <color rgb="FFFF0000"/>
        <rFont val="微软雅黑"/>
        <charset val="134"/>
      </rPr>
      <t>FWA4</t>
    </r>
    <r>
      <rPr>
        <sz val="14"/>
        <color theme="1"/>
        <rFont val="微软雅黑"/>
        <charset val="134"/>
      </rPr>
      <t>/</t>
    </r>
    <r>
      <rPr>
        <sz val="14"/>
        <color rgb="FFFF0000"/>
        <rFont val="微软雅黑"/>
        <charset val="134"/>
      </rPr>
      <t>MEM1</t>
    </r>
    <r>
      <rPr>
        <sz val="14"/>
        <color theme="1"/>
        <rFont val="微软雅黑"/>
        <charset val="134"/>
      </rPr>
      <t xml:space="preserve"> </t>
    </r>
    <r>
      <rPr>
        <sz val="14"/>
        <color rgb="FFFF0000"/>
        <rFont val="微软雅黑"/>
        <charset val="134"/>
      </rPr>
      <t>MQJ1</t>
    </r>
    <r>
      <rPr>
        <sz val="14"/>
        <color theme="1"/>
        <rFont val="微软雅黑"/>
        <charset val="134"/>
      </rPr>
      <t xml:space="preserve">/DEN8/RFD2/ORD2/LFT1
</t>
    </r>
    <r>
      <rPr>
        <sz val="14"/>
        <color rgb="FFFF0000"/>
        <rFont val="微软雅黑"/>
        <charset val="134"/>
      </rPr>
      <t>(标红仓点按12KG起收)
单价按100KG段+1/KG
51KG-100KG按100KG+同价</t>
    </r>
  </si>
  <si>
    <r>
      <rPr>
        <sz val="14"/>
        <color rgb="FFFF0000"/>
        <rFont val="微软雅黑"/>
        <charset val="134"/>
      </rPr>
      <t>CLT2</t>
    </r>
    <r>
      <rPr>
        <sz val="14"/>
        <color theme="1"/>
        <rFont val="微软雅黑"/>
        <charset val="134"/>
      </rPr>
      <t>/</t>
    </r>
    <r>
      <rPr>
        <sz val="14"/>
        <color rgb="FFFF0000"/>
        <rFont val="微软雅黑"/>
        <charset val="134"/>
      </rPr>
      <t>RDU2</t>
    </r>
    <r>
      <rPr>
        <sz val="14"/>
        <color theme="1"/>
        <rFont val="微软雅黑"/>
        <charset val="134"/>
      </rPr>
      <t xml:space="preserve">/CLT3/RDU4          </t>
    </r>
    <r>
      <rPr>
        <sz val="14"/>
        <color rgb="FFFF0000"/>
        <rFont val="微软雅黑"/>
        <charset val="134"/>
      </rPr>
      <t>(标红仓点按12KG起收)                                           单价按100KG段+1/KG
51KG-100KG按100KG+同价</t>
    </r>
  </si>
  <si>
    <r>
      <rPr>
        <sz val="14"/>
        <color rgb="FFFF0000"/>
        <rFont val="微软雅黑"/>
        <charset val="134"/>
      </rPr>
      <t>ABE8</t>
    </r>
    <r>
      <rPr>
        <sz val="14"/>
        <rFont val="微软雅黑"/>
        <charset val="134"/>
      </rPr>
      <t>/</t>
    </r>
    <r>
      <rPr>
        <sz val="14"/>
        <color rgb="FFFF0000"/>
        <rFont val="微软雅黑"/>
        <charset val="134"/>
      </rPr>
      <t>AVP1</t>
    </r>
    <r>
      <rPr>
        <sz val="14"/>
        <color theme="1"/>
        <rFont val="微软雅黑"/>
        <charset val="134"/>
      </rPr>
      <t>/TEB3/</t>
    </r>
    <r>
      <rPr>
        <sz val="14"/>
        <color rgb="FFFF0000"/>
        <rFont val="微软雅黑"/>
        <charset val="134"/>
      </rPr>
      <t>TEB9</t>
    </r>
    <r>
      <rPr>
        <sz val="14"/>
        <color theme="1"/>
        <rFont val="微软雅黑"/>
        <charset val="134"/>
      </rPr>
      <t xml:space="preserve">/TPA3 
RMN3/ORF2/SWF2
</t>
    </r>
    <r>
      <rPr>
        <sz val="14"/>
        <color rgb="FFFF0000"/>
        <rFont val="微软雅黑"/>
        <charset val="134"/>
      </rPr>
      <t>(标红仓点按12KG起收)
单价按100KG段+1/KG
51KG-100KG按100KG+同价</t>
    </r>
  </si>
  <si>
    <t>含税自提(含出库费）</t>
  </si>
  <si>
    <t>SSH美森MAX卡派</t>
  </si>
  <si>
    <t>SSH快船EXX卡派</t>
  </si>
  <si>
    <t>SSH以星限时达&amp;长荣定提&amp;义乌合德限时达-卡派</t>
  </si>
  <si>
    <t>SSH义乌合德以星限时达卡派</t>
  </si>
  <si>
    <t>组合/混拆</t>
  </si>
  <si>
    <t>仓库代码/渠道名称</t>
  </si>
  <si>
    <t>组合一区</t>
  </si>
  <si>
    <t>组合二区</t>
  </si>
  <si>
    <t>组合二区Plus</t>
  </si>
  <si>
    <t>组合三区</t>
  </si>
  <si>
    <t>组合四区</t>
  </si>
  <si>
    <t>组合五区</t>
  </si>
  <si>
    <t>组合六区</t>
  </si>
  <si>
    <t>组合七区</t>
  </si>
  <si>
    <t>SSH普船纽约卡派</t>
  </si>
  <si>
    <t>ABE8/ACY2/TEB6/TEB9/TTN2 TEB3/TEB4</t>
  </si>
  <si>
    <t>ABE4/ABE2/ABE3/XEW5 AVP1/AVP3/AVP9/HIA1  HEA2/PHL4/PHL5/PHL6</t>
  </si>
  <si>
    <t>MDT1/MDT4/WBW2/ALB1  SWF1/SWF2/XLX1/IUST/IUSL MDT2/DCA6/ILG1</t>
  </si>
  <si>
    <t>PIT2/LBE1/XRI3/RIC1/RIC3 RMN3/CHO1/ORF2/BWI4 BOS7/HGR2/HGR6</t>
  </si>
  <si>
    <t>XLX6/CLT2/CLT3/CLT6/CMH2CMH6/CMH3/AKR1/DET1 DET2/DET3/DTW3/LAN2 GSO1/RDU2/RDU4</t>
  </si>
  <si>
    <t>RFD2/RFD4/MDW2/MDW6 MDW9/ORD2/IGQ2/FWA4 MQJ1/MQJ2/IND4/IND5 IND9/RYY2</t>
  </si>
  <si>
    <t>TPA2/TPA3/TPA6/MCO1 MCO2/JAX3/XHH3</t>
  </si>
  <si>
    <t>SSH普船萨凡纳卡派</t>
  </si>
  <si>
    <t>MGE1/MGE3/SAV3/JAX3/沃尔玛-ATL1/XAV3</t>
  </si>
  <si>
    <t>RYY2/CLT2/CLT3/RDU2/RDU4/GSO1/GSP1/IUSR</t>
  </si>
  <si>
    <t>TPA2/TPA3/TPA6/PBI2/PBI3/CHA2/MCO2/沃尔玛-ATL8/沃尔玛- ATL2/沃尔玛- MCO1/XPB2</t>
  </si>
  <si>
    <t>HSV1/HSV2/BNA2/BNA3/MEM1/MEM8</t>
  </si>
  <si>
    <t>BNA6/TMB8/沃尔玛-MEM1s</t>
  </si>
  <si>
    <r>
      <rPr>
        <b/>
        <sz val="24"/>
        <color rgb="FF0000FF"/>
        <rFont val="微软雅黑"/>
        <charset val="134"/>
      </rPr>
      <t xml:space="preserve">SSH美森正班-海派 渠道代码：SSH01 </t>
    </r>
    <r>
      <rPr>
        <b/>
        <sz val="24"/>
        <color rgb="FFFF0000"/>
        <rFont val="微软雅黑"/>
        <charset val="134"/>
      </rPr>
      <t>（进福建内陆费+0.4/KG）</t>
    </r>
  </si>
  <si>
    <r>
      <rPr>
        <b/>
        <sz val="14"/>
        <color theme="1"/>
        <rFont val="微软雅黑"/>
        <charset val="134"/>
      </rPr>
      <t>交货下单渠道：</t>
    </r>
    <r>
      <rPr>
        <b/>
        <sz val="14"/>
        <color rgb="FFFF0000"/>
        <rFont val="微软雅黑"/>
        <charset val="134"/>
      </rPr>
      <t>SSH01</t>
    </r>
    <r>
      <rPr>
        <b/>
        <sz val="14"/>
        <rFont val="微软雅黑"/>
        <charset val="134"/>
      </rPr>
      <t>-</t>
    </r>
    <r>
      <rPr>
        <b/>
        <sz val="14"/>
        <color theme="1"/>
        <rFont val="微软雅黑"/>
        <charset val="134"/>
      </rPr>
      <t>海派</t>
    </r>
  </si>
  <si>
    <t>人民币计价</t>
  </si>
  <si>
    <t>执行日期：2026-3-31</t>
  </si>
  <si>
    <t>预计提取时间</t>
  </si>
  <si>
    <t>比重货优惠</t>
  </si>
  <si>
    <t>备注</t>
  </si>
  <si>
    <t>预计派送时效</t>
  </si>
  <si>
    <t>返回主页</t>
  </si>
  <si>
    <t>21KG+</t>
  </si>
  <si>
    <t>开船后第二天开始算,15天内提取-晚一天赔1元,提取当天不计赔偿日,最高赔付3元/KG. (如遇海关查验,节假日,码头停摆，码头罢工等不可抗拒因素，不参与时效赔偿)</t>
  </si>
  <si>
    <r>
      <rPr>
        <sz val="12"/>
        <color theme="1"/>
        <rFont val="微软雅黑"/>
        <charset val="134"/>
      </rPr>
      <t xml:space="preserve">单票51KG以上                                                                                                                 重货比优惠：                                         </t>
    </r>
    <r>
      <rPr>
        <b/>
        <sz val="12"/>
        <color rgb="FFFF0000"/>
        <rFont val="微软雅黑"/>
        <charset val="134"/>
      </rPr>
      <t xml:space="preserve">1:200 表价减0.5元  </t>
    </r>
    <r>
      <rPr>
        <sz val="12"/>
        <color theme="1"/>
        <rFont val="微软雅黑"/>
        <charset val="134"/>
      </rPr>
      <t xml:space="preserve">       1:250 表价减1.5元            1:300 表价减2元                  1:350 表价减2.5元          1:400 表价减3元           1:500以上 表价减3.5元</t>
    </r>
  </si>
  <si>
    <r>
      <rPr>
        <sz val="12"/>
        <rFont val="微软雅黑"/>
        <charset val="134"/>
      </rPr>
      <t xml:space="preserve">1，尾程FEDEX/UPS派送
2，材积/6000,不分泡
3，包含关税及查验费                  4，报关件5CBM起接
5，入仓清单请注明：                      </t>
    </r>
    <r>
      <rPr>
        <sz val="12"/>
        <color rgb="FF0000FF"/>
        <rFont val="微软雅黑"/>
        <charset val="134"/>
      </rPr>
      <t>美森正班-海派</t>
    </r>
  </si>
  <si>
    <t>1-2天</t>
  </si>
  <si>
    <t>3-4天</t>
  </si>
  <si>
    <t>4-5天</t>
  </si>
  <si>
    <r>
      <rPr>
        <b/>
        <sz val="24"/>
        <color rgb="FF0000FF"/>
        <rFont val="微软雅黑"/>
        <charset val="134"/>
      </rPr>
      <t xml:space="preserve">SSH美森MAX-海派 渠道代码：SSH02 </t>
    </r>
    <r>
      <rPr>
        <b/>
        <sz val="24"/>
        <color rgb="FFFF0000"/>
        <rFont val="微软雅黑"/>
        <charset val="134"/>
      </rPr>
      <t>（进福建内陆费+0.4/KG）</t>
    </r>
  </si>
  <si>
    <r>
      <rPr>
        <b/>
        <sz val="14"/>
        <color theme="1"/>
        <rFont val="微软雅黑"/>
        <charset val="134"/>
      </rPr>
      <t>交货下单渠道：</t>
    </r>
    <r>
      <rPr>
        <b/>
        <sz val="14"/>
        <color rgb="FFFF0000"/>
        <rFont val="微软雅黑"/>
        <charset val="134"/>
      </rPr>
      <t>SSH02</t>
    </r>
    <r>
      <rPr>
        <b/>
        <sz val="14"/>
        <color theme="1"/>
        <rFont val="微软雅黑"/>
        <charset val="134"/>
      </rPr>
      <t>-海派/</t>
    </r>
    <r>
      <rPr>
        <b/>
        <sz val="14"/>
        <color rgb="FFFF0000"/>
        <rFont val="微软雅黑"/>
        <charset val="134"/>
      </rPr>
      <t>SSHJF02</t>
    </r>
    <r>
      <rPr>
        <b/>
        <sz val="14"/>
        <color theme="1"/>
        <rFont val="微软雅黑"/>
        <charset val="134"/>
      </rPr>
      <t>-海派</t>
    </r>
  </si>
  <si>
    <t>开船后第二天开始算,16天内提取-晚一天赔1元,提取当天不计赔偿日,最高赔付3元/KG.（海关查验及不可抗因素除外）</t>
  </si>
  <si>
    <r>
      <rPr>
        <sz val="12"/>
        <color theme="1"/>
        <rFont val="微软雅黑"/>
        <charset val="134"/>
      </rPr>
      <t xml:space="preserve">单票51KG以上                                                                                                                 重货比优惠：                                         </t>
    </r>
    <r>
      <rPr>
        <b/>
        <sz val="12"/>
        <color rgb="FFFF0000"/>
        <rFont val="微软雅黑"/>
        <charset val="134"/>
      </rPr>
      <t xml:space="preserve">1:200 表价减0.5元         </t>
    </r>
    <r>
      <rPr>
        <sz val="12"/>
        <color theme="1"/>
        <rFont val="微软雅黑"/>
        <charset val="134"/>
      </rPr>
      <t>1:250 表价减1.5元            1:300 表价减2元                  1:350 表价减2.5元          1:400 表价减3元           1:500以上 表价减3.5元</t>
    </r>
  </si>
  <si>
    <r>
      <rPr>
        <sz val="12"/>
        <rFont val="微软雅黑"/>
        <charset val="134"/>
      </rPr>
      <t xml:space="preserve">1，尾程FEDEX/UPS派送
2，材积/6000，不分泡
3，包含关税及查验费      
4，入仓清单请注明：
</t>
    </r>
    <r>
      <rPr>
        <sz val="12"/>
        <color rgb="FF0000FF"/>
        <rFont val="微软雅黑"/>
        <charset val="134"/>
      </rPr>
      <t>美森加班-海派</t>
    </r>
  </si>
  <si>
    <r>
      <rPr>
        <b/>
        <sz val="24"/>
        <color rgb="FF0000FF"/>
        <rFont val="微软雅黑"/>
        <charset val="134"/>
      </rPr>
      <t xml:space="preserve">SSH快船EXX-海派 渠道代码：SSH03 </t>
    </r>
    <r>
      <rPr>
        <b/>
        <sz val="24"/>
        <color rgb="FFFF0000"/>
        <rFont val="微软雅黑"/>
        <charset val="134"/>
      </rPr>
      <t>（进福建内陆费+0.4/KG）</t>
    </r>
  </si>
  <si>
    <r>
      <rPr>
        <b/>
        <sz val="14"/>
        <color theme="1"/>
        <rFont val="微软雅黑"/>
        <charset val="134"/>
      </rPr>
      <t>交货下单渠道：</t>
    </r>
    <r>
      <rPr>
        <b/>
        <sz val="14"/>
        <color rgb="FFFF0000"/>
        <rFont val="微软雅黑"/>
        <charset val="134"/>
      </rPr>
      <t>SSH03</t>
    </r>
    <r>
      <rPr>
        <b/>
        <sz val="14"/>
        <color theme="1"/>
        <rFont val="微软雅黑"/>
        <charset val="134"/>
      </rPr>
      <t>-海派/SSHJF03-海派</t>
    </r>
  </si>
  <si>
    <t>开船后第二天开始算,16天内提取-晚一天赔1元,提取当天不计赔偿日,最高赔付2元/KG.（海关查验及不可抗因素除外）</t>
  </si>
  <si>
    <r>
      <rPr>
        <sz val="12"/>
        <rFont val="微软雅黑"/>
        <charset val="134"/>
      </rPr>
      <t xml:space="preserve">1，尾程FEDEX/UPS派送
2，材积/6000，不分泡
3，包含关税及查验费      
4，入仓清单请注明：
</t>
    </r>
    <r>
      <rPr>
        <sz val="12"/>
        <color rgb="FF0000FF"/>
        <rFont val="微软雅黑"/>
        <charset val="134"/>
      </rPr>
      <t>快船EXX-海派</t>
    </r>
  </si>
  <si>
    <t>SSH盐田以星南沙合德限时达-海派 渠道代码：SSH04</t>
  </si>
  <si>
    <t>交货深圳/广州下单渠道：SSH04-海派</t>
  </si>
  <si>
    <t>深圳交货</t>
  </si>
  <si>
    <t>广州交货</t>
  </si>
  <si>
    <t>开船后第二天开始算,18天内提取-晚一天赔0.5元,提取当天不计赔偿日,最高赔付1元/KG.（海关查验及不可抗因素除外）</t>
  </si>
  <si>
    <r>
      <rPr>
        <sz val="12"/>
        <color theme="1"/>
        <rFont val="微软雅黑"/>
        <charset val="134"/>
      </rPr>
      <t xml:space="preserve">单票51KG以上                                                                                                                 重货比优惠：               </t>
    </r>
    <r>
      <rPr>
        <b/>
        <sz val="12"/>
        <color rgb="FFFF0000"/>
        <rFont val="微软雅黑"/>
        <charset val="134"/>
      </rPr>
      <t xml:space="preserve">  </t>
    </r>
    <r>
      <rPr>
        <sz val="12"/>
        <color theme="1"/>
        <rFont val="微软雅黑"/>
        <charset val="134"/>
      </rPr>
      <t xml:space="preserve">             </t>
    </r>
    <r>
      <rPr>
        <b/>
        <sz val="12"/>
        <color rgb="FFFF0000"/>
        <rFont val="微软雅黑"/>
        <charset val="134"/>
      </rPr>
      <t xml:space="preserve">1:200减0.5                       1:250减1 </t>
    </r>
    <r>
      <rPr>
        <sz val="12"/>
        <color rgb="FFFF0000"/>
        <rFont val="微软雅黑"/>
        <charset val="134"/>
      </rPr>
      <t xml:space="preserve">                                 </t>
    </r>
    <r>
      <rPr>
        <sz val="12"/>
        <color theme="1"/>
        <rFont val="微软雅黑"/>
        <charset val="134"/>
      </rPr>
      <t>1:300减1.5</t>
    </r>
    <r>
      <rPr>
        <sz val="12"/>
        <color rgb="FFFF0000"/>
        <rFont val="微软雅黑"/>
        <charset val="134"/>
      </rPr>
      <t xml:space="preserve">                            </t>
    </r>
    <r>
      <rPr>
        <sz val="12"/>
        <color theme="1"/>
        <rFont val="微软雅黑"/>
        <charset val="134"/>
      </rPr>
      <t>1:350减2                       1:450及以上减2.5</t>
    </r>
  </si>
  <si>
    <r>
      <rPr>
        <sz val="12"/>
        <rFont val="微软雅黑"/>
        <charset val="134"/>
      </rPr>
      <t xml:space="preserve">1，尾程FEDEX/UPS派送
2，材积/6000，不分泡
3，包含关税及查验费      
4，入仓清单请注明：         </t>
    </r>
    <r>
      <rPr>
        <sz val="12"/>
        <color rgb="FF0000FF"/>
        <rFont val="微软雅黑"/>
        <charset val="134"/>
      </rPr>
      <t>美西限时达-海派</t>
    </r>
  </si>
  <si>
    <r>
      <rPr>
        <b/>
        <sz val="24"/>
        <color rgb="FF0000FF"/>
        <rFont val="微软雅黑"/>
        <charset val="134"/>
      </rPr>
      <t>SSH义乌合德以星限时达-海派 渠道代码：SSHYW05</t>
    </r>
    <r>
      <rPr>
        <b/>
        <sz val="24"/>
        <color rgb="FFFF0000"/>
        <rFont val="微软雅黑"/>
        <charset val="134"/>
      </rPr>
      <t>（进福建内陆费+0.4/KG）</t>
    </r>
  </si>
  <si>
    <t>交货深圳/广州/义乌下单渠道：SSHYW05-海派/SSHYWJF05-海派</t>
  </si>
  <si>
    <t>深圳、广州交货</t>
  </si>
  <si>
    <r>
      <rPr>
        <b/>
        <sz val="24"/>
        <color rgb="FF0000FF"/>
        <rFont val="微软雅黑"/>
        <charset val="134"/>
      </rPr>
      <t xml:space="preserve">SSH普船洛杉矶-海派 渠道代码：SSH07 </t>
    </r>
    <r>
      <rPr>
        <b/>
        <sz val="24"/>
        <color rgb="FFFF0000"/>
        <rFont val="微软雅黑"/>
        <charset val="134"/>
      </rPr>
      <t>（进福建内陆费+0.4/KG）</t>
    </r>
  </si>
  <si>
    <r>
      <rPr>
        <b/>
        <sz val="14"/>
        <rFont val="微软雅黑"/>
        <charset val="134"/>
      </rPr>
      <t>交货深圳下单渠道：SSH07-海派
交货义乌下单渠道：SSHYW07-海派/SSHYWJF07--海派</t>
    </r>
    <r>
      <rPr>
        <b/>
        <sz val="20"/>
        <color rgb="FFFF0000"/>
        <rFont val="微软雅黑"/>
        <charset val="134"/>
      </rPr>
      <t>（义乌普船进深圳、广州内陆费+0.3/KG）</t>
    </r>
  </si>
  <si>
    <t>开船后20-25天提取（海关查验及不可抗因素除外）</t>
  </si>
  <si>
    <r>
      <rPr>
        <sz val="12"/>
        <color theme="1"/>
        <rFont val="微软雅黑"/>
        <charset val="134"/>
      </rPr>
      <t xml:space="preserve">单票51KG以上                                                                                                                 重货比优惠：               </t>
    </r>
    <r>
      <rPr>
        <b/>
        <sz val="12"/>
        <color rgb="FFFF0000"/>
        <rFont val="微软雅黑"/>
        <charset val="134"/>
      </rPr>
      <t xml:space="preserve">  </t>
    </r>
    <r>
      <rPr>
        <sz val="12"/>
        <color theme="1"/>
        <rFont val="微软雅黑"/>
        <charset val="134"/>
      </rPr>
      <t xml:space="preserve">             </t>
    </r>
    <r>
      <rPr>
        <b/>
        <sz val="12"/>
        <color rgb="FFFF0000"/>
        <rFont val="微软雅黑"/>
        <charset val="134"/>
      </rPr>
      <t xml:space="preserve">1:200减0.3                       1:250减0.6                                  </t>
    </r>
    <r>
      <rPr>
        <sz val="12"/>
        <color theme="1"/>
        <rFont val="微软雅黑"/>
        <charset val="134"/>
      </rPr>
      <t>1:300减0.9                            1:350减1.2                       1:450及以上减1.5</t>
    </r>
  </si>
  <si>
    <r>
      <rPr>
        <sz val="12"/>
        <rFont val="微软雅黑"/>
        <charset val="134"/>
      </rPr>
      <t xml:space="preserve">1，尾程FEDEX/UPS派送
2，材积/6000，不分泡
3，包含关税及查验费      
4，入仓清单请注明：
</t>
    </r>
    <r>
      <rPr>
        <sz val="12"/>
        <color rgb="FF0000FF"/>
        <rFont val="微软雅黑"/>
        <charset val="134"/>
      </rPr>
      <t>普船洛杉矶-海派</t>
    </r>
  </si>
  <si>
    <t>一，特殊产品附加费列表</t>
  </si>
  <si>
    <t>税率查询网址：</t>
  </si>
  <si>
    <t>https://hts.usitc.gov/</t>
  </si>
  <si>
    <t>类别</t>
  </si>
  <si>
    <t>以下特殊产品需额外加收附加费</t>
  </si>
  <si>
    <t>加收金额</t>
  </si>
  <si>
    <t>A类</t>
  </si>
  <si>
    <r>
      <rPr>
        <sz val="12"/>
        <rFont val="微软雅黑"/>
        <charset val="134"/>
      </rPr>
      <t>帽子、箱包、鞋类、服装、袜子等</t>
    </r>
    <r>
      <rPr>
        <b/>
        <sz val="12"/>
        <rFont val="微软雅黑"/>
        <charset val="134"/>
      </rPr>
      <t>全</t>
    </r>
    <r>
      <rPr>
        <sz val="12"/>
        <rFont val="微软雅黑"/>
        <charset val="134"/>
      </rPr>
      <t>纺织类穿戴产品，圆珠笔类产品</t>
    </r>
  </si>
  <si>
    <t>1元/KG或200RMB/CBM</t>
  </si>
  <si>
    <t>玩具类</t>
  </si>
  <si>
    <r>
      <rPr>
        <sz val="12"/>
        <rFont val="微软雅黑"/>
        <charset val="134"/>
      </rPr>
      <t>玩具和儿童用品（适用6岁以下玩具不接），需要CPC认证，CPC report，Track label(permanent mark),</t>
    </r>
    <r>
      <rPr>
        <b/>
        <sz val="12"/>
        <rFont val="微软雅黑"/>
        <charset val="134"/>
      </rPr>
      <t>无CPC认证不接!</t>
    </r>
    <r>
      <rPr>
        <sz val="12"/>
        <rFont val="微软雅黑"/>
        <charset val="134"/>
      </rPr>
      <t xml:space="preserve">
出货前请提供有效认证，并保证货物符合美国进口要求。我司不保证所有认证和产品被海关认可，如遇查验最终以海关判断为准，我司不承担任何责任.</t>
    </r>
  </si>
  <si>
    <t>额外声明</t>
  </si>
  <si>
    <t>2025年3月4号以后如果美国对华临时增税，清关税率平均每上涨10%，公司会针对在途未清关的货物补收增加的关税成本0.5RMB/KG或100元/方,以此类推！</t>
  </si>
  <si>
    <t>0.5元/KG或100RMB/CBM</t>
  </si>
  <si>
    <t>拒收类</t>
  </si>
  <si>
    <t>1、手机、笔记本电脑、激光类产品，液体、粉末、U盘、光驱、内存条、打火机，活性植物，太阳眼镜、化妆品，食品、婴儿用品（包括衣服），药品、易燃易爆、古董、货币等国家禁止出口产品，如发现罚款￥2000-5000/票，情节严重上报公安局处理！
2、航空箱，超大件，变形软箱，无规则易破损纸箱，非纸箱包装，不可拆封产品，强烈气味产品。
3、反倾销产品(参考美国对华反倾销产品目录表)</t>
  </si>
  <si>
    <t>拒收</t>
  </si>
  <si>
    <t>二，其它附加费用说明</t>
  </si>
  <si>
    <t>费用类别</t>
  </si>
  <si>
    <t>收费标准</t>
  </si>
  <si>
    <t>是否叠加</t>
  </si>
  <si>
    <t>1，高价值产品(平均价值大于1500$/100KG，大于5000$/100KG高价值产品单询)，建议购买跨境类保险.</t>
  </si>
  <si>
    <t>1元RMB/KG</t>
  </si>
  <si>
    <t>不叠加</t>
  </si>
  <si>
    <t>2，关于超重：单箱实重不得超过22KG，如有实重超22KG，加收RMB150/箱，单箱超22.5KG无服务。
关于超长：最长边超过120CM，或次长边超75CM，或长+2*（宽+高）超过260cm，满足其中一项则需加收RMB150/箱；超大尺寸不接： ①、单件实重超22.5KGKG；②、最长边超过230cm；③、长+2*（宽+高）超过300cm的货物。             
关于偏远：亚马逊邮编偏远+2RMB/KG；私人住宅+25RMB/件；非亚马逊（商业地址、私人住宅）邮编偏远+3RMB/KG；偏远费用账单，我司可在发货后六个月内进行补收。             
关于地址修正费用：如果发件人通知UPS/FEDEX进行地址修改，或者UPS/FEDEX自动更正地址的账单，发件人需无条件支付（单证制单错误除外），最低200RMB/箱，如超出具体以实际产生的为准。             
关于包装额外处理费：绑带、保鲜膜或者布料、或者圆形的包装、木的金属的还有其他的一些情况都会产生包装额外处理费，具体金额按照UPS/FEDEX账单加乘账号使用费实报实销。             
货物打单后更改地址，重新贴标签：收费USD10/件最低USD150/票，分货费实报实销;退再寄货物二次派送UPS/FEDEX寄件费用另计。目的港送货退回美国仓库USD1.5/KG 最低收费USD150/票仓租另计；</t>
  </si>
  <si>
    <t>30元RMB/个</t>
  </si>
  <si>
    <t>叠加</t>
  </si>
  <si>
    <r>
      <rPr>
        <sz val="11"/>
        <color rgb="FF0000FF"/>
        <rFont val="微软雅黑"/>
        <charset val="134"/>
      </rPr>
      <t>3，</t>
    </r>
    <r>
      <rPr>
        <b/>
        <sz val="11"/>
        <color rgb="FF0000FF"/>
        <rFont val="微软雅黑"/>
        <charset val="134"/>
      </rPr>
      <t>单独报关</t>
    </r>
    <r>
      <rPr>
        <sz val="11"/>
        <color rgb="FF0000FF"/>
        <rFont val="微软雅黑"/>
        <charset val="134"/>
      </rPr>
      <t>，请对接报关专员提供授权码（报关文件资料请单独对接我司报关专员，如未对接报关专员漏报不负责，如因客户单证申报不祥产生仓租柜租罚款由寄件人承担所有费用，10万美金以上的单证不接）</t>
    </r>
    <r>
      <rPr>
        <sz val="11"/>
        <color rgb="FF00B0F0"/>
        <rFont val="微软雅黑"/>
        <charset val="134"/>
      </rPr>
      <t>，</t>
    </r>
    <r>
      <rPr>
        <b/>
        <sz val="12"/>
        <color rgb="FFFF0000"/>
        <rFont val="微软雅黑"/>
        <charset val="134"/>
      </rPr>
      <t>如漏报关最高赔偿报关费3倍！（另：如海关查验报关单与实际产品不符产生罚款由寄件人承担100%责任！）</t>
    </r>
  </si>
  <si>
    <t>200RMB/票</t>
  </si>
  <si>
    <t>4，商检费，竹木藤条等出口需要商检报关的产品：                                                                                                                                                                               
单独报关费200RMB/票。
商检费：买单报关件木制品商检费+0.5RMB/KG或800RMB/票；报关退税件木制品商检费客户可自行做商检。需要商检的货物：木家私，木制工艺品，木架，竹制品，藤制品等（仅供参考）</t>
  </si>
  <si>
    <t>见左侧说明</t>
  </si>
  <si>
    <r>
      <rPr>
        <sz val="11"/>
        <color rgb="FF0000FF"/>
        <rFont val="微软雅黑"/>
        <charset val="134"/>
      </rPr>
      <t>5，</t>
    </r>
    <r>
      <rPr>
        <b/>
        <sz val="11"/>
        <color rgb="FF0000FF"/>
        <rFont val="微软雅黑"/>
        <charset val="134"/>
      </rPr>
      <t>拦截扣件：</t>
    </r>
    <r>
      <rPr>
        <sz val="11"/>
        <color rgb="FF0000FF"/>
        <rFont val="微软雅黑"/>
        <charset val="134"/>
      </rPr>
      <t>海运渠道如需在美国扣件请在船舶到港前的5个工作日前通知，改派地址或拦截扣件会产生手续费及仓库杂费，UPS取件后如需申请退件，并不保证100%申请退件成功，并会产生退件手续费和UPS二次派送费！</t>
    </r>
  </si>
  <si>
    <t>$0.5/件*该柜总件数
（最低收费$200/票）</t>
  </si>
  <si>
    <r>
      <rPr>
        <b/>
        <sz val="11"/>
        <color rgb="FFFF0000"/>
        <rFont val="微软雅黑"/>
        <charset val="134"/>
      </rPr>
      <t>6，扣件事项特别说明：</t>
    </r>
    <r>
      <rPr>
        <sz val="11"/>
        <color rgb="FF0000FF"/>
        <rFont val="微软雅黑"/>
        <charset val="134"/>
      </rPr>
      <t xml:space="preserve">
1&gt;:扣件必需要在船舶到港前5个工作日前通知，按正常收取扣件费，
2&gt;:船舶到港前的5个工作日内通知扣件需额外加收200$/票，
3&gt;:船舶已到港后通知扣件的，需额外加收扣件费500$/票，并不保证100%能扣件成功。</t>
    </r>
  </si>
  <si>
    <r>
      <rPr>
        <b/>
        <sz val="16"/>
        <color rgb="FFFF0000"/>
        <rFont val="微软雅黑"/>
        <charset val="134"/>
      </rPr>
      <t>7,运费结算说明：</t>
    </r>
    <r>
      <rPr>
        <b/>
        <sz val="11"/>
        <color rgb="FFFF0000"/>
        <rFont val="微软雅黑"/>
        <charset val="134"/>
      </rPr>
      <t xml:space="preserve">
</t>
    </r>
    <r>
      <rPr>
        <b/>
        <sz val="11"/>
        <color rgb="FF0000FF"/>
        <rFont val="微软雅黑"/>
        <charset val="134"/>
      </rPr>
      <t>1&gt;:我司以上渠道请在收到账单后三天内核对并即时付款，如未即时核对账单并支付运费，我司将做留仓处理;
2&gt;:如已出仓并在柜子到港前3个工作日前还未全部结清运费，我司将在海外仓做扣件处理，扣件费$1000/票，由此造成的时效延误及扣件产生的所有费用全部由寄件人承担，非常感谢您的理解和配合！</t>
    </r>
  </si>
  <si>
    <t>1000$</t>
  </si>
  <si>
    <t>特别声明：不得谎报漏报品名，拒收液体，粉未，仿牌，食品，医疗美容产品，纯电池，反倾销类,集运货,水烟壶及配件等敏感产品！一旦查出罚款5000RMB/票，并由发货方承担由此产生的海关扣关罚款及连带责任！</t>
  </si>
  <si>
    <t>三，拒接产品</t>
  </si>
  <si>
    <t>1.FDA产品：皮肤接触类产品:活性植物，口杯，牙刷头、温度计、眼镜、纹眉笔、剃毛器，按摩仪器，医疗用品，化妆品，内衣，婴儿及儿童产品儿童玩具，毛绒玩具等需FDA认证产品                                                                                                                                                                                                                                                                                                     2.侵权产品：蓝牙标及包装有蓝牙字样及标识产品，三叉戟数据线，CE,HDMI,FCC,LACEY ACT DOT,RW,标识。                                                                                                                                                                                                               3.违禁品：护照身份证私人物品，成人男女性用品，打火机(包括USB打火机),手机，对讲机，移动电源，电子烟，彩印，硒鼓，墨盒，血压计，安全锤，手推车，电动滑板车，钢钉，文具本，手表，铅笔，折叠型金属桌椅，仿牌，冒牌，侵权，纯电池，危险品，液体，和木箱/铁箱等包装难以打开检查的货物，不规则货物，非纸箱货物。                                                                                                                                                                                                                                                          4.反倾销类产品：智能手环， 蜡烛灯(有蜡)，折叠礼品盒，铁钳合金，邹纹纸，天然猪鬃油漆刷及刷头，重煅造手工具，薄页纸，刹车转子，无可锻性铸铁管件，镁金属，铁制建筑铸件，纯镁，圆锥滚子轴承及部件，硅金属，折叠金属桌椅，草坪和花园铁制栅栏支架，彩色电视机，氯代异氰，画布，碳钢焊接接口，落地式金属台面烫衣板及部件，石油蜡烛，钢筋，铸造焦碳，原聚酯棉印花布，文具纸(记事本），螺旋形弹簧锁垫圈，定尺碳钢板，颗粒状纯镁，热轧碳钢板，棕刚玉，曲别针，搪瓷厨具，铅笔，硅锰合金，"可锻性玛钢管件"，咔唑紫颜料，手推车，钢钉，圆形焊接碳钢管件，新充气工程机械轮胎，低克重热敏纸，未加工橡胶磁，小直径石墨电极，圆形焊接奥氏体不锈高压套管，汽车大灯及汽车设备部件，贱金属及其制品(铁、钢、铜、镍、铝、铅、锌、锡、钨), 化学产品，木制卧室家具，复合木地板，非晶硅织物，晶体硅光伏电池，小直径石墨电极，机械电气设备及部件，纸及纸制品，纺织制品-聚酯人造纤维，编织电热毯，预制食品与饮料，复合编织袋，聚乙烯手提袋，矿石及矿物燃料，家用电器，自行车，车船运输设备及部件，建材与玻璃制品等。</t>
  </si>
  <si>
    <t>四，海运专线赔偿方案：</t>
  </si>
  <si>
    <t>索赔程序：</t>
  </si>
  <si>
    <t>如有货件部分UPS未提取或未签收，请客户在7-10个工作日内查询FBA后台是否上架，10个工作日后提供货物未上架后台截图(需带有电脑屏幕右下角当下真实时间)至我司方可进入索赔程序，索赔请以书面形式向我司发起，超过20工作日不予受理。</t>
  </si>
  <si>
    <t>赔偿方案:</t>
  </si>
  <si>
    <r>
      <rPr>
        <sz val="11"/>
        <rFont val="微软雅黑"/>
        <charset val="134"/>
      </rPr>
      <t>情况1：货物在运输过程中丢失(整票UPS未提取)，按提供的商业发票申报货值赔偿但最高不超40RMB/KG赔偿，不退运费；                                                                                                                                                       
情况2：已交UPS后(包括整票货件偶尔未扫描货件，此为UPS常见漏扫现象我司不负责)丢失的不退运费,按UPS赔偿方案做申报价值赔偿最高不超100USD/票。索赔请以书面形式向我司发起</t>
    </r>
    <r>
      <rPr>
        <sz val="11"/>
        <color rgb="FFFF0000"/>
        <rFont val="微软雅黑"/>
        <charset val="134"/>
      </rPr>
      <t>（温馨提示：高货值产品烦请自行购买货物运输保险！）</t>
    </r>
  </si>
  <si>
    <t>扣关赔偿方案：</t>
  </si>
  <si>
    <t>扣关起达到60个工作日以上（如因发件人低申报、品名申报不符、产品涉及反倾销、认证、侵权等情况，责任由发件人承担）按申报货值赔偿最高不超过￥15元/KG，不退运费，索赔请以书面形式向我司发起。</t>
  </si>
  <si>
    <r>
      <rPr>
        <b/>
        <sz val="26"/>
        <color rgb="FF0000FF"/>
        <rFont val="微软雅黑"/>
        <charset val="134"/>
      </rPr>
      <t xml:space="preserve">SSH美森正班卡派 渠道代码：SSH01 </t>
    </r>
    <r>
      <rPr>
        <b/>
        <sz val="26"/>
        <color rgb="FFFF0000"/>
        <rFont val="微软雅黑"/>
        <charset val="134"/>
      </rPr>
      <t>（进福建内陆费+0.4/KG）</t>
    </r>
  </si>
  <si>
    <r>
      <rPr>
        <b/>
        <sz val="12"/>
        <color theme="1"/>
        <rFont val="微软雅黑"/>
        <charset val="134"/>
      </rPr>
      <t>下单渠道：</t>
    </r>
    <r>
      <rPr>
        <b/>
        <sz val="12"/>
        <color rgb="FFFF0000"/>
        <rFont val="微软雅黑"/>
        <charset val="134"/>
      </rPr>
      <t>SSH01</t>
    </r>
    <r>
      <rPr>
        <b/>
        <sz val="12"/>
        <color theme="1"/>
        <rFont val="微软雅黑"/>
        <charset val="134"/>
      </rPr>
      <t>卡派/</t>
    </r>
    <r>
      <rPr>
        <b/>
        <sz val="12"/>
        <color rgb="FFFF0000"/>
        <rFont val="微软雅黑"/>
        <charset val="134"/>
      </rPr>
      <t>SSH01</t>
    </r>
    <r>
      <rPr>
        <b/>
        <sz val="12"/>
        <color theme="1"/>
        <rFont val="微软雅黑"/>
        <charset val="134"/>
      </rPr>
      <t>卡派-按方计费</t>
    </r>
  </si>
  <si>
    <t>人民币报价</t>
  </si>
  <si>
    <t>理赔时效                            (自然日)</t>
  </si>
  <si>
    <t>ONT8/LGB8/LAX9/SBD1 IUSP/IUSQ/IUSJ/POC1 POC2/POC3</t>
  </si>
  <si>
    <t>12-15天</t>
  </si>
  <si>
    <r>
      <rPr>
        <sz val="11"/>
        <color theme="1"/>
        <rFont val="微软雅黑"/>
        <charset val="134"/>
      </rPr>
      <t xml:space="preserve">16天                                   </t>
    </r>
    <r>
      <rPr>
        <sz val="8"/>
        <color theme="1"/>
        <rFont val="微软雅黑"/>
        <charset val="134"/>
      </rPr>
      <t>(开船第二天开始,承诺16天内入仓(送仓当日不算赔付时效),第17天开始,    退0.5元/KG/每天,最多退2元/KG)</t>
    </r>
  </si>
  <si>
    <t>13-16天</t>
  </si>
  <si>
    <t>无时效理赔</t>
  </si>
  <si>
    <t>SMF3/SCK4/LAS1/GYR2 GYR3/MIT2/VGT2/GEU2 GEU3/GEU5/HLI2/TCY2 TCY1/SCK8/SMF6/OAK3 MCE1/LAS6/SJC7/FAT2 PHX5/PHX7/IUTE</t>
  </si>
  <si>
    <r>
      <rPr>
        <sz val="11"/>
        <color theme="1"/>
        <rFont val="微软雅黑"/>
        <charset val="134"/>
      </rPr>
      <t xml:space="preserve">17天                                   </t>
    </r>
    <r>
      <rPr>
        <sz val="8"/>
        <color theme="1"/>
        <rFont val="微软雅黑"/>
        <charset val="134"/>
      </rPr>
      <t>(开船第二天开始,承诺17天内入仓(送仓当日不算赔付时效),第18天开始,    退0.5元/KG/每天,最多退2元/KG)</t>
    </r>
  </si>
  <si>
    <r>
      <rPr>
        <sz val="14"/>
        <color theme="1"/>
        <rFont val="微软雅黑"/>
        <charset val="134"/>
      </rPr>
      <t>FTW1/</t>
    </r>
    <r>
      <rPr>
        <sz val="14"/>
        <color rgb="FFFF0000"/>
        <rFont val="微软雅黑"/>
        <charset val="134"/>
      </rPr>
      <t>IUSF</t>
    </r>
    <r>
      <rPr>
        <sz val="14"/>
        <color theme="1"/>
        <rFont val="微软雅黑"/>
        <charset val="134"/>
      </rPr>
      <t xml:space="preserve">/DFW6/IAH3 SAT1/FTW5/STL3/PSC2 PDX7
</t>
    </r>
    <r>
      <rPr>
        <sz val="14"/>
        <color rgb="FFFF0000"/>
        <rFont val="微软雅黑"/>
        <charset val="134"/>
      </rPr>
      <t>(标红仓点按12KG起收)
单价按100KG段+1/KG
51KG-100KG按100KG+同价</t>
    </r>
  </si>
  <si>
    <t>14-17天</t>
  </si>
  <si>
    <r>
      <rPr>
        <sz val="14"/>
        <color rgb="FFFF0000"/>
        <rFont val="微软雅黑"/>
        <charset val="134"/>
      </rPr>
      <t>IND9</t>
    </r>
    <r>
      <rPr>
        <sz val="14"/>
        <color theme="1"/>
        <rFont val="微软雅黑"/>
        <charset val="134"/>
      </rPr>
      <t>/</t>
    </r>
    <r>
      <rPr>
        <sz val="14"/>
        <color rgb="FFFF0000"/>
        <rFont val="微软雅黑"/>
        <charset val="134"/>
      </rPr>
      <t>MDW2</t>
    </r>
    <r>
      <rPr>
        <sz val="14"/>
        <color theme="1"/>
        <rFont val="微软雅黑"/>
        <charset val="134"/>
      </rPr>
      <t>/</t>
    </r>
    <r>
      <rPr>
        <sz val="14"/>
        <color rgb="FFFF0000"/>
        <rFont val="微软雅黑"/>
        <charset val="134"/>
      </rPr>
      <t>FWA4</t>
    </r>
    <r>
      <rPr>
        <sz val="14"/>
        <color theme="1"/>
        <rFont val="微软雅黑"/>
        <charset val="134"/>
      </rPr>
      <t>/</t>
    </r>
    <r>
      <rPr>
        <sz val="14"/>
        <color rgb="FFFF0000"/>
        <rFont val="微软雅黑"/>
        <charset val="134"/>
      </rPr>
      <t>MEM1</t>
    </r>
    <r>
      <rPr>
        <sz val="14"/>
        <color theme="1"/>
        <rFont val="微软雅黑"/>
        <charset val="134"/>
      </rPr>
      <t xml:space="preserve"> </t>
    </r>
    <r>
      <rPr>
        <sz val="14"/>
        <color rgb="FFFF0000"/>
        <rFont val="微软雅黑"/>
        <charset val="134"/>
      </rPr>
      <t>MQJ1</t>
    </r>
    <r>
      <rPr>
        <sz val="14"/>
        <color theme="1"/>
        <rFont val="微软雅黑"/>
        <charset val="134"/>
      </rPr>
      <t xml:space="preserve">/DEN8/RFD2/ORD2 LFT1
</t>
    </r>
    <r>
      <rPr>
        <sz val="14"/>
        <color rgb="FFFF0000"/>
        <rFont val="微软雅黑"/>
        <charset val="134"/>
      </rPr>
      <t>(标红仓点按12KG起收)
单价按100KG段+1/KG
51KG-100KG按100KG+同价</t>
    </r>
  </si>
  <si>
    <t>15-18天</t>
  </si>
  <si>
    <r>
      <rPr>
        <sz val="14"/>
        <color rgb="FFFF0000"/>
        <rFont val="微软雅黑"/>
        <charset val="134"/>
      </rPr>
      <t>ABE8</t>
    </r>
    <r>
      <rPr>
        <sz val="14"/>
        <rFont val="微软雅黑"/>
        <charset val="134"/>
      </rPr>
      <t>/</t>
    </r>
    <r>
      <rPr>
        <sz val="14"/>
        <color rgb="FFFF0000"/>
        <rFont val="微软雅黑"/>
        <charset val="134"/>
      </rPr>
      <t>AVP1</t>
    </r>
    <r>
      <rPr>
        <sz val="14"/>
        <color theme="1"/>
        <rFont val="微软雅黑"/>
        <charset val="134"/>
      </rPr>
      <t>/TEB3/</t>
    </r>
    <r>
      <rPr>
        <sz val="14"/>
        <color rgb="FFFF0000"/>
        <rFont val="微软雅黑"/>
        <charset val="134"/>
      </rPr>
      <t>TEB9</t>
    </r>
    <r>
      <rPr>
        <sz val="14"/>
        <color theme="1"/>
        <rFont val="微软雅黑"/>
        <charset val="134"/>
      </rPr>
      <t xml:space="preserve"> TPA3 /RMN3/ORF2/SWF2
</t>
    </r>
    <r>
      <rPr>
        <sz val="14"/>
        <color rgb="FFFF0000"/>
        <rFont val="微软雅黑"/>
        <charset val="134"/>
      </rPr>
      <t>(标红仓点按12KG起收)
单价按100KG段+1/KG
51KG-100KG按100KG+同价</t>
    </r>
  </si>
  <si>
    <t>18-20天</t>
  </si>
  <si>
    <r>
      <rPr>
        <b/>
        <sz val="14"/>
        <color theme="1"/>
        <rFont val="微软雅黑"/>
        <charset val="134"/>
      </rPr>
      <t>含税自提</t>
    </r>
    <r>
      <rPr>
        <b/>
        <sz val="14"/>
        <color rgb="FFFF0000"/>
        <rFont val="微软雅黑"/>
        <charset val="134"/>
      </rPr>
      <t>(出库费15美金/托 汇率7）</t>
    </r>
  </si>
  <si>
    <r>
      <rPr>
        <b/>
        <sz val="11"/>
        <color theme="1"/>
        <rFont val="微软雅黑"/>
        <charset val="134"/>
      </rPr>
      <t>单票51KG以上,重货减免优惠：1:200减0.5,</t>
    </r>
    <r>
      <rPr>
        <b/>
        <sz val="11"/>
        <color rgb="FFFF0000"/>
        <rFont val="微软雅黑"/>
        <charset val="134"/>
      </rPr>
      <t>1:250减1.5</t>
    </r>
    <r>
      <rPr>
        <b/>
        <sz val="11"/>
        <color theme="1"/>
        <rFont val="微软雅黑"/>
        <charset val="134"/>
      </rPr>
      <t>,1:300减2,1:350减2.5,1:450减3,1:500及以上减3.5.</t>
    </r>
  </si>
  <si>
    <t>理赔注意事项</t>
  </si>
  <si>
    <t>1&gt;以上按方/按公斤含税价格含海关查验及查验引起的其它费用.包税价格含查验费,除查验费外的其他费用，例如亚马逊爆仓引起的仓租/柜租，非我司原因导致的亚马逊拒收产生的相关费用，申报不符海关惩罚金,扣关,退运等包税价格都是不包含的，请客户将这些官方收费也考虑到成本中，以免引起误会；                                                                                                                                                                                                                                             2&gt;按方含税价格包含海关查验费，如因报关资料问题引起的出口查验由客人承担所有相关费用（如仓租，柜租，改船费等),因为国外清关资质认证问题或者产品本身问题导致的查验费及额外费用由这票货来承担；                                                                                                                                                                                                                                                   3&gt;不可抗力因素造成的时效延误不在赔偿范围内，如：海关查验，如自然灾害、如台风、地震、洪水、冰雹,，暴风雪；政府行为，社会异常事件，如罢工、骚乱三方面，疫情原因导致仓库预约困难或延识误等。                                                                                                                                                                                                                          4&gt;拒收一切敏感货，冲货如被海关扣货罚没销毁等，不退运费，我司也不承担任何责任.品名必需如实申报,如遇查验,申报与实际品名不一致将会产生巨额关税,客户自负.</t>
  </si>
  <si>
    <t>服务小贴士</t>
  </si>
  <si>
    <t>1&gt;为了更好的服务客户和统计仓位，来货请务必贴上我司的进仓标签.
2&gt;空仓费产生情况：过了截单时间做的行为；更改渠道、客户原因延船期等；货物在截货时间前未到我司国内仓库.</t>
  </si>
  <si>
    <t>其它费用</t>
  </si>
  <si>
    <t>按方渠道的计费重是按实际立方数和实重/363取大值计算的,卡派单箱无最低计费重量限制，托盘货物不按方算.                                                                                                                                                                                                                              最长边超过120CM小于165CM加收RMB1/KG(按方含税+200/CBM),单边超过165CM拒收；                                                                                                                                                                                                                                                                                                                                                                                                 报关费按200RMB/票。
托盘、木架、木箱类货物泡货计费重*1.1*1.1算计费重；
实重托盘比重达到1:200的比重系数*0.75算比重系数，计费重不*1.1。
自提出库费按“单板限2方/1200磅”取较大值计费，超出部分按第二板计算；超大件自提费用请单独咨询客服。</t>
  </si>
  <si>
    <r>
      <rPr>
        <b/>
        <sz val="26"/>
        <color rgb="FF0000FF"/>
        <rFont val="微软雅黑"/>
        <charset val="134"/>
      </rPr>
      <t xml:space="preserve">SSH美森MAX卡派 渠道代码：SSH02 </t>
    </r>
    <r>
      <rPr>
        <b/>
        <sz val="26"/>
        <color rgb="FFFF0000"/>
        <rFont val="微软雅黑"/>
        <charset val="134"/>
      </rPr>
      <t>（进福建内陆费+0.4/KG）</t>
    </r>
  </si>
  <si>
    <r>
      <rPr>
        <b/>
        <sz val="12"/>
        <color theme="1"/>
        <rFont val="微软雅黑"/>
        <charset val="134"/>
      </rPr>
      <t>下单渠道：</t>
    </r>
    <r>
      <rPr>
        <b/>
        <sz val="12"/>
        <color rgb="FFFF0000"/>
        <rFont val="微软雅黑"/>
        <charset val="134"/>
      </rPr>
      <t>SSH02</t>
    </r>
    <r>
      <rPr>
        <b/>
        <sz val="12"/>
        <color theme="1"/>
        <rFont val="微软雅黑"/>
        <charset val="134"/>
      </rPr>
      <t>卡派/</t>
    </r>
    <r>
      <rPr>
        <b/>
        <sz val="12"/>
        <color rgb="FFFF0000"/>
        <rFont val="微软雅黑"/>
        <charset val="134"/>
      </rPr>
      <t>SSHJF02</t>
    </r>
    <r>
      <rPr>
        <b/>
        <sz val="12"/>
        <color theme="1"/>
        <rFont val="微软雅黑"/>
        <charset val="134"/>
      </rPr>
      <t xml:space="preserve">卡派
</t>
    </r>
    <r>
      <rPr>
        <b/>
        <sz val="12"/>
        <color rgb="FFFF0000"/>
        <rFont val="微软雅黑"/>
        <charset val="134"/>
      </rPr>
      <t>SSH02</t>
    </r>
    <r>
      <rPr>
        <b/>
        <sz val="12"/>
        <color theme="1"/>
        <rFont val="微软雅黑"/>
        <charset val="134"/>
      </rPr>
      <t>卡派-按方计费/</t>
    </r>
    <r>
      <rPr>
        <b/>
        <sz val="12"/>
        <color rgb="FFFF0000"/>
        <rFont val="微软雅黑"/>
        <charset val="134"/>
      </rPr>
      <t>SSHJF02</t>
    </r>
    <r>
      <rPr>
        <b/>
        <sz val="12"/>
        <color theme="1"/>
        <rFont val="微软雅黑"/>
        <charset val="134"/>
      </rPr>
      <t xml:space="preserve">-按方计费
</t>
    </r>
  </si>
  <si>
    <r>
      <rPr>
        <sz val="11"/>
        <color theme="1"/>
        <rFont val="微软雅黑"/>
        <charset val="134"/>
      </rPr>
      <t xml:space="preserve">18天                                   </t>
    </r>
    <r>
      <rPr>
        <sz val="8"/>
        <color theme="1"/>
        <rFont val="微软雅黑"/>
        <charset val="134"/>
      </rPr>
      <t>(开船第二天开始,承诺18天内入仓(送仓当日不算赔付时效),第19天开始,    退0.5元/KG/每天,最多退2元/KG)</t>
    </r>
  </si>
  <si>
    <t>19-25天</t>
  </si>
  <si>
    <t>13-15天</t>
  </si>
  <si>
    <t>1&gt;为了更好的服务客户和统计仓位，来货请务必贴上我司的进仓标签.</t>
  </si>
  <si>
    <t>2&gt;空仓费产生情况：过了截单时间做的行为；更改渠道、客户原因延船期等；货物在截货时间前未到我司国内仓库.</t>
  </si>
  <si>
    <r>
      <rPr>
        <b/>
        <sz val="26"/>
        <color rgb="FF0000FF"/>
        <rFont val="微软雅黑"/>
        <charset val="134"/>
      </rPr>
      <t xml:space="preserve">SSH快船EXX卡派 渠道代码：SSH03 </t>
    </r>
    <r>
      <rPr>
        <b/>
        <sz val="26"/>
        <color rgb="FFFF0000"/>
        <rFont val="微软雅黑"/>
        <charset val="134"/>
      </rPr>
      <t>（进福建内陆费+0.4/KG）</t>
    </r>
  </si>
  <si>
    <r>
      <rPr>
        <b/>
        <sz val="12"/>
        <color theme="1"/>
        <rFont val="微软雅黑"/>
        <charset val="134"/>
      </rPr>
      <t>下单渠道：</t>
    </r>
    <r>
      <rPr>
        <b/>
        <sz val="12"/>
        <color rgb="FFFF0000"/>
        <rFont val="微软雅黑"/>
        <charset val="134"/>
      </rPr>
      <t>SSH03</t>
    </r>
    <r>
      <rPr>
        <b/>
        <sz val="12"/>
        <color theme="1"/>
        <rFont val="微软雅黑"/>
        <charset val="134"/>
      </rPr>
      <t>卡派/</t>
    </r>
    <r>
      <rPr>
        <b/>
        <sz val="12"/>
        <color rgb="FFFF0000"/>
        <rFont val="微软雅黑"/>
        <charset val="134"/>
      </rPr>
      <t>SSHJF03</t>
    </r>
    <r>
      <rPr>
        <b/>
        <sz val="12"/>
        <color theme="1"/>
        <rFont val="微软雅黑"/>
        <charset val="134"/>
      </rPr>
      <t xml:space="preserve">卡派
</t>
    </r>
    <r>
      <rPr>
        <b/>
        <sz val="12"/>
        <color rgb="FFFF0000"/>
        <rFont val="微软雅黑"/>
        <charset val="134"/>
      </rPr>
      <t>SSH03</t>
    </r>
    <r>
      <rPr>
        <b/>
        <sz val="12"/>
        <color theme="1"/>
        <rFont val="微软雅黑"/>
        <charset val="134"/>
      </rPr>
      <t>卡派-按方计费/</t>
    </r>
    <r>
      <rPr>
        <b/>
        <sz val="12"/>
        <color rgb="FFFF0000"/>
        <rFont val="微软雅黑"/>
        <charset val="134"/>
      </rPr>
      <t>SSHJF03</t>
    </r>
    <r>
      <rPr>
        <b/>
        <sz val="12"/>
        <color theme="1"/>
        <rFont val="微软雅黑"/>
        <charset val="134"/>
      </rPr>
      <t>-按方计费</t>
    </r>
  </si>
  <si>
    <r>
      <rPr>
        <sz val="11"/>
        <color theme="1"/>
        <rFont val="微软雅黑"/>
        <charset val="134"/>
      </rPr>
      <t xml:space="preserve">19天                                   </t>
    </r>
    <r>
      <rPr>
        <sz val="8"/>
        <color theme="1"/>
        <rFont val="微软雅黑"/>
        <charset val="134"/>
      </rPr>
      <t>(开船第二天开始,承诺19天内入仓(送仓当日不算赔付时效),第20天开始,    退0.5元/KG/每天,最多退2元/KG)</t>
    </r>
  </si>
  <si>
    <t>SSH盐田以星南沙合德限时达卡派</t>
  </si>
  <si>
    <t>下单渠道：SSH04卡派/SSH04卡派-按方计费</t>
  </si>
  <si>
    <t>深圳交货价</t>
  </si>
  <si>
    <t>广州交货价</t>
  </si>
  <si>
    <t>20-22天</t>
  </si>
  <si>
    <t>16-20天</t>
  </si>
  <si>
    <t>按方渠道的计费重是按实际立方数和实重/363取大值计算的,卡派单箱无最低计费重量限制，托盘货物不按方算.                                                                                                                                                                                                                                   最长边超过120CM小于165CM加收RMB1/KG(按方含税+200/CBM),单边超过165CM拒收；                                                                                                                                                                                                                                                                                                                                                                                                 报关费按200RMB/票。
托盘、木架、木箱类货物泡货计费重*1.1*1.1算计费重；
实重托盘比重达到1:200的比重系数*0.75算比重系数，计费重不*1.1。
自提出库费按“单板限2方/1200磅”取较大值计费，超出部分按第二板计算；超大件自提费用请单独咨询客服。</t>
  </si>
  <si>
    <t>SSH盐田以星南沙合德DG限时达卡派</t>
  </si>
  <si>
    <t>下单渠道：SSHDG04卡派</t>
  </si>
  <si>
    <t>发货与责任条款
为保障运输顺利，请贵司务必遵守以下条款，使用我司服务即视为完全同意本规定。</t>
  </si>
  <si>
    <t>一、发货须知
出货前，须与我司客服确认货物可运性与清关要求。发货人必须提供准确、完整的报关及产品认证文件（如MSDS、UN38.3、危包证等）。如因私自发货、资料不全或错误、货物不合规（含侵权、反倾销产品）导致的一切风险、退货费用及责任，概由贵司承担。</t>
  </si>
  <si>
    <t>二、包装要求
所有货物外箱及产品上须有永久性“MADE IN CHINA”标识。纯电池/危险品货物须按我司要求使用合规包装，并牢固张贴对应危险品标签（如9类标签、UN标签）及运输标签（如FBA标签）。因包装或标识不合规导致的清关或派送问题，由贵司负责。</t>
  </si>
  <si>
    <t>三、货物交付要求说明
对于派送货物，收货人签收POD单即视为妥投，异常须在签收时注明或于三日内反馈。亚马逊仓库货物，入仓后一个月内未反馈上架异常则视为正常签收。我司将以POD签收记录作为货物交付完成的最终凭证。</t>
  </si>
  <si>
    <t>四、赔偿及索赔说明
如未购买保险，货物丢失、损毁赔偿上限为40元人民币/公斤（扣关/提取前），且不退运费。对于运输延误、海关查验、已签收未上架、包装完好内物破损等情况，我司不承担赔偿责任。任何索赔须在货物实际派送日起30天内提出，逾期无效。因贵司申报不符、资料问题或货物自身原因导致的任何损失，我司不承担赔偿责任。</t>
  </si>
  <si>
    <r>
      <rPr>
        <b/>
        <sz val="26"/>
        <color rgb="FF0000FF"/>
        <rFont val="微软雅黑"/>
        <charset val="134"/>
      </rPr>
      <t xml:space="preserve">SSH义乌合德以星限时达卡派 </t>
    </r>
    <r>
      <rPr>
        <b/>
        <sz val="26"/>
        <color rgb="FFFF0000"/>
        <rFont val="微软雅黑"/>
        <charset val="134"/>
      </rPr>
      <t>（进福建内陆费+0.4/KG）</t>
    </r>
  </si>
  <si>
    <t>下单渠道：SSHYW05卡派/SSHYW05卡派-按方计费
SSHYWJF05卡派/SSHYWJF05卡派-按方计费</t>
  </si>
  <si>
    <t>SSH盐田以星南沙合德普提卡派</t>
  </si>
  <si>
    <t>下单渠道：SSH06卡派/SSH06卡派-按方计费</t>
  </si>
  <si>
    <t>执行日期：2026-2-26</t>
  </si>
  <si>
    <t>单票51KG以上,重货减免优惠：1:200减0.3,1:250减0.6,1:300减0.9,1:350减1.2,1:450及以上减1.5.</t>
  </si>
  <si>
    <t>按方渠道的计费重是按实际立方数和实重/363取大值计算的,卡派单箱无最低计费重量限制，托盘货物不按方算.                                                                                                                                                                                                                                   最长边超过120CM小于165CM加收RMB1/KG(按方含税+200/CBM),单边超过165CM拒收；                                                                                                                                                                                                                                                                                                                                                                                                 报关费按200RMB/票。
托盘、木架、木箱类货物泡货计费重*1.1*1.1算计费重；
实重托盘比重达到1:200的比重系数*0.75算比重系数，计费重不*1.1。</t>
  </si>
  <si>
    <r>
      <rPr>
        <b/>
        <sz val="24"/>
        <color rgb="FF0000FF"/>
        <rFont val="微软雅黑"/>
        <charset val="134"/>
      </rPr>
      <t xml:space="preserve">SSH普船洛杉矶卡派 </t>
    </r>
    <r>
      <rPr>
        <b/>
        <sz val="24"/>
        <color rgb="FFFF0000"/>
        <rFont val="微软雅黑"/>
        <charset val="134"/>
      </rPr>
      <t>（进福建内陆费+0.4/KG）</t>
    </r>
  </si>
  <si>
    <r>
      <rPr>
        <b/>
        <sz val="12"/>
        <rFont val="微软雅黑"/>
        <charset val="134"/>
      </rPr>
      <t>交货深圳下单渠道：SSH07卡派/SSH07卡派-按方计费
交货义乌下单渠道：SSHYW07卡派/SSHYW07-按方计费
                                   SSHYWJF07卡派/SSHYWJF07卡派-按方计费</t>
    </r>
    <r>
      <rPr>
        <b/>
        <sz val="20"/>
        <color rgb="FFFF0000"/>
        <rFont val="微软雅黑"/>
        <charset val="134"/>
      </rPr>
      <t>（义乌普船进深圳、广州内陆费+0.3/KG）</t>
    </r>
  </si>
  <si>
    <t>20-25天</t>
  </si>
  <si>
    <r>
      <rPr>
        <sz val="11"/>
        <color theme="1"/>
        <rFont val="微软雅黑"/>
        <charset val="134"/>
      </rPr>
      <t xml:space="preserve">普船ZIM/合德/OA 等统配根据到货时间顺序就近                                 安排船期-循环装柜                              (目的港：洛杉矶)          </t>
    </r>
    <r>
      <rPr>
        <sz val="11"/>
        <color rgb="FFFF0000"/>
        <rFont val="微软雅黑"/>
        <charset val="134"/>
      </rPr>
      <t xml:space="preserve">入仓单请注明渠道：     </t>
    </r>
    <r>
      <rPr>
        <b/>
        <sz val="11"/>
        <color rgb="FFFF0000"/>
        <rFont val="微软雅黑"/>
        <charset val="134"/>
      </rPr>
      <t xml:space="preserve">普船洛杉矶卡派 -组合柜 </t>
    </r>
    <r>
      <rPr>
        <sz val="11"/>
        <color rgb="FFFF0000"/>
        <rFont val="微软雅黑"/>
        <charset val="134"/>
      </rPr>
      <t xml:space="preserve">     </t>
    </r>
    <r>
      <rPr>
        <b/>
        <sz val="10"/>
        <color rgb="FFFF0000"/>
        <rFont val="微软雅黑"/>
        <charset val="134"/>
      </rPr>
      <t>（按方包税/公斤包税）</t>
    </r>
  </si>
  <si>
    <t>22-26天</t>
  </si>
  <si>
    <t>23-27天</t>
  </si>
  <si>
    <t>25-28天</t>
  </si>
  <si>
    <t>28-32天</t>
  </si>
  <si>
    <t>30-35天</t>
  </si>
  <si>
    <r>
      <rPr>
        <b/>
        <sz val="11"/>
        <color theme="1"/>
        <rFont val="微软雅黑"/>
        <charset val="134"/>
      </rPr>
      <t>单票51KG以上,重货减免优惠：</t>
    </r>
    <r>
      <rPr>
        <b/>
        <sz val="11"/>
        <color rgb="FFFF0000"/>
        <rFont val="微软雅黑"/>
        <charset val="134"/>
      </rPr>
      <t>1:200减0.3,1:250减0.6,</t>
    </r>
    <r>
      <rPr>
        <b/>
        <sz val="11"/>
        <color theme="1"/>
        <rFont val="微软雅黑"/>
        <charset val="134"/>
      </rPr>
      <t>1:300减0.9,1:350减1.2,1:450及以上减1.5.</t>
    </r>
  </si>
  <si>
    <r>
      <rPr>
        <b/>
        <sz val="26"/>
        <color rgb="FF0000FF"/>
        <rFont val="微软雅黑"/>
        <charset val="134"/>
      </rPr>
      <t>SSH美西特惠卡派</t>
    </r>
    <r>
      <rPr>
        <b/>
        <sz val="26"/>
        <color rgb="FFFF0000"/>
        <rFont val="微软雅黑"/>
        <charset val="134"/>
      </rPr>
      <t>（货满安排最近一水）</t>
    </r>
  </si>
  <si>
    <t>交货深圳下单渠道：SSH盐田美西特惠卡派一区 至 七区/SSH盐田美西特惠卡派一区 至 七区-按方计费
交货广州下单渠道：SSH广州美西特惠卡派一区 至 七区/SSH广州美西特惠卡派一区 至 七区-按方计费
交货义乌下单渠道：SSH义乌美西特惠卡派一区 至 七区/SSH义乌美西特惠卡派一区 至 七区-按方计费
                                   SSH义乌JF美西特惠卡派一区 至 七区/SSH义乌JF美西特惠卡派一区 至 七区-按方计费</t>
  </si>
  <si>
    <t>执行日期：2025-8-12</t>
  </si>
  <si>
    <t>ONT8/LGB8/LAX9/SBD1/POC1/ POC3/IUSP/IUSQ/IUSJ</t>
  </si>
  <si>
    <r>
      <rPr>
        <sz val="11"/>
        <color theme="1"/>
        <rFont val="微软雅黑"/>
        <charset val="134"/>
      </rPr>
      <t xml:space="preserve">普船SML/YML/ONE等统配根据到货时间顺序就近安排船期循环装柜                              (目的港：洛杉矶)                   </t>
    </r>
    <r>
      <rPr>
        <sz val="11"/>
        <color rgb="FFFF0000"/>
        <rFont val="微软雅黑"/>
        <charset val="134"/>
      </rPr>
      <t xml:space="preserve">入仓单请注明渠道：            </t>
    </r>
    <r>
      <rPr>
        <b/>
        <sz val="11"/>
        <color rgb="FFFF0000"/>
        <rFont val="微软雅黑"/>
        <charset val="134"/>
      </rPr>
      <t>美西特惠</t>
    </r>
    <r>
      <rPr>
        <b/>
        <sz val="10"/>
        <color rgb="FFFF0000"/>
        <rFont val="微软雅黑"/>
        <charset val="134"/>
      </rPr>
      <t xml:space="preserve">卡派             </t>
    </r>
    <r>
      <rPr>
        <sz val="11"/>
        <color rgb="FFFF0000"/>
        <rFont val="微软雅黑"/>
        <charset val="134"/>
      </rPr>
      <t xml:space="preserve">           </t>
    </r>
    <r>
      <rPr>
        <b/>
        <sz val="10"/>
        <color rgb="FFFF0000"/>
        <rFont val="微软雅黑"/>
        <charset val="134"/>
      </rPr>
      <t>（按方包税/公斤包税）</t>
    </r>
  </si>
  <si>
    <t>GYR3/GYR2/LAS1/SMF3/SCK4/ FAT2/GEU3/GEU2/GEU5/
MIT2/VGT2/TCY1/TCY2/SCK8</t>
  </si>
  <si>
    <t>SLC2/FTW1/SAT1/IAH3/ABQ2/ AMA1/SAT4/DFW6/IUSF/
FTW3/FTW5/SLC3/HOU7/HOU8</t>
  </si>
  <si>
    <t>IND9/MDW2/FWA4/MEM1/ MQJ1/DEN8/DEN2/PPO4/RFD2/
ORD2/LFT1/LIT2</t>
  </si>
  <si>
    <t>STL3/PSC2/STL4/OKC2/ICT2/  PDX7/GEG2/BFI3/OKC2/
ICT2/PDX7/GEG2</t>
  </si>
  <si>
    <t>CLT2/RDU2/CLT3/RDU4/GSO1</t>
  </si>
  <si>
    <t>ABE4/ABE8/AVP1/TEB3/TEB6/ TEB9/ACY2/TPA3/PBI3/
RMN3/ORF2/SWF2/SWF1/ALB1/CHO1</t>
  </si>
  <si>
    <t>美西特惠卡派渠道有甩柜概率，仓保难度大，如介意请谨慎选择！对于时效要求高的可优先选择普船洛杉矶卡派仓保几率更高。</t>
  </si>
  <si>
    <r>
      <rPr>
        <sz val="11"/>
        <color theme="1"/>
        <rFont val="微软雅黑"/>
        <charset val="134"/>
      </rPr>
      <t>按方渠道的计费重是按实际立方数和实重/363取大值计算的,卡派单箱无最低计费重量限制，托盘货物</t>
    </r>
    <r>
      <rPr>
        <b/>
        <sz val="11"/>
        <color theme="1"/>
        <rFont val="微软雅黑"/>
        <charset val="134"/>
      </rPr>
      <t>+0.5/KG附加</t>
    </r>
    <r>
      <rPr>
        <sz val="11"/>
        <color theme="1"/>
        <rFont val="微软雅黑"/>
        <charset val="134"/>
      </rPr>
      <t>，不按方算.                                                                                                                                                                                                                        最长边超过120CM小于165CM加收RMB1/KG(按方含税+200/CBM),单边超过165CM拒收；                                                                                                                                                                                                                                                                                                                                                                                                 报关费按</t>
    </r>
    <r>
      <rPr>
        <b/>
        <sz val="11"/>
        <color theme="1"/>
        <rFont val="微软雅黑"/>
        <charset val="134"/>
      </rPr>
      <t>350RMB/票。
托盘、木架、木箱类货物计费重*1.1计费，例如：一块托盘货物的实重是500KG，材积重600KG，实际计费重取材积大600KG，因托盘类货物额外计费重按660KG计费。</t>
    </r>
  </si>
  <si>
    <t>SSHDG洛杉矶卡派</t>
  </si>
  <si>
    <t>交货深圳、广州下单渠道：SSHDG07卡派</t>
  </si>
  <si>
    <t>SSH普船芝加哥卡派</t>
  </si>
  <si>
    <t>交货深圳/广州下单渠道：SSH普船芝加哥卡派/SSH普船芝加哥卡派-按方计费
交货义乌下单渠道：SSH义乌普船芝加哥卡派/SSH义乌普船芝加哥卡派-按方计费</t>
  </si>
  <si>
    <t>执行日期：2026-1-13</t>
  </si>
  <si>
    <t>MDW2/ORD2/IGQ2/MDW6/ MDW8/MDW9/RFD2/RFD4/JVL1</t>
  </si>
  <si>
    <t>40-45天</t>
  </si>
  <si>
    <r>
      <rPr>
        <sz val="11"/>
        <color theme="1"/>
        <rFont val="微软雅黑"/>
        <charset val="134"/>
      </rPr>
      <t xml:space="preserve">普船统配根据到货时间顺序就近安排船期                  (目的港：芝加哥)          入仓单请注明渠道：    </t>
    </r>
    <r>
      <rPr>
        <b/>
        <sz val="11"/>
        <color rgb="FFFF0000"/>
        <rFont val="微软雅黑"/>
        <charset val="134"/>
      </rPr>
      <t>普船芝加哥卡派-组合柜</t>
    </r>
    <r>
      <rPr>
        <sz val="11"/>
        <color theme="1"/>
        <rFont val="微软雅黑"/>
        <charset val="134"/>
      </rPr>
      <t xml:space="preserve">        </t>
    </r>
    <r>
      <rPr>
        <b/>
        <sz val="10"/>
        <color rgb="FFFF0000"/>
        <rFont val="微软雅黑"/>
        <charset val="134"/>
      </rPr>
      <t>（按方包税/公斤包税）</t>
    </r>
  </si>
  <si>
    <t>IND9/FWA4/MQJ1/MQJ2/STL4/ IND2/IND4/IND5</t>
  </si>
  <si>
    <t>DET1/DET2/CMH2/CMH3</t>
  </si>
  <si>
    <t>FOE1/MKC4/MEM1/MEM6/MCI3/STL3</t>
  </si>
  <si>
    <r>
      <rPr>
        <b/>
        <sz val="11"/>
        <color theme="1"/>
        <rFont val="微软雅黑"/>
        <charset val="134"/>
      </rPr>
      <t>单票51KG以上,重货减免优惠:</t>
    </r>
    <r>
      <rPr>
        <b/>
        <sz val="11"/>
        <color rgb="FFFF0000"/>
        <rFont val="微软雅黑"/>
        <charset val="134"/>
      </rPr>
      <t>1:200减0.5,1:250减1</t>
    </r>
    <r>
      <rPr>
        <b/>
        <sz val="11"/>
        <color theme="1"/>
        <rFont val="微软雅黑"/>
        <charset val="134"/>
      </rPr>
      <t>,1:300减1.5,1:350减2,1:450及以上减2.5.</t>
    </r>
  </si>
  <si>
    <t>按方渠道的计费重是按实际立方数和实重/363取大值计算的,卡派单箱无最低计费重量限制，托盘货物+0.5/KG附加，不按方算.                                                                                                                                                                                                                        最长边超过120CM小于165CM加收RMB1/KG(按方含税+200/CBM),单边超过165CM拒收；                                                                                                                                                                                                                                                                                                                                                                                                 报关费按200RMB/票。
托盘、木架、木箱类货物计费重*1.1计费，例如：一块托盘货物的实重是500KG，材积重600KG，实际计费重取材积大600KG，因托盘类货物额外计费重按660KG计费。
木箱木架、托盘货物，因占货柜容积率，无比重优惠，以此执行！</t>
  </si>
  <si>
    <r>
      <rPr>
        <b/>
        <sz val="26"/>
        <color rgb="FF0000FF"/>
        <rFont val="微软雅黑"/>
        <charset val="134"/>
      </rPr>
      <t>SSH普船纽约卡派</t>
    </r>
    <r>
      <rPr>
        <b/>
        <sz val="26"/>
        <color rgb="FFFF0000"/>
        <rFont val="微软雅黑"/>
        <charset val="134"/>
      </rPr>
      <t>（进福建内陆费+0.4/KG）</t>
    </r>
  </si>
  <si>
    <r>
      <rPr>
        <b/>
        <sz val="14"/>
        <rFont val="微软雅黑"/>
        <charset val="134"/>
      </rPr>
      <t xml:space="preserve">交货深圳/广州下单渠道：SSH普船纽约卡派/SSH普船纽约卡派-按方计费
交货义乌下单渠道：SSH义乌普船纽约卡派/SSH义乌普船纽约卡派-按方计费 </t>
    </r>
    <r>
      <rPr>
        <b/>
        <sz val="20"/>
        <color rgb="FFFF0000"/>
        <rFont val="微软雅黑"/>
        <charset val="134"/>
      </rPr>
      <t>（义乌纽约进深圳、广州内陆费+0.3/KG）</t>
    </r>
  </si>
  <si>
    <r>
      <rPr>
        <sz val="11"/>
        <color theme="1"/>
        <rFont val="微软雅黑"/>
        <charset val="134"/>
      </rPr>
      <t xml:space="preserve">OA船/ZIM统配根据到货时间顺序就近安排 船期(目的港：纽约)          </t>
    </r>
    <r>
      <rPr>
        <b/>
        <sz val="11"/>
        <color rgb="FFFF0000"/>
        <rFont val="微软雅黑"/>
        <charset val="134"/>
      </rPr>
      <t>入仓单请注明渠道：  普船纽约卡派           （按方包税/公斤包税）</t>
    </r>
  </si>
  <si>
    <t>45-50天</t>
  </si>
  <si>
    <r>
      <rPr>
        <b/>
        <sz val="14"/>
        <color theme="1"/>
        <rFont val="微软雅黑"/>
        <charset val="134"/>
      </rPr>
      <t>含税自提</t>
    </r>
    <r>
      <rPr>
        <b/>
        <sz val="14"/>
        <color rgb="FFFF0000"/>
        <rFont val="微软雅黑"/>
        <charset val="134"/>
      </rPr>
      <t>(出库费15美金/托     汇率7）</t>
    </r>
  </si>
  <si>
    <t>交货深圳/广州下单渠道：SSH普船萨凡纳卡派/SSH普船萨凡纳卡派-按方计费
交货义乌下单渠道：SSH义乌普船萨凡纳卡派/SSH义乌普船萨凡纳卡派-按方计费</t>
  </si>
  <si>
    <r>
      <rPr>
        <sz val="11"/>
        <color theme="1"/>
        <rFont val="微软雅黑"/>
        <charset val="134"/>
      </rPr>
      <t xml:space="preserve">OA直航船根据到货时间顺序就近安排船期 (目的港：萨凡纳)          </t>
    </r>
    <r>
      <rPr>
        <b/>
        <sz val="11"/>
        <color rgb="FFFF0000"/>
        <rFont val="微软雅黑"/>
        <charset val="134"/>
      </rPr>
      <t xml:space="preserve">入仓单请注明渠道： 普船萨凡纳卡派        </t>
    </r>
    <r>
      <rPr>
        <b/>
        <sz val="10"/>
        <color rgb="FFFF0000"/>
        <rFont val="微软雅黑"/>
        <charset val="134"/>
      </rPr>
      <t>（按方包税/公斤包税）</t>
    </r>
  </si>
  <si>
    <t>赔偿标准和免赔声明</t>
  </si>
  <si>
    <t>一、时效赔付界定：以不同渠道时效说明为准</t>
  </si>
  <si>
    <t>二、时效免赔说明</t>
  </si>
  <si>
    <t>1、船公司船期/航线变更/延迟到港，自然灾害、天气原因，如台风、地震、洪水、冰雹,，暴风雪，雾；政府行为，社会异常事件包括战争，罢工等</t>
  </si>
  <si>
    <t>2、海关查验</t>
  </si>
  <si>
    <t>3、亚马逊拒收或者亚马逊更改预约时间</t>
  </si>
  <si>
    <t>4、亚马逊爆仓及预约困难</t>
  </si>
  <si>
    <t>5、客户FBA ID &amp; 内部编码失误等相关原因</t>
  </si>
  <si>
    <t>6、客户要求扣货后派送或者因客户自身原因导致的延误</t>
  </si>
  <si>
    <t>7、由于疫情，国内仓库无法出货，船公司卸船效率慢，预约困难，拒收等不可抗力导致的延迟交仓,不在赔偿范围,此项如与具体渠道的时效赔付标准有区分，则与具体渠道的标准为准</t>
  </si>
  <si>
    <t>三、赔偿标准（所有赔偿只有一种，不能多种赔偿同时赔付）</t>
  </si>
  <si>
    <r>
      <rPr>
        <b/>
        <sz val="10"/>
        <color theme="1"/>
        <rFont val="微软雅黑"/>
        <charset val="134"/>
      </rPr>
      <t>1、在运输过程中如是我司原因导致货物丢失，损坏,经我司确认后按货物申报货值赔偿，最高不超</t>
    </r>
    <r>
      <rPr>
        <b/>
        <sz val="10"/>
        <color rgb="FFFF0000"/>
        <rFont val="微软雅黑"/>
        <charset val="134"/>
      </rPr>
      <t>40元/KG</t>
    </r>
    <r>
      <rPr>
        <b/>
        <sz val="10"/>
        <color theme="1"/>
        <rFont val="微软雅黑"/>
        <charset val="134"/>
      </rPr>
      <t>赔偿，不免相关物流费用。三个月后还未上架或者部分上架，需要提供最新日期的未上架证明，未上架部分不足1箱的没有赔偿。理赔需要提供采购发票和最新日期的未上架证明等相关资料，以便对货值的合理性进行评估。即</t>
    </r>
    <r>
      <rPr>
        <b/>
        <sz val="10"/>
        <color rgb="FFFF0000"/>
        <rFont val="微软雅黑"/>
        <charset val="134"/>
      </rPr>
      <t>40元/KG</t>
    </r>
    <r>
      <rPr>
        <b/>
        <sz val="10"/>
        <color theme="1"/>
        <rFont val="微软雅黑"/>
        <charset val="134"/>
      </rPr>
      <t>，采购货值，申报货值三者取低赔偿 ,(针对美线全渠道卡派)</t>
    </r>
  </si>
  <si>
    <t>2、高货值产品及易碎品建议客人购买保险并打好包装，我司亦可提供购买保险服务；如若在运输过程中出因现包装原因而造成的损失而客人没有购买保险，我司概不负责。</t>
  </si>
  <si>
    <t>3、卡派货交亚马逊仓库，POD（预约号与FBA ID无法对应），但是整票未上架的，我司接受理赔申请，赔偿金额按照我司合同条款  ；（不包括FBA号过期导致的亚马逊拒收和不上架 ；FBA号过期后客户仍然要求我们派送，导致的亚马逊拒收和不上架）</t>
  </si>
  <si>
    <t>4、快递货交私人仓库/商业地址/亚马逊仓库，如若是整票未提取，我司接受理赔申请，赔偿金额按照我司合同条款
（不包括FBA号过期导致的亚马逊拒收和不上架 ；FBA号过期后客户仍然要求我们派送，导致的亚马逊拒收和不上架）</t>
  </si>
  <si>
    <t>5、快递货交私人仓库/商业地址/亚马逊仓库，快递显示部分未提取+部分已经签收，收货人反馈未收到货物或收到部分货物，我司能够接受理赔，但是私人仓库和商业地址需要签收人提供相应的情况说明书签字（需要显示个人Passport No.）</t>
  </si>
  <si>
    <t>6、卡派货交亚马逊仓库，POD（预约号与FBA ID无法对应），但是部分上架或部分不上架，未上架部分我司根据具体情况给出处理方案。如若确认理赔，赔偿金额按照我司合同条款标准
（不包括FBA号过期导致的亚马逊拒收和不上架 ；FBA号过期后客户仍然要求我们派送，导致的亚马逊拒收和不上架）</t>
  </si>
  <si>
    <t>四、免赔声明</t>
  </si>
  <si>
    <t>1、 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</si>
  <si>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</si>
  <si>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</si>
  <si>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t>4、尾端快递派免赔说明：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*货交私人仓库/商业地址，签收后以签收单上面标注的为准（例如标注了少货或货损），我司协助推进快递服务商开查，不承担其它责任。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</si>
  <si>
    <t>5、尾端卡派免赔说明：
*私人仓库/商业地址，卡派POD已经显示签收，但是反馈并未收到货物/ 部分未签收；
*私人仓库/商业地址，签收后签收单上面未注明有少货或货损
*货送亚马逊，有签名的POD，同一票货，部分货物已经上架不再接受理赔.</t>
  </si>
  <si>
    <t>6、申请UPS/FEDEX索赔期限及规则：追诉期从打单之日起算100个自然日内，且快递轨迹停更之日起算45个自然日内，同时满足两个条件可发起开查申请，逾期将不予以受理开查申请，产生的相应责任及损失由客户自行承担。船期超过50天以上的，将在目的港更换UPS面单。
①未提取的 ，快递官方不受理索赔申请，请按“五、申请索赔期限及规则”中第2条标准处理；②若提取后迟迟未有动态，请在快递轨迹停更后7个工作日向我司客服人员发起开查申请，同时提供快递开查相关资料，最晚发起时间应当在快递轨迹停更之日(含停更当天)起45个自然日内提供完整资料，逾期我司将不再接受理赔申请。
申请索赔需要提供如下资料：①已提取未有动态的：开查的UPS/FEDEX模板+INV+未上架截图(需带有电脑屏幕右下角当下真实时间)；②未提取的：未提取开查表+未上架截图(需带有电脑屏幕右下角当下真实时间)
（索赔资料可能会有变动，具体以我司/快递公司要求为准）
注：若逾期未提供完整相应索赔资料导致超期申请索赔，则相应责任由客户自行承担，我司不再接受理赔申请。</t>
  </si>
  <si>
    <t>7、漏报关赔偿：按3倍报关费赔偿，则3*200元</t>
  </si>
  <si>
    <t>8、如出现未上架情况，请按要求提供相关资料进行索赔，如未上架截图，形式发票/装箱单/采购发票等</t>
  </si>
  <si>
    <t>五、申请索赔期限及规则：</t>
  </si>
  <si>
    <t>1、卡派索赔程序：请客户在签收后10个工作日内查询FBA后台是否上架，签收后30天内提供货物未上架后台截图(需带有电脑屏幕右下角当下真实时间)至我司方可进入索赔程序，超过60个工作日未提供完整资料的，我司将不再接受理赔申请；</t>
  </si>
  <si>
    <t>2、快递派索赔程序：
①未提取的，请在打单日起算最早第30个自然日向我司客服人员发起开查申请，同时提供快递开查相关资料，最晚发起时间应当在打单日（含打单当天）起第60个自然日内提供完整资料，逾期我司将不再接受理赔申请。
②已提取未签收的以快递开查结果为准，不在我司索赔责任范围内；
注：若逾期未提供完整相应索赔资料，则相应责任由客户自行承担，我司不再接受理赔申请。</t>
  </si>
  <si>
    <t>1、包装要求：只接方正/硬朗纸箱，拒接其他包装,每件外箱必须贴有2个以上FBA标签（条形码字体清晰，防潮湿耐磨）,外箱和产品贴有“MADE IN CHINA”标签。如因包装及标签问题导致亚马逊仓库拒收或清关出现问题，所有责任及费用由发货人承担。</t>
  </si>
  <si>
    <t>2、资料要求：按要求提供货物的真实信息，提供准确的美国的海关编码，如不能提供准确的美国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并且罚款RMB2000/票.</t>
  </si>
  <si>
    <t>3、禁止运输的货物：液体，纯电池，食品，粉末，医疗用品，仿牌商品，化工产品，儿童玩具用品及美国反倾销产品等。如发现冲货罚款RMB2000/票。不接纯电池，内置电池请提供图片及MSDS,海运运输鉴定报告单独确认。</t>
  </si>
  <si>
    <t>4、如美国海关认定货物涉及品牌侵权或蓝牙、HDMI、FCC、UL、FDA,DOT，EPA等认证问题，客户需按要求提供相关认证和品牌授权书等文件，如因无法提供或者提供的文件得不到美国海关及相关部门的认可而导致扣货或者退运，所有责任和费用由该发货人承担。</t>
  </si>
  <si>
    <t>5.关税豁免的产品：出货前提供详细的产品说明（图片，用途参数，销售链接或其他有用产品信息）审核货物是否符合豁免关税资格，最终以海关审核结果为准</t>
  </si>
  <si>
    <t>6、装柜后如需扣货或更改派送计划，要求最迟在货物到港前5天向我司提出才可操作，扣货和更改派送计划将收取操作费$200/票，由于扣货/更改派送计划所产生的所有费用由客户承担，具体费用请单独咨询。扣货或更改派送方式有风险，我司不承担任何责任且不保证扣货成功或更改派送方式成功。</t>
  </si>
  <si>
    <t>7、以下情况，我司会协助处理，不承担任何责任
A.产品如需要FCC,CE,FDA,TSCA,DOT，CPSC,CPC，EPA等认证而客户无法提供有效证明及文件，导致海关扣货等后果
B.产品不符合美国当地法规的，如反倾销，侵权且无法提供有效证及及文件，导致海关扣货等后果
如因以上情况而产生的退运，销毁，仓租等一切费用，由发货方自行承担</t>
  </si>
  <si>
    <t>8.因美国本地费用变化频繁且即时生效，我司保留即时更改价格的权利(包括在途中的货物), 2025年3月4号以后如果美国对华临时增税，清关税率平均每上涨10%，公司会针对在途未清关的货物补收增加的关税成本0.5RMB/KG或100元/方,以此类推！</t>
  </si>
  <si>
    <t>海外仓贴标转运涉及海外仓费用：</t>
  </si>
  <si>
    <t>出库收费表：</t>
  </si>
  <si>
    <t>费用名称</t>
  </si>
  <si>
    <t>计费单位(Unit)</t>
  </si>
  <si>
    <t>单价(USD)</t>
  </si>
  <si>
    <t>pallet out-整托出货</t>
  </si>
  <si>
    <t>Per pallet/每托</t>
  </si>
  <si>
    <t>FBA/UPS/FEDEX/私人地址等</t>
  </si>
  <si>
    <t>分拣费</t>
  </si>
  <si>
    <t>PCS(每箱或是拆箱挑每盒)</t>
  </si>
  <si>
    <t>标准件正常收费，超重超尺寸件单询</t>
  </si>
  <si>
    <t>托盘材料费</t>
  </si>
  <si>
    <t>仅限物料费：如果托盘需要重新打胶膜或换托盘或箱子破损需重新整理.</t>
  </si>
  <si>
    <t>出库重新拣货打托，          多件合并打托</t>
  </si>
  <si>
    <t>包含托盘物料费人工费，按照亚马逊仓库要求打托</t>
  </si>
  <si>
    <t>快递出库费</t>
  </si>
  <si>
    <t>Box/每箱</t>
  </si>
  <si>
    <t>留仓件快递出库</t>
  </si>
  <si>
    <t>换箱换包装费</t>
  </si>
  <si>
    <t>Box</t>
  </si>
  <si>
    <t>AT COST 实报实销</t>
  </si>
  <si>
    <t>$1.0-$2.5/个</t>
  </si>
  <si>
    <t>贴标费</t>
  </si>
  <si>
    <t>Label/每个</t>
  </si>
  <si>
    <t>UPS/FEDEX/FBA/SKU Labels</t>
  </si>
  <si>
    <t>出库文件制作费</t>
  </si>
  <si>
    <t>每票</t>
  </si>
  <si>
    <t>减免</t>
  </si>
  <si>
    <t>FBA/UPS/FEDEX 预约交仓文件</t>
  </si>
  <si>
    <t>附加说明：其它人工费用，不在以上计费项目的额外人工费另计：$50/小时</t>
  </si>
  <si>
    <t>库存管理费：</t>
  </si>
  <si>
    <t>入库后仓储费                          (最低1托起收，不足1托按1托收取,1托按1.8CBM计)</t>
  </si>
  <si>
    <t>Per pallet/每托/周</t>
  </si>
  <si>
    <t>免一周</t>
  </si>
  <si>
    <t>2-4 周</t>
  </si>
  <si>
    <t>5-8 周</t>
  </si>
  <si>
    <t>9 周以上</t>
  </si>
  <si>
    <t>服务分区</t>
  </si>
  <si>
    <t>仓库编号</t>
  </si>
  <si>
    <t>州名简称</t>
  </si>
  <si>
    <t>邮编</t>
  </si>
  <si>
    <t>地址</t>
  </si>
  <si>
    <t>美西</t>
  </si>
  <si>
    <t>BFI1/ BFIX</t>
  </si>
  <si>
    <t>WA</t>
  </si>
  <si>
    <t>1800 140th Avenue E.,Sumner,Washington,USA,98390-9624</t>
  </si>
  <si>
    <t>BFI7</t>
  </si>
  <si>
    <t>BFI3</t>
  </si>
  <si>
    <t>2700 Center Drive,Dupont,Washington,USA,98327-9607</t>
  </si>
  <si>
    <t>SEA6</t>
  </si>
  <si>
    <t>UWA2</t>
  </si>
  <si>
    <t>13537 Aurora Ave.N.,North Seattle,Washington,USA,98133</t>
  </si>
  <si>
    <t>UWA3</t>
  </si>
  <si>
    <t>2121 8th Ave.,Seattle,Washington,USA,98121</t>
  </si>
  <si>
    <t>DSE2</t>
  </si>
  <si>
    <t>6705 E Marginal Way,Seattle,Washington,USA,98108</t>
  </si>
  <si>
    <t>UWA1</t>
  </si>
  <si>
    <t>11710 118th Ave. N.E.,Building B,Kirkland,Washington,USA,98034</t>
  </si>
  <si>
    <t>BFI4</t>
  </si>
  <si>
    <t>21005 64th Ave.S,Kent,Washington,USA,98032-2423</t>
  </si>
  <si>
    <t>BFI5</t>
  </si>
  <si>
    <t>20529 59th Place South,Building B,Kent,Washington,USA,98032</t>
  </si>
  <si>
    <t>BFI6</t>
  </si>
  <si>
    <t>20280 84th Ave S.,Kent,Washington,USA,98032</t>
  </si>
  <si>
    <t>SEA6/ SEA8</t>
  </si>
  <si>
    <t>1227 124th Ave NE,Building 2,Bellevue,Washington,USA,98005-2111</t>
  </si>
  <si>
    <t>UOR1</t>
  </si>
  <si>
    <t>CA</t>
  </si>
  <si>
    <t>2250 Northwest 22nd Avenue,Portland,Oregon,USA,97210</t>
  </si>
  <si>
    <t>PDX5</t>
  </si>
  <si>
    <t>5647 NW Huffman Street,Washington,Hillsboro,Oregon,USA,97124-5848</t>
  </si>
  <si>
    <t>PDX1</t>
  </si>
  <si>
    <t>Swigert Way,Troutdale Reynolds Industrial Park,Troutdale,Oregon,USA,97060</t>
  </si>
  <si>
    <t>SMF1</t>
  </si>
  <si>
    <t>UCA9</t>
  </si>
  <si>
    <t>2934 Ramona Avenue,Sacramento,California,USA,95826-3813</t>
  </si>
  <si>
    <t>SJC7</t>
  </si>
  <si>
    <t>188 Mountain House Parkway,Tracy,California,USA,95377-8906</t>
  </si>
  <si>
    <t>OAK3</t>
  </si>
  <si>
    <t>255 Park Center Drive,Patterson,California,USA,95363-8876</t>
  </si>
  <si>
    <t>OAK4/OAK6</t>
  </si>
  <si>
    <t>1555 N.Chrisman Rd.,Tracy,California,USA,95304-9370</t>
  </si>
  <si>
    <t>XUSD</t>
  </si>
  <si>
    <t>1909 Zephy Street,Stockton,California,USA,95206</t>
  </si>
  <si>
    <t>SMF3</t>
  </si>
  <si>
    <t>3923 S B ST Stockton,California, USA 95206-8202</t>
  </si>
  <si>
    <t>DSF3</t>
  </si>
  <si>
    <t>1700 Montague Expy,San Jose,California,USA,95131</t>
  </si>
  <si>
    <t>UCA8</t>
  </si>
  <si>
    <t>3100 San Pablo Ave.Ste 120,West Berkley,California,USA,94702</t>
  </si>
  <si>
    <t>DSF1</t>
  </si>
  <si>
    <t>990 Beecher St,San Leandro,California,USA,94577</t>
  </si>
  <si>
    <t>OAK5/OAK7</t>
  </si>
  <si>
    <t>38811 Cherry Street,Newark,California,USA,94560-4939</t>
  </si>
  <si>
    <t>UCA1</t>
  </si>
  <si>
    <t>888 Tennessee Street,San Francisco,California,USA,94112</t>
  </si>
  <si>
    <t>UCA7</t>
  </si>
  <si>
    <t>222 Commercial Street,Sunnyvale,California,USA,94085-4508</t>
  </si>
  <si>
    <t>DSF5</t>
  </si>
  <si>
    <t>250 Utah Avenue,South San Francisco,California,USA,94080-6801</t>
  </si>
  <si>
    <t>DSF6</t>
  </si>
  <si>
    <t>6015 Giant Road,Richmond,California,USA,94080-6801</t>
  </si>
  <si>
    <t>UCA4</t>
  </si>
  <si>
    <t>2006 McGaw Ave,Irvine,California,USA,92614</t>
  </si>
  <si>
    <t>ONT8</t>
  </si>
  <si>
    <t>24300 Nandina Ave Moreno Valley, CA 92551</t>
  </si>
  <si>
    <t>ONT6</t>
  </si>
  <si>
    <t>24208 San Michelle Rd,Morenno Valley,California,USA,92551-9561</t>
  </si>
  <si>
    <t>24300 Nandina Ave,Moreno Valley,California,USA,92551-9534</t>
  </si>
  <si>
    <t>DLA5</t>
  </si>
  <si>
    <t>6250 Sycamore Canyon Blvd,Riverside,Calidfornia,USA 92507-0771</t>
  </si>
  <si>
    <t>ONT2/ONT3</t>
  </si>
  <si>
    <t>1910E.Central Ave.,Building 3,San Bernardino,California,USA,92408-0123</t>
  </si>
  <si>
    <t>ONT4/ONT7</t>
  </si>
  <si>
    <t>2020 E.Central Av.,Building 4,San Bernardino,California,USA,92408-2606</t>
  </si>
  <si>
    <t>ONT5</t>
  </si>
  <si>
    <t>2020 E.Central Ave.,San Bernardino,California,USA,92408-2606</t>
  </si>
  <si>
    <t>SNA7/SNA8</t>
  </si>
  <si>
    <t>555 East Orange Road,Gateway South Building 3,San Bernardino,California,USA92408-2453</t>
  </si>
  <si>
    <t>SNA4</t>
  </si>
  <si>
    <t>Golden State FC LLC    2496 W Walnut Ave   Rialto, CA 92376-3009</t>
  </si>
  <si>
    <t>LGB8</t>
  </si>
  <si>
    <r>
      <rPr>
        <sz val="9"/>
        <rFont val="微软雅黑"/>
        <charset val="134"/>
      </rPr>
      <t xml:space="preserve">1568 N Linden Ave    Rialto, </t>
    </r>
    <r>
      <rPr>
        <sz val="9"/>
        <color rgb="FFFF0000"/>
        <rFont val="微软雅黑"/>
        <charset val="134"/>
      </rPr>
      <t xml:space="preserve">CA 92376-8624 </t>
    </r>
    <r>
      <rPr>
        <sz val="9"/>
        <rFont val="微软雅黑"/>
        <charset val="134"/>
      </rPr>
      <t xml:space="preserve">   US (LGB8)</t>
    </r>
  </si>
  <si>
    <t>LGB6</t>
  </si>
  <si>
    <t>amazon.com 20901 Krameria Ave   Riverside CA 92518-1513 US</t>
  </si>
  <si>
    <t>LGB4</t>
  </si>
  <si>
    <t>27517 Pioneer Avenue Redlands, CA 92374-1501 US (LGB4)</t>
  </si>
  <si>
    <t>ONT7</t>
  </si>
  <si>
    <t>ONT9</t>
  </si>
  <si>
    <t>2125 W. San Bernardino Ave,Redlands,California,USA,92374-5005</t>
  </si>
  <si>
    <t>DSD1</t>
  </si>
  <si>
    <t>7130 Miramar Rd.300A,San Diego,California,USA,92121</t>
  </si>
  <si>
    <t>LAX9</t>
  </si>
  <si>
    <t>11263  Oleander  Ave  FONTANA  CA 92337</t>
  </si>
  <si>
    <t>PDX7</t>
  </si>
  <si>
    <t>OR</t>
  </si>
  <si>
    <t>4775 Depot Ct SE Salem, OR 97317-8983</t>
  </si>
  <si>
    <t>UCA6</t>
  </si>
  <si>
    <t>2727 Kurtz St,San Diego,California,USA,92110</t>
  </si>
  <si>
    <t>DSD2</t>
  </si>
  <si>
    <t>2777 Loker Ave W, Carlsbad,California,USA,92010-6517</t>
  </si>
  <si>
    <t>SNA6/SNA9</t>
  </si>
  <si>
    <t>5250 Goodman Way,Eastvale,California,USA,91752-5088</t>
  </si>
  <si>
    <t>DLA4</t>
  </si>
  <si>
    <t>9031 Lurline Ave,Chatsworth,California,USA,91311</t>
  </si>
  <si>
    <t>DLA2</t>
  </si>
  <si>
    <t>5650 Dolly Ave,Buena Park,California,USA,90621</t>
  </si>
  <si>
    <t>DLA1</t>
  </si>
  <si>
    <t>900 W Florence Ave,Inglewood,California,USA,90301</t>
  </si>
  <si>
    <t>UCA2</t>
  </si>
  <si>
    <t>Redondo Beach,California,USA,90277</t>
  </si>
  <si>
    <t>DLA8</t>
  </si>
  <si>
    <t>2815 W.El Segundo Blvd.,Hawthorne,California,USA,90250</t>
  </si>
  <si>
    <t>UCA3</t>
  </si>
  <si>
    <t>11800 W Olympic Blvd,Los Angeles,California,USA,90064-1100</t>
  </si>
  <si>
    <t>DLA3</t>
  </si>
  <si>
    <t>5829 Smithway St,Commerce,California,USA,90040</t>
  </si>
  <si>
    <t>UCA5</t>
  </si>
  <si>
    <t>Silver Lake,California,USA,90001</t>
  </si>
  <si>
    <t>RNO4</t>
  </si>
  <si>
    <t>NV</t>
  </si>
  <si>
    <t>8000 North Virginia Street,Reno,Nevada,USA,89506</t>
  </si>
  <si>
    <t>RNO3</t>
  </si>
  <si>
    <t>555 Milan Dr,Sparks,Nevada,USA,89434</t>
  </si>
  <si>
    <t>RNO1</t>
  </si>
  <si>
    <t>UNV1</t>
  </si>
  <si>
    <t>3650 East Post Road,Sutte E,Las Vegas,Nevada,USA,89120-6297</t>
  </si>
  <si>
    <t>LAS6</t>
  </si>
  <si>
    <t>4550 Nexus Way Las Vegas,Nevada,USA, 89115-1826</t>
  </si>
  <si>
    <t>LAS2</t>
  </si>
  <si>
    <t>3837 Bay Lake Trail,North Las Vegas,Nevada,USA,89030</t>
  </si>
  <si>
    <t>RNO2</t>
  </si>
  <si>
    <t>PHX5</t>
  </si>
  <si>
    <t>AZ</t>
  </si>
  <si>
    <t>16920 W. Commerce Dr.,Goodyear,Arizona,USA,85338-3620</t>
  </si>
  <si>
    <t>DPX2</t>
  </si>
  <si>
    <t>800 N 75th Ave,Phoenix,Arizona,USA,85043</t>
  </si>
  <si>
    <t>PHX3</t>
  </si>
  <si>
    <t>6835 West Buckeye Road,Phoenix,Arizona,USA,85043</t>
  </si>
  <si>
    <t>PHX6/TFC1</t>
  </si>
  <si>
    <t>4750 &amp; 5050 West Mohave Street,Phoenix,Arizona,USA,85043-4428</t>
  </si>
  <si>
    <t>PHX7/PHX8</t>
  </si>
  <si>
    <t>800 N.75th Ave,Phoenix,Arizona,USA,85043-3101</t>
  </si>
  <si>
    <t>DPX1</t>
  </si>
  <si>
    <t>500 S.48th Street,Phoenix,Arizona,USA,85034</t>
  </si>
  <si>
    <t>IVSE</t>
  </si>
  <si>
    <t>2951 MARION DR UNIT 101 LAS VEGAS, NV 89115-3467</t>
  </si>
  <si>
    <t>DEN2</t>
  </si>
  <si>
    <t>CO</t>
  </si>
  <si>
    <t>80019</t>
  </si>
  <si>
    <t>Amazon.com.dedcLLC22205East19thAveAurora,CO80019US</t>
  </si>
  <si>
    <t>IVSF</t>
  </si>
  <si>
    <t>89115-3477</t>
  </si>
  <si>
    <t>2821 MARIONDRSTE109 LASVEGAS,NV89115-3477</t>
  </si>
  <si>
    <t>UAZ1</t>
  </si>
  <si>
    <t>Phoenix,Arizona,USA,85001</t>
  </si>
  <si>
    <t>DEN6</t>
  </si>
  <si>
    <t>Crossroads Commerce Park,Building,2 480 E.55th Ave.,Adams Denver,Colorado,USA,80216</t>
  </si>
  <si>
    <t>DEN1</t>
  </si>
  <si>
    <t>East 19th Avenue North,Prologis Park 70 Aurira,Colorado,USA,80019</t>
  </si>
  <si>
    <t>DEN5</t>
  </si>
  <si>
    <t>19799 E.36th Avenue,Majestic Commercenter Building #29 Aurora,Colorado,USA,80011-8189</t>
  </si>
  <si>
    <t>SAT2</t>
  </si>
  <si>
    <t>TX</t>
  </si>
  <si>
    <t>1401 East McCarty Lane,San Marcos,Texas,USA,78666-8969</t>
  </si>
  <si>
    <t>SAT5</t>
  </si>
  <si>
    <t>1410 S.Callaghan Road,Bexar,San Antonio,Texas,USA,78227-2204</t>
  </si>
  <si>
    <t>SAT1</t>
  </si>
  <si>
    <t>6000 Enterprise Avenue,Schertz,Texas,USA,78154-1461</t>
  </si>
  <si>
    <t>HOU1</t>
  </si>
  <si>
    <t>8120 Humble Westfield Rd,Humble,Texas,USA,77338-4142</t>
  </si>
  <si>
    <t>UTX3</t>
  </si>
  <si>
    <t>Houston,Texas,USA,77001</t>
  </si>
  <si>
    <t>DFW7</t>
  </si>
  <si>
    <t>700 Westport Parkway,(Haslet)Fort Worth,Texas,USA,76177-4513</t>
  </si>
  <si>
    <t>FTW3</t>
  </si>
  <si>
    <t>15201 Heritage Parkway,Fort Worth,Texas,USA,76177-2517</t>
  </si>
  <si>
    <t>XUSB</t>
  </si>
  <si>
    <t>14900 Frye Road,Fort Worth,Texas,USA,76155</t>
  </si>
  <si>
    <t>FTW4</t>
  </si>
  <si>
    <t>4601 Gold Spike Drive,Fort Worth,Texas,USA,76106</t>
  </si>
  <si>
    <t>FTW1</t>
  </si>
  <si>
    <t>33333 Lyndon B Johnson Freeway,Dallas,Texas,USA,75241-7203</t>
  </si>
  <si>
    <t>DDC1</t>
  </si>
  <si>
    <t>12401 North Stemmons Fwy,Farmers Branch,Texas,USA,75234</t>
  </si>
  <si>
    <t>DPO1</t>
  </si>
  <si>
    <t>Portland,Oregon,USA,75234</t>
  </si>
  <si>
    <t>PTX1</t>
  </si>
  <si>
    <t>2101 Danieldale Road,Lancaster,Texas,USA,75134-1551</t>
  </si>
  <si>
    <t>DFW8/DFW9</t>
  </si>
  <si>
    <t>2700 Regent Blvd,Irving,Texas,USA,75063</t>
  </si>
  <si>
    <t>FTW2</t>
  </si>
  <si>
    <t>DFW6</t>
  </si>
  <si>
    <t>940 W.Bethel Road,Coppell,Texas,USA,75019-4424</t>
  </si>
  <si>
    <t>UTX1</t>
  </si>
  <si>
    <t>Irving,Texas,USA,75014</t>
  </si>
  <si>
    <t>UTX2</t>
  </si>
  <si>
    <t>Auston,Texas,USA,73301</t>
  </si>
  <si>
    <t>PWA5</t>
  </si>
  <si>
    <t>Northeast corner of SW 15th and s Council Road,Oklahoma City,Oklahoma,USA,73179</t>
  </si>
  <si>
    <t>DFW1</t>
  </si>
  <si>
    <t>2700 Regent Blvd DFW Airport Dallas TX 75261</t>
  </si>
  <si>
    <t>ITX2</t>
  </si>
  <si>
    <t>77040-1437</t>
  </si>
  <si>
    <t>6911FAIRBANKSNHOUSTONRDSUITE160 Houston,TX77040-1437</t>
  </si>
  <si>
    <t>HOU2</t>
  </si>
  <si>
    <t>10550 Ella Blvd. Houston TX 77038-2324</t>
  </si>
  <si>
    <t>ITX1</t>
  </si>
  <si>
    <t>ook Pines Drive Suite 100 Houston, TX 77064-3329</t>
  </si>
  <si>
    <t>HOU3</t>
  </si>
  <si>
    <t>31555 Highway 90E Brook shire,TX 77423-2769</t>
  </si>
  <si>
    <t>TUL1</t>
  </si>
  <si>
    <t>KS</t>
  </si>
  <si>
    <t>美中</t>
  </si>
  <si>
    <t>MCI5</t>
  </si>
  <si>
    <t>16851W 113th St,Lenexa Logistics Center,Lecexa,Kansas,USA,66219</t>
  </si>
  <si>
    <t>MCI1</t>
  </si>
  <si>
    <t>Turner Commerce Center,6925 Riverview Ave.Kansas City,Kansas,USA,66102</t>
  </si>
  <si>
    <t>MCI7</t>
  </si>
  <si>
    <t>27200 West 157th Street Johnson(New Century),Kansas,USA,66031</t>
  </si>
  <si>
    <t>MKC4</t>
  </si>
  <si>
    <t>19645 Waverly Rd,Gardner,Kansas,USA,66030</t>
  </si>
  <si>
    <t>MKC6</t>
  </si>
  <si>
    <t>amazon.com 6925 Riverview Avenue Kansas City  66102</t>
  </si>
  <si>
    <t>MDW4</t>
  </si>
  <si>
    <t>IL</t>
  </si>
  <si>
    <t>201 Emerald Drive,Joliet,Illinois,USA,62025-2815</t>
  </si>
  <si>
    <t>STL4</t>
  </si>
  <si>
    <t>3050 Gateway Commerce Center Drive South,Edwardsville,Illinois,USA,62025-2815</t>
  </si>
  <si>
    <t>STL6</t>
  </si>
  <si>
    <t>3931 Lakeview Corporate Dr,Edwardsville,Illinois,USA,62025-2801</t>
  </si>
  <si>
    <t>MDW5</t>
  </si>
  <si>
    <t>1111 N.Cherry Ave.,Goose Island,Illinois,USA,60642</t>
  </si>
  <si>
    <t>DCH1</t>
  </si>
  <si>
    <t>2801 S.Western Ave,Chicago,Illinois,USA,60608</t>
  </si>
  <si>
    <t>DCH3</t>
  </si>
  <si>
    <t>4500 Western Ave,Lisle,Illinois,USA,60532</t>
  </si>
  <si>
    <t>MDW9</t>
  </si>
  <si>
    <t>MDW7</t>
  </si>
  <si>
    <t>6521 W.Monee Manhattan Road,Monee,Illinois,USA,60449</t>
  </si>
  <si>
    <t>MDW8</t>
  </si>
  <si>
    <t>1750 Bridge Drive,Waukegan,Illinois,USA,60449</t>
  </si>
  <si>
    <t>MDW6</t>
  </si>
  <si>
    <t>1125 Remington Blvd,Romeoville,Illinois,USA,60446-6529</t>
  </si>
  <si>
    <t>MDW2</t>
  </si>
  <si>
    <t>401E.Laraway Road,Joliet,Illinois,USA,60433-9462</t>
  </si>
  <si>
    <t>ORD6</t>
  </si>
  <si>
    <t>1250 N.Mittel Blvd,Wood Dale,Illinois,USA,60191</t>
  </si>
  <si>
    <t>DCH2</t>
  </si>
  <si>
    <t>8220 Austin Ave,Morton Grove,Illinois,USA,60053</t>
  </si>
  <si>
    <t>UMN1</t>
  </si>
  <si>
    <t>MN</t>
  </si>
  <si>
    <t>763 Kasota Ave.,Minneapolis,Minnesota,USA,55414</t>
  </si>
  <si>
    <t>MSP1</t>
  </si>
  <si>
    <t>2601 4th Ave E,Shakopee,Minnesota,USA,55379-1726</t>
  </si>
  <si>
    <t>MSP5</t>
  </si>
  <si>
    <t>5825 11th Ave.East,Shakopee,Minnesota,USA,55379-3810</t>
  </si>
  <si>
    <t>DMN1</t>
  </si>
  <si>
    <t>MI</t>
  </si>
  <si>
    <t>2811 Beverky Drive,Eagen,Minnesota,USA,55121</t>
  </si>
  <si>
    <t>MKE1</t>
  </si>
  <si>
    <t>3501 120th Ave,Kenosha,Wisconsin,USA,53144-7502</t>
  </si>
  <si>
    <t>MKE5</t>
  </si>
  <si>
    <t>11211 Burlington Road,Kenosha,Wisconsin,USA,53144-7449</t>
  </si>
  <si>
    <t>DML1</t>
  </si>
  <si>
    <t>3935 W. Mitchell St.,Milwaukee,Wisconsin,USA,53125</t>
  </si>
  <si>
    <t>美东</t>
  </si>
  <si>
    <t>DTW5</t>
  </si>
  <si>
    <t>Brownstown Bussiness Center South,Building 9,19991 Brownstown Center Drive,Trenton,Michigan,USA,48183</t>
  </si>
  <si>
    <t>DTW1</t>
  </si>
  <si>
    <t>13000 Eckles Road,Livonia,Michegan,USA,48150</t>
  </si>
  <si>
    <t>DET1</t>
  </si>
  <si>
    <t>SDF8</t>
  </si>
  <si>
    <t>IN</t>
  </si>
  <si>
    <t>900 Patrol Road,Jeffersonville,Indiana,USA,47130-7761</t>
  </si>
  <si>
    <t>IND6</t>
  </si>
  <si>
    <t>IND7</t>
  </si>
  <si>
    <t>9101 Orly Drive,Indianapolis,Indiana,USA,46241</t>
  </si>
  <si>
    <t>IND5</t>
  </si>
  <si>
    <t>IND4</t>
  </si>
  <si>
    <t>710 Soth Girls School Road,Plainfield,Indiana,USA,46168-7937</t>
  </si>
  <si>
    <t>IND2/ IND3</t>
  </si>
  <si>
    <t>715/717 Airtech Parkway,Plainfield,Indiana,USA,46168</t>
  </si>
  <si>
    <t>IND1</t>
  </si>
  <si>
    <t>4255 Anson Blvd,Whitestown,Indiana,USA,46075-4412</t>
  </si>
  <si>
    <t>XUSE</t>
  </si>
  <si>
    <t>5100 S.Indianapolos Road,Whitestown,Indiana,USA,46075</t>
  </si>
  <si>
    <t>CLE5</t>
  </si>
  <si>
    <t>OH</t>
  </si>
  <si>
    <t>8685 Independence Parkway,Twinsburg,Ohio,USA,44087-1971</t>
  </si>
  <si>
    <t>UOH2</t>
  </si>
  <si>
    <t>3563 Interchange Road,Columbus,,Ohio,USA,43204</t>
  </si>
  <si>
    <t>CMH2</t>
  </si>
  <si>
    <t>6050 Gateway Court,Obetz,Ohio,USA,43125</t>
  </si>
  <si>
    <t>CMH1</t>
  </si>
  <si>
    <t>11903 National Rd SW,Etna,Ohio,USA,43062-7793</t>
  </si>
  <si>
    <t>SDF1</t>
  </si>
  <si>
    <t>KY</t>
  </si>
  <si>
    <t>1188 South Columbia Avenue,Campbellsville,Kentucky,USA,42718-1337</t>
  </si>
  <si>
    <t>CVG1</t>
  </si>
  <si>
    <t>Bldg.F Park W Int’l,1155 Worldwide Blvd.,Hebron,Kentucky,USA,41048-8648</t>
  </si>
  <si>
    <t>CVG3</t>
  </si>
  <si>
    <t>3680 Langley Dr.,Hebron,Kentucky,USA,41048</t>
  </si>
  <si>
    <t>CVG5/CVG7</t>
  </si>
  <si>
    <t>2285 Litton Way,Hebron,Kentucky,USA,41048-8435</t>
  </si>
  <si>
    <t>CVG2</t>
  </si>
  <si>
    <t>1600 Worldwide Blvd. Hebron,Kentucky,USA,41048</t>
  </si>
  <si>
    <t>CVG8</t>
  </si>
  <si>
    <t>7968 Kentucky Dr Florence,Kentucky,USA,41042</t>
  </si>
  <si>
    <t>IVSA</t>
  </si>
  <si>
    <t>LEX1/LEX3</t>
  </si>
  <si>
    <t>1850 Mercer Drive,Lexington,Kentucky,USA,40511</t>
  </si>
  <si>
    <t>LEX2</t>
  </si>
  <si>
    <t>172 Trade St.,Lexington,Kentucky,USA,40511</t>
  </si>
  <si>
    <t>SDF2</t>
  </si>
  <si>
    <t>4360 Robards Ln,Louisville,Kentucky,USA,40218</t>
  </si>
  <si>
    <t>SDF4</t>
  </si>
  <si>
    <t>376 Zappos,com Blvd,Shepherdsville,Kentucky,USA,40165</t>
  </si>
  <si>
    <t>SDF6</t>
  </si>
  <si>
    <t>271 Omega Pkwy,Shepherdsville,Kentucky,USA,40165</t>
  </si>
  <si>
    <t>SDF7</t>
  </si>
  <si>
    <t>300 Omicron Court,Cedar Grove Business Park,Shepherdsville,Kentucky,USA,40165</t>
  </si>
  <si>
    <t>SDF9</t>
  </si>
  <si>
    <t>100W. Thomas P. Echols Lane,St.3,Shepherdsville,Kentucky,USA,40165-7594</t>
  </si>
  <si>
    <t>IVSB</t>
  </si>
  <si>
    <t>3521 POINT PLEASANTRD HEBRON,KY 41048 US(IVSB)</t>
  </si>
  <si>
    <t>CMH3</t>
  </si>
  <si>
    <t>700 GATEWAY BLVD Monroe, OH 45050-1848</t>
  </si>
  <si>
    <t>IND9</t>
  </si>
  <si>
    <t>1151 S GRAHAM RD GREENWOOD, IN 46143-7830</t>
  </si>
  <si>
    <t>DET2</t>
  </si>
  <si>
    <t>50500 Mound Rd Shelby Township, MI 48317-1318</t>
  </si>
  <si>
    <t>MEM1</t>
  </si>
  <si>
    <t>TN</t>
  </si>
  <si>
    <t>3292 E Holmes Rd, Memphis, TN 38118 ,CA</t>
  </si>
  <si>
    <t>CHA1</t>
  </si>
  <si>
    <t>7200 Discovery Drive,Chattanooga,Tennessee,USA,37416-1749</t>
  </si>
  <si>
    <t>CHA2</t>
  </si>
  <si>
    <t>225 Infinity Dr NW,Charleston,Tennessee,USA,37310-1400</t>
  </si>
  <si>
    <t>BNA4</t>
  </si>
  <si>
    <t>BNA5</t>
  </si>
  <si>
    <t>50 Airway Blvd.,Nashville,Tenessee,USA,37217-2516</t>
  </si>
  <si>
    <t>BNA3</t>
  </si>
  <si>
    <t>2020 Joe B Jackson Pkwy,Murfreesboro,Tennessee,USA,37127-7792</t>
  </si>
  <si>
    <t>BNA1</t>
  </si>
  <si>
    <t>14840 Central Pike,Lebanon,Tennessee,USA,37090-8119</t>
  </si>
  <si>
    <t>BNA2</t>
  </si>
  <si>
    <t>500 Duke Dr,Lebanon,Tennessee,USA,37087-8123</t>
  </si>
  <si>
    <t>MCO5</t>
  </si>
  <si>
    <t>FL</t>
  </si>
  <si>
    <t>305 Deen Still Road,Davenport,Florida,USA,33897-9409</t>
  </si>
  <si>
    <t>TPA2</t>
  </si>
  <si>
    <t>1760 County Line Rd.,Lakeland,Florida,USA,33811-1808</t>
  </si>
  <si>
    <t>UFL3</t>
  </si>
  <si>
    <t>4440 East Adamo Drive,Tampa,Florida,USA,33605</t>
  </si>
  <si>
    <t>TPA1</t>
  </si>
  <si>
    <t>3350 Laurel Ridge Ave,Ruskin,Florida,USA,33570-5526</t>
  </si>
  <si>
    <t>MIA5/ MIA6</t>
  </si>
  <si>
    <t>1900 NW 132nd Place,Miami(Doral),Florida,USA,33182-1920</t>
  </si>
  <si>
    <t>DMI1</t>
  </si>
  <si>
    <t>15600 NW 15th Ave,Miami Gardens,Florida,USA,33169</t>
  </si>
  <si>
    <t>DMI2</t>
  </si>
  <si>
    <t>3200 Northwest 67th Avenue,Miami,Florida,USA,33122</t>
  </si>
  <si>
    <t>MIA1</t>
  </si>
  <si>
    <t>Officer Simmins Arlington Avenue,Opa-locka,Florida,USA,33054</t>
  </si>
  <si>
    <t>UFL4</t>
  </si>
  <si>
    <t>7469 Kingspointe Parkway,Orlando,Florida,USA,32819</t>
  </si>
  <si>
    <t>DJA1</t>
  </si>
  <si>
    <t>11084 Cabot Commerce Circle,Jacksonville,Floria,USA,32226</t>
  </si>
  <si>
    <t>JAX3</t>
  </si>
  <si>
    <t>JAX2</t>
  </si>
  <si>
    <t>13333 103rd St.,Jacksonville,Florida,USA,32221</t>
  </si>
  <si>
    <t>JAX5</t>
  </si>
  <si>
    <t>4948 Bulls Bay Parkway,Jacksonville,Florida,USA,32219</t>
  </si>
  <si>
    <t>JAX1</t>
  </si>
  <si>
    <t>12900 Pecan Park Road,Jacksonville,Florida,USA,32218</t>
  </si>
  <si>
    <t>MGE3</t>
  </si>
  <si>
    <t>GA</t>
  </si>
  <si>
    <t>MGE1</t>
  </si>
  <si>
    <t>650 Broadway Ave.,Braselton,Georgia,USA,30517-3002</t>
  </si>
  <si>
    <t>ATL6</t>
  </si>
  <si>
    <t>4200 North Commerce,East Point,Atlanta,Georgia,USA,30344-5707</t>
  </si>
  <si>
    <t>GUA2</t>
  </si>
  <si>
    <t>Atlanta,Georgia,USA,30318</t>
  </si>
  <si>
    <t>ATL7</t>
  </si>
  <si>
    <t>6885 Shannon Parkway,Union City,Georgia,USA,30291</t>
  </si>
  <si>
    <t>ATL8</t>
  </si>
  <si>
    <t>2201 Thornton Road,Lithia Springs,Georgia,USA,30122-3895</t>
  </si>
  <si>
    <t>SAV3</t>
  </si>
  <si>
    <t>7001 Skipper Rd Macon, GA 31216-6427</t>
  </si>
  <si>
    <t>LAL1</t>
  </si>
  <si>
    <t>1760 County Line Rd. Lakeland FL 33811</t>
  </si>
  <si>
    <t>VINE</t>
  </si>
  <si>
    <t>500 Duke Dr Lebanon, TN 37090-8123</t>
  </si>
  <si>
    <t>GSP1</t>
  </si>
  <si>
    <t>SC</t>
  </si>
  <si>
    <t>402 John Dodd Rd,Spartanburg,South Carolina,usa,29303-6312</t>
  </si>
  <si>
    <t>CAE1</t>
  </si>
  <si>
    <t>4400 12 Street Extension,West Columbia(Cayce),South Carolina,USA,29172-2862</t>
  </si>
  <si>
    <t>CAE3</t>
  </si>
  <si>
    <t>222 Old Wire Rd,West Columbia,South Carolina,USA,29172-2862</t>
  </si>
  <si>
    <t>CLT2</t>
  </si>
  <si>
    <t>NC</t>
  </si>
  <si>
    <t>10240 Old Dowd Road,Mecklenburg,Charlotte,North Carolina,USA,28214-8082</t>
  </si>
  <si>
    <t>UNC1</t>
  </si>
  <si>
    <t>Charlotte,North Carolina,USA,28201</t>
  </si>
  <si>
    <t>CLT5</t>
  </si>
  <si>
    <t>1745 Derita Rd,Concord,North Carolina,USA,28027-3353</t>
  </si>
  <si>
    <t>RUD5</t>
  </si>
  <si>
    <t>VA</t>
  </si>
  <si>
    <t>1805 TW Alexander Drive,Durham,North Carolina,USA,27703-8389</t>
  </si>
  <si>
    <t>UNC2</t>
  </si>
  <si>
    <t>3200 Bush Street,Raleigh,North Carolina,USA,27609-7503</t>
  </si>
  <si>
    <t>RIC2</t>
  </si>
  <si>
    <t>1901 Meadowville Technology Parkway,Chester,Virginia,USA,23836-2841</t>
  </si>
  <si>
    <t>RIC3</t>
  </si>
  <si>
    <t>1901 Meadowville Technology Parkway,Chesterfield,Virginia,USA,23836-2841</t>
  </si>
  <si>
    <t>RIC1</t>
  </si>
  <si>
    <t>5000 Commerce Way,(Dinwiddie) Petersburg,Virginia,USA,23803-6917</t>
  </si>
  <si>
    <t>UVA3</t>
  </si>
  <si>
    <t>MD</t>
  </si>
  <si>
    <t>2034 Dabney Road,Richmond,Virginia,USA,23230</t>
  </si>
  <si>
    <t>BWI6</t>
  </si>
  <si>
    <t>5617 Industrial Dr,Suite A,Springfield,Virginia,USA,22151-4410</t>
  </si>
  <si>
    <t>BWI4</t>
  </si>
  <si>
    <t>22624-1568</t>
  </si>
  <si>
    <t>165BusinessBlvdClearBrook,VA22624-1568</t>
  </si>
  <si>
    <t>UVA1</t>
  </si>
  <si>
    <t>BWI2</t>
  </si>
  <si>
    <t>2010 Broening Highway,Baltimore,Maryland,USA,21224-6027</t>
  </si>
  <si>
    <t>BWI5</t>
  </si>
  <si>
    <t>5001 Holabrid Ave.,Baltimore,Maryland,USA,21224-6026</t>
  </si>
  <si>
    <t>BWI3</t>
  </si>
  <si>
    <t>1 Principio Parkway,Perryville,Maryland,USA,21093</t>
  </si>
  <si>
    <t>DDC2</t>
  </si>
  <si>
    <t>861 E Gude Drive,Rockville,Maryland,USA,20850</t>
  </si>
  <si>
    <t>BWI1</t>
  </si>
  <si>
    <t>45121 Global Plaza,Sterling,Virginia,USA,20166</t>
  </si>
  <si>
    <t>MDT2</t>
  </si>
  <si>
    <t>600 Principio Parkway West North East, MD 21901-2914 United States</t>
  </si>
  <si>
    <t>CLT3</t>
  </si>
  <si>
    <t>6500 Davidson Hwy Concord, NC 28027-7995 US</t>
  </si>
  <si>
    <t>PHL3</t>
  </si>
  <si>
    <t>DE</t>
  </si>
  <si>
    <t>PHL1</t>
  </si>
  <si>
    <t>1Centerpoint Blvd,New Castle,Delaware,USA,19720</t>
  </si>
  <si>
    <t>PHL8</t>
  </si>
  <si>
    <t>PHL7/PHL9</t>
  </si>
  <si>
    <t>560 Merrimac Ave,Middletown,Delaware,USA,19709-4652</t>
  </si>
  <si>
    <t>DPH1</t>
  </si>
  <si>
    <t>PA</t>
  </si>
  <si>
    <t>4219 Richmond Street Philadelphia,Pennsylvania,USA 19137</t>
  </si>
  <si>
    <t>AVP8</t>
  </si>
  <si>
    <t>250 Enterprise Way,Pittston,Pennsylvania,USA,18640-5000</t>
  </si>
  <si>
    <t>VUBA</t>
  </si>
  <si>
    <t>AVP2/AVP3</t>
  </si>
  <si>
    <t>298 1st Avenue,Gouldsboro,Pennsylvania,USA,18424-9464</t>
  </si>
  <si>
    <t>AVP1</t>
  </si>
  <si>
    <t>550 Oak Ridge Road,Hazleton,Pennsylvania,USA,18202-9361</t>
  </si>
  <si>
    <t>ABE4</t>
  </si>
  <si>
    <t>1610 Van Buren Road,Easton,Pennsylvania,USA,18045-7807</t>
  </si>
  <si>
    <t>ABE2</t>
  </si>
  <si>
    <t>705 Boulder Drive,Breinigsville,Pennsylvania,USA,18031</t>
  </si>
  <si>
    <t>ABE3</t>
  </si>
  <si>
    <t>650 Boulder Drive,Breinigsville,Pennsylvania,USA,18020-1536</t>
  </si>
  <si>
    <t>PHL5</t>
  </si>
  <si>
    <t>500 McCarthy Dr.,Lewisberry,Pennsylvania,USA,17339-8725</t>
  </si>
  <si>
    <t>ABE5</t>
  </si>
  <si>
    <t>6455 Allentown Boulevard ,Harrisburg,Pennsylvania,USA,17112</t>
  </si>
  <si>
    <t>MDT1</t>
  </si>
  <si>
    <t>2 Ames Drive,Building #2,Carlisle,Pennsylvania,USA,17015</t>
  </si>
  <si>
    <t>PHL4</t>
  </si>
  <si>
    <t>21 Roadway Drive,Carlisle,Pennsylvania,USA,17015</t>
  </si>
  <si>
    <t>PHL6</t>
  </si>
  <si>
    <t>675 Allen Rd.,Carlisle,Pennsylvania,USA,17015-7788</t>
  </si>
  <si>
    <t>XUSC</t>
  </si>
  <si>
    <t>40 Logitics Drive,Carlisle,Pennsylvania,USA,17013</t>
  </si>
  <si>
    <t>PIT1</t>
  </si>
  <si>
    <t>PIT5</t>
  </si>
  <si>
    <t>2250 Roswell Drive,Pittsburg,Pennsylvania,USA,15205-1800</t>
  </si>
  <si>
    <t>VUGA</t>
  </si>
  <si>
    <t>508DelawareAvenueWestPittston PA 18643</t>
  </si>
  <si>
    <t>EWR4</t>
  </si>
  <si>
    <t>NJ</t>
  </si>
  <si>
    <t>08691</t>
  </si>
  <si>
    <t>50 New Canton Way,Robbinsville,New Jersey,USA,08691-2350</t>
  </si>
  <si>
    <t>ABE8</t>
  </si>
  <si>
    <t>309 Cedar Lane,Florence,New Jersey,USA,08518-2802</t>
  </si>
  <si>
    <t>TEB6</t>
  </si>
  <si>
    <t>08512</t>
  </si>
  <si>
    <t>ACY5</t>
  </si>
  <si>
    <t>08085</t>
  </si>
  <si>
    <t>2277 Center Square Rd,Swedesboro,Logan Township,New Jersey,USA,08085</t>
  </si>
  <si>
    <t>TEB3</t>
  </si>
  <si>
    <t>DEW1</t>
  </si>
  <si>
    <t>07074</t>
  </si>
  <si>
    <t>2 Empire Boulevard Moonachie New Jersey,USA 07074</t>
  </si>
  <si>
    <t>EWR8/EWR9</t>
  </si>
  <si>
    <t>07008</t>
  </si>
  <si>
    <t>8003 Industrial Ave,Building A,Carteret,New Jersey,USA,07008-3529</t>
  </si>
  <si>
    <t>LGA7</t>
  </si>
  <si>
    <t>380 Middlesex Ave,Carteret,New Jersey,USA,07008-3446</t>
  </si>
  <si>
    <t>EWR5</t>
  </si>
  <si>
    <t>07001</t>
  </si>
  <si>
    <t>301 Blair Road#100,Woodbridge(Avenel),New Jersey,USA,07001-2225</t>
  </si>
  <si>
    <t>EWR6/EWR7</t>
  </si>
  <si>
    <t>275 Omar Ave.,Avenel,New Jersey,USA,07001-2225</t>
  </si>
  <si>
    <t>BDL5</t>
  </si>
  <si>
    <t>CT</t>
  </si>
  <si>
    <t>06429</t>
  </si>
  <si>
    <t>29 Research Parkway,Wallingford,Connecticut,USA,06429-1927</t>
  </si>
  <si>
    <t>BDL1</t>
  </si>
  <si>
    <t>06095</t>
  </si>
  <si>
    <t>801 Day Hill Road,Windsor,Connecticut,USA,06095</t>
  </si>
  <si>
    <t>BOS1</t>
  </si>
  <si>
    <t>NH</t>
  </si>
  <si>
    <t>03063</t>
  </si>
  <si>
    <t>10 State Street,Nashua,New Hampshire,USA,03063</t>
  </si>
  <si>
    <t>BOS7</t>
  </si>
  <si>
    <t>MA</t>
  </si>
  <si>
    <t>02722</t>
  </si>
  <si>
    <t>1180 Innovation Way,Fall River,Massachusetts,USA,02722-4766</t>
  </si>
  <si>
    <t>BOS6</t>
  </si>
  <si>
    <t>02149</t>
  </si>
  <si>
    <t>201 Beacham Street,Everett(Chelsea),Massachusetts,USA,02149-5518</t>
  </si>
  <si>
    <t>DBO1</t>
  </si>
  <si>
    <t>BOS2</t>
  </si>
  <si>
    <t>02072</t>
  </si>
  <si>
    <t>BOS5</t>
  </si>
  <si>
    <t>1000 Technology Center Drive,Stoughton,Massachusetts,USA,02072-4744</t>
  </si>
  <si>
    <t>DBO2</t>
  </si>
  <si>
    <t>02026</t>
  </si>
  <si>
    <t>500 Sprague St.,Dedham,Massachusetts,USA,02026</t>
  </si>
  <si>
    <t>ACY2</t>
  </si>
  <si>
    <t>1101 E PEARL ST BURLINGTON NJ 08016-1934</t>
  </si>
  <si>
    <t>IVSC</t>
  </si>
  <si>
    <t>1225 Forest Parkway West Deptford, NJ 08066-1743</t>
  </si>
  <si>
    <t>IVSD</t>
  </si>
  <si>
    <t>800 Arlington Blvd Swedesboro, NJ 08085-2502</t>
  </si>
  <si>
    <t>02720</t>
  </si>
  <si>
    <t>Fall River 1180 Innovation Way MA 02720</t>
  </si>
  <si>
    <t>公司名称:</t>
  </si>
  <si>
    <t>序号</t>
  </si>
  <si>
    <t>系统下单单号</t>
  </si>
  <si>
    <t>交货渠道</t>
  </si>
  <si>
    <t>件数</t>
  </si>
  <si>
    <t>方数</t>
  </si>
  <si>
    <t>是否单独报关</t>
  </si>
  <si>
    <t>合计     件</t>
  </si>
  <si>
    <t>客户签名：</t>
  </si>
  <si>
    <t>收货人签名：</t>
  </si>
  <si>
    <t>福永仓库地址：深圳市宝安区福海街道福园一路高新建工业区一楼商速航供应链(岗亭直走到底最里面左手边)   联系人：李先生 联系电话：15625507507（紧急联系人涂先生：17722682149)
收货时间：周一至周六上午9:00~晚上21:00</t>
  </si>
  <si>
    <t>龙华仓库地址：深圳市龙华区福城街道福民社区富康工业区A2栋厂房1楼（商速航）党先生：15591381931
龙华仓上班时间：周一至周六12:00~24:00</t>
  </si>
  <si>
    <t>广州仓库地址：广州市白云区均禾街道办罗岗村白头岭东街86号1栋1层内  
收货人：韦先生19978716660（紧急联系人：袁欢13997511522 ）</t>
  </si>
  <si>
    <t>全球禁止入仓的货物</t>
  </si>
  <si>
    <t>根据《国际海运危险货物规则》和国家标准《危险货物品名表》所列的危险品，目前，我司仓库不接收的货物品名如下（包括但不限于以下品名）：</t>
  </si>
  <si>
    <t>(1)爆炸品：炸药、雷管、火药、子弹、烟花、鞭炮等；</t>
  </si>
  <si>
    <t>(2)易燃气体：打火机、打火机油、空气清新剂、摩丝(发胶、头发定型剂)、液化气，灭火器等；</t>
  </si>
  <si>
    <t>(3)易燃液体：油漆、酒精、白酒、胶黏剂、粘合剂、丙酮、汽油、柴油、天那水、胶水、 粘合剂、油墨、定型水、指甲油、香水等；</t>
  </si>
  <si>
    <t>(4)易燃固体：火柴、硫磺、明胶、硝基、磷、镁、乒乓球、蜡烛等；</t>
  </si>
  <si>
    <t>(5)毒性物质：砷、尼古丁、氰化物、氰化钾、杀虫剂、农药等；</t>
  </si>
  <si>
    <t>(6)腐蚀品：硫酸、盐酸、氢氧化钠、氢氧化钾、水银、双氧水、电镀用溶液、蓄电池、清洗液、清洁水等；</t>
  </si>
  <si>
    <t>(7)杂类：安全气囊、太阳能移动电源、字画、古玩，二手物品等；</t>
  </si>
  <si>
    <t>(8)仿牌类：凡是在中国海关和其他国家/地区海关网站上能查到登记信息的任何仿牌货物都禁止入仓，非牌子货需提供品牌申明书；</t>
  </si>
  <si>
    <t>其他限制入仓货物：不属于以上危险品目录范围的货物以及其它外包装上带有易燃、 易爆、易腐蚀标示的货物等，请在交货时提供产品说明、MSDS及保函（审批后确认是否可以入仓）。</t>
  </si>
  <si>
    <t>美国反倾销产品目录</t>
  </si>
  <si>
    <t>(1)贱金属及其制品</t>
  </si>
  <si>
    <t>钢钉、钢管、碳合金钢丝条、金属硅、金刚石锯片、不锈钢货架、不锈钢加压管、定尺碳素钢板、石油专用管材、冷轴碳钢、薄壁矩形钢管、熨衣架及部件、螺纹钢筋、弹簧垫圈、非封闭内置弹簧部件、不锈钢拉制深水槽、冷轧钢板、无缝碳钢和合金钢标准管、管线管和压力管、圆锥滚子轴承、铸铁件、金属镁、镀锌板、重锻造手动工具（斧子、撬杠、锤子、镐头）、钢制高压气瓶</t>
  </si>
  <si>
    <t>(2)化学产品</t>
  </si>
  <si>
    <t>己内酰胺（又称碳酸锂）、聚对苯二甲酸乙二酯膜片和条、聚乙烯醇、高锰酸钾、三聚氰胺、天然猪鬃油漆刷及刷头</t>
  </si>
  <si>
    <t>(3)杂项制品</t>
  </si>
  <si>
    <t>木制卧室家具、复合木地板、硬木胶合板产品，非晶硅织物、晶体硅光伏电池、小直径石墨电极</t>
  </si>
  <si>
    <t>(4)机械电气设备及部件</t>
  </si>
  <si>
    <t>滚球轴承、汽车挡风玻璃、刹车鼓与刹车转子，轮毂，轮胎</t>
  </si>
  <si>
    <t>(5)纸及纸制品</t>
  </si>
  <si>
    <t>铜版纸、格记录纸、薄绵纸、折叠礼品盒、皱纹纸、无涂层纸，低克重热敏纸</t>
  </si>
  <si>
    <t>(6)纺织制品</t>
  </si>
  <si>
    <t>聚酯纤维、画布、编织电热毯，原聚酯棉印花布，窄幅梭织缎带</t>
  </si>
  <si>
    <t>(7)预制食品与饮料</t>
  </si>
  <si>
    <t>淹渍蘑菇罐头、柠檬酸与柠檬酸盐、华糖醇、冷冻的和罐装的暖水虾</t>
  </si>
  <si>
    <t>(8)塑料与橡胶制品</t>
  </si>
  <si>
    <t>复合编织袋、聚乙烯手提袋、新充气工程机械轮胎</t>
  </si>
  <si>
    <t>(9)日常生活用品</t>
  </si>
  <si>
    <t>折叠金属椅子，搪瓷厨具，钢丝衣架，蜡烛（所有石蜡制品），曲别针，铅笔</t>
  </si>
  <si>
    <t>(10)家用电器</t>
  </si>
  <si>
    <t>彩色电视机、家用大型洗衣机</t>
  </si>
  <si>
    <t>(11)车船运输设备及部件</t>
  </si>
  <si>
    <t>自行车、手推车</t>
  </si>
  <si>
    <t>(12)建材与玻璃制品</t>
  </si>
  <si>
    <t>铝型材、双轴土工格栅、镁碳砖</t>
  </si>
  <si>
    <t>(13)蔬菜产品</t>
  </si>
  <si>
    <t>蜂蜜</t>
  </si>
  <si>
    <t>美国特殊监管产品</t>
  </si>
  <si>
    <t>(1) FDA 食品和药物管理局  食品，药品，医疗器械，化妆品</t>
  </si>
  <si>
    <t>分为两种，一种是美国注册FDA,FILE FDA，，另一种是要生产厂商的FDA 注册号和产品的注册号。</t>
  </si>
  <si>
    <t>FILE FDA:</t>
  </si>
  <si>
    <t>日用品：碗、锅、勺子叉子（户外烧烤刀叉可以不需要）、蛋糕模型、披萨盘模型、不锈钢刀、杯子、醒酒器、酒瓶、不锈钢冰块、烟灰缸，水瓶， 饭盒，杯子，瓶子，榨汁机。</t>
  </si>
  <si>
    <t>化妆品：BB箱，睫毛膏，面膜</t>
  </si>
  <si>
    <t>FDA 认证:   食品，药品，大部分化妆品,医疗器械，电子烟及烟草，动物皮毛制品，成人用品，管制刀具，植物种子</t>
  </si>
  <si>
    <t>常见FDA认证产品：</t>
  </si>
  <si>
    <t>日用品：太阳镜，各种眼镜，急救包，陶瓷用品，电动牙刷，洗澡刷、电动牙刷、牙膏</t>
  </si>
  <si>
    <t>美容仪器：面膜、眼膜、纹身针、化妆刷、</t>
  </si>
  <si>
    <t>理疗产品：按摩器、性用品、温度计、</t>
  </si>
  <si>
    <t>宠物用品：激光灯类、红外线类、猫薄荷、防潮剂</t>
  </si>
  <si>
    <t>其他室内用具：LED灯具（室内用）、苍蝇胶、老鼠粄、成人用品、颜料、游戏控制器</t>
  </si>
  <si>
    <t>(2) FCC  联邦通信委员会   个人电脑，家用电器，无线产品，玩具等带无线控制的。</t>
  </si>
  <si>
    <t>绝大部分电脑，家电，电动工具，无线通信设备。
A,个人电脑及其周边设备（显示器、印表机、键盘、电源适配器、鼠标、扫描器、界面卡、电子游乐
器、电源供应器，UPS，传真机，数据机，答录机，交换机(伺配器)…等；
B,家电及电动工具（电冰箱、电熨、食品搅碎机、电水壶、电子消毒柜、微波 炉、空调机、吸尘器、电动玩具、自动电饭煲、电动剃须刀、电推剪、电吹风机、面包烘烤器、按摩电器、电池充电器、家用电灶、电灶台、洗衣机、电磁灶、电动食品加工器具、小功率电机等电子、 电气产品。电动工具: 电钻、砂轮机、圆锯机、打钉枪、气钻等）
C．灯具.(LED灯具、LED屏、LED电源/驱动器具镇流器、节能灯、舞台灯、调光器、变换器、舞台等娱乐场所用电子调光设备,管形荧光灯用交流电子镇流器,管形荧光灯,镇流器,放电灯用镇流器,固定式灯具,可移式灯具,嵌入式灯具等.
D, 无线产品及遥控类玩具（如:蓝牙Bluetooth、无线遥控玩具、无线遥控开关、无线温度计、无线鼠标和键盘、无线监视器&amp;摄像头、无线麦克风、、FM发射器以及各种无线设备，各类遥控玩具）</t>
  </si>
  <si>
    <t>(3) EPA 美国环境保护署 保护环境和人体健康要做的认证。常见产品：柴油 / 汽油发动机设备、零售汽车部件、气体、水处理设备、饮用水、农药，灭蚊，捕鼠，杀虫类产品</t>
  </si>
  <si>
    <t>(4)DOT交通部   汽车及零部件: 汽车的核心部件玻璃，轮胎，制动软管等约占汽配的15%左右需要DOT认证。参考：https://baike.baidu.com/item/DOT认证</t>
  </si>
  <si>
    <t>(5)CPSC 美国消费者保护委员会 ：家用电器、儿童玩具、烟花爆竹及其他用于家庭、体育、娱乐及学校的消费品。 (主要是玩具和儿童用品）</t>
  </si>
  <si>
    <t>(6) 需授权类的产品：蓝牙，HIMI等。</t>
  </si>
  <si>
    <t>美国对华反倾销产品目录表
截止2016年1月1日</t>
  </si>
  <si>
    <r>
      <rPr>
        <b/>
        <sz val="14"/>
        <color rgb="FF000000"/>
        <rFont val="微软雅黑"/>
        <charset val="134"/>
      </rPr>
      <t>以下反倾销的品名</t>
    </r>
    <r>
      <rPr>
        <b/>
        <sz val="14"/>
        <color theme="1"/>
        <rFont val="微软雅黑"/>
        <charset val="134"/>
      </rPr>
      <t>严格拒收</t>
    </r>
  </si>
  <si>
    <t>1、不锈钢货架, 2、太阳能类, 3、带线条笔记本, 4、石蜡类 。</t>
  </si>
  <si>
    <t>Order</t>
  </si>
  <si>
    <t>POR</t>
  </si>
  <si>
    <t>Current PRC-wide Rate</t>
  </si>
  <si>
    <t>Date of AD</t>
  </si>
  <si>
    <t>Jan.</t>
  </si>
  <si>
    <t>A-570-001</t>
  </si>
  <si>
    <t>Potassium Permanganate</t>
  </si>
  <si>
    <t>高锰酸钾</t>
  </si>
  <si>
    <t>1984.01.31</t>
  </si>
  <si>
    <t>01.01 - 12.31</t>
  </si>
  <si>
    <t>A-570-866</t>
  </si>
  <si>
    <t>Folding Gift Boxes</t>
  </si>
  <si>
    <t>折叠礼品盒</t>
  </si>
  <si>
    <t>2002.01.08</t>
  </si>
  <si>
    <t>A-570-873</t>
  </si>
  <si>
    <t>Ferrovanadium</t>
  </si>
  <si>
    <t>铁钒合金</t>
  </si>
  <si>
    <t>2003.01.28</t>
  </si>
  <si>
    <t>A-570-895</t>
  </si>
  <si>
    <t>Crepe Paper</t>
  </si>
  <si>
    <t>皱纹纸</t>
  </si>
  <si>
    <t>2005.01.25</t>
  </si>
  <si>
    <t>A-570-890</t>
  </si>
  <si>
    <t>Wooden Bedroom Furniture</t>
  </si>
  <si>
    <t>木制卧室家具</t>
  </si>
  <si>
    <t>2005.01.04</t>
  </si>
  <si>
    <t>01.01 -12.31</t>
  </si>
  <si>
    <t>Feb.</t>
  </si>
  <si>
    <t>A-570-501</t>
  </si>
  <si>
    <t>Natural Bristle Paintbrushes and Brush Heads</t>
  </si>
  <si>
    <t>天然猪鬃油漆刷及刷头</t>
  </si>
  <si>
    <t>1986.02.14</t>
  </si>
  <si>
    <t>02.01 - 01.31</t>
  </si>
  <si>
    <t>A-570-803</t>
  </si>
  <si>
    <t>Heavy Forged Hand Tools</t>
  </si>
  <si>
    <t>重锻造手动工具</t>
  </si>
  <si>
    <t>斧子：174.58%;   撬杠：139.31%;      锤子：45.52%;   镐头：98.77%</t>
  </si>
  <si>
    <t>1991.02.19</t>
  </si>
  <si>
    <t>A-570-851</t>
  </si>
  <si>
    <t>Preserved Mushrooms</t>
  </si>
  <si>
    <t>淹渍蘑菇</t>
  </si>
  <si>
    <t>1997.02.19</t>
  </si>
  <si>
    <t>A-570-893</t>
  </si>
  <si>
    <t>Frozen and Canned Warmwater Shrimp</t>
  </si>
  <si>
    <t>冷冻的和罐装的暖水虾</t>
  </si>
  <si>
    <t>2005.02.01</t>
  </si>
  <si>
    <t>A-570-928</t>
  </si>
  <si>
    <t>Uncovered Innerspring Units</t>
  </si>
  <si>
    <t>非封闭内置弹簧部件</t>
  </si>
  <si>
    <t>2009.02.19</t>
  </si>
  <si>
    <t>A-570-929</t>
  </si>
  <si>
    <t>Small Diameter Graphite Electrodes</t>
  </si>
  <si>
    <t>小直径石墨电极</t>
  </si>
  <si>
    <t>2009.02.26</t>
  </si>
  <si>
    <t>A-570-981</t>
  </si>
  <si>
    <t>Utility Scale Wind Towers</t>
  </si>
  <si>
    <t>风塔</t>
  </si>
  <si>
    <t>2013.02.15</t>
  </si>
  <si>
    <t>02.01-01.31</t>
  </si>
  <si>
    <t>March</t>
  </si>
  <si>
    <t>A-570-002</t>
  </si>
  <si>
    <t>Chloropicrin</t>
  </si>
  <si>
    <t>三氯硝基甲烷</t>
  </si>
  <si>
    <t>1984.03.22</t>
  </si>
  <si>
    <t>03.01 - 02.28</t>
  </si>
  <si>
    <t>A-570-836</t>
  </si>
  <si>
    <t>Glycine</t>
  </si>
  <si>
    <t>氨基乙酸.甘氨酸</t>
  </si>
  <si>
    <t>155.89%  453.79%</t>
  </si>
  <si>
    <t>1995.03.29</t>
  </si>
  <si>
    <t>A-570-894</t>
  </si>
  <si>
    <t>Tissue Paper</t>
  </si>
  <si>
    <t>薄页纸</t>
  </si>
  <si>
    <t>2005.03.30</t>
  </si>
  <si>
    <t>A-570-908</t>
  </si>
  <si>
    <t>Sodium Hexametaphosphate</t>
  </si>
  <si>
    <t>六偏磷酸钠</t>
  </si>
  <si>
    <t>2008.03.19</t>
  </si>
  <si>
    <t>A-570-930</t>
  </si>
  <si>
    <t>Circular Welded Austenitic Stainless Pressure Pipe</t>
  </si>
  <si>
    <t>圆形焊接奥氏体不锈高压套管</t>
  </si>
  <si>
    <t>2009.03.17</t>
  </si>
  <si>
    <t>A-570-965</t>
  </si>
  <si>
    <t>Drill Pipe</t>
  </si>
  <si>
    <t>钻杆</t>
  </si>
  <si>
    <t>2011.03.03</t>
  </si>
  <si>
    <t>A-570-973</t>
  </si>
  <si>
    <t>Certain Steel Wheels</t>
  </si>
  <si>
    <t>钢制轮毂</t>
  </si>
  <si>
    <t>2012.03.23</t>
  </si>
  <si>
    <t>A-570-975</t>
  </si>
  <si>
    <t>Galvanized Steel Wire</t>
  </si>
  <si>
    <t>镀锌钢丝</t>
  </si>
  <si>
    <t>2012.03.26</t>
  </si>
  <si>
    <t>April</t>
  </si>
  <si>
    <t>A-570-867</t>
  </si>
  <si>
    <t>Automotive Replacement Glass Windshields</t>
  </si>
  <si>
    <t>汽车挡风玻璃</t>
  </si>
  <si>
    <t>2002.04.04</t>
  </si>
  <si>
    <t>04.01-03.31</t>
  </si>
  <si>
    <t>A-570-875</t>
  </si>
  <si>
    <t>Non-malleable Cast Iron Pipe Fittings</t>
  </si>
  <si>
    <t>无可锻性铸铁管件</t>
  </si>
  <si>
    <t>2003.04.07</t>
  </si>
  <si>
    <t>04.01 - 03.31</t>
  </si>
  <si>
    <t>A-570-896</t>
  </si>
  <si>
    <t>Magnesium metal</t>
  </si>
  <si>
    <t>镁金属</t>
  </si>
  <si>
    <t>2005.04.15</t>
  </si>
  <si>
    <t>A-570-904</t>
  </si>
  <si>
    <t>Certain Activated Carbon</t>
  </si>
  <si>
    <t>活性碳</t>
  </si>
  <si>
    <t>2007.04.27</t>
  </si>
  <si>
    <t>A-570-932</t>
  </si>
  <si>
    <t>Steel Threaded Rod</t>
  </si>
  <si>
    <t>钢制螺杆</t>
  </si>
  <si>
    <t>2009.04.17</t>
  </si>
  <si>
    <t>A-570-933</t>
  </si>
  <si>
    <t>Frontseating Service Valves</t>
  </si>
  <si>
    <t>空调用截止阀</t>
  </si>
  <si>
    <t>2009.04.28</t>
  </si>
  <si>
    <t>A-570-934</t>
  </si>
  <si>
    <t>1-Hydroxyethylidene-1,1-Diphosphonic Acid (Hedp)</t>
  </si>
  <si>
    <t>羟基亚乙基二膦酸</t>
  </si>
  <si>
    <t>A-570-983</t>
  </si>
  <si>
    <t>Drawn Stainless Steel Sinks</t>
  </si>
  <si>
    <t>不锈钢拉制水槽</t>
  </si>
  <si>
    <t>2013.04.11</t>
  </si>
  <si>
    <t>May</t>
  </si>
  <si>
    <t>A-570-502</t>
  </si>
  <si>
    <t>Iron Construction Castings</t>
  </si>
  <si>
    <t>铁制建筑铸件</t>
  </si>
  <si>
    <t>1986.05.09</t>
  </si>
  <si>
    <t>05.01- 04.30</t>
  </si>
  <si>
    <t>A-570-832</t>
  </si>
  <si>
    <t>Pure Magnesium</t>
  </si>
  <si>
    <t>纯镁</t>
  </si>
  <si>
    <t>1995.05.12</t>
  </si>
  <si>
    <t>05.01-04.30</t>
  </si>
  <si>
    <t>A-570-935</t>
  </si>
  <si>
    <t>Certain circular welded carbon quality steel line pipe</t>
  </si>
  <si>
    <t>圆形焊接碳钢线管</t>
  </si>
  <si>
    <t>2009.05.13</t>
  </si>
  <si>
    <t>A-570-937</t>
  </si>
  <si>
    <t>Citric Acid and Certain Citrate Salts</t>
  </si>
  <si>
    <t>柠檬酸和柠檬酸盐</t>
  </si>
  <si>
    <t>2009.05.29</t>
  </si>
  <si>
    <t>A-570-943</t>
  </si>
  <si>
    <t>Oil Country Tubular Goods</t>
  </si>
  <si>
    <t>石油专用管材</t>
  </si>
  <si>
    <t>2010.05.21</t>
  </si>
  <si>
    <t>A-570-967</t>
  </si>
  <si>
    <t>Aluminum Extrusions</t>
  </si>
  <si>
    <t>铝型材</t>
  </si>
  <si>
    <t>2011.05.26</t>
  </si>
  <si>
    <t>June</t>
  </si>
  <si>
    <t>A-570-601</t>
  </si>
  <si>
    <t>Tapered Roller Bearings and Parts</t>
  </si>
  <si>
    <t>圆锥滚子轴承及部件</t>
  </si>
  <si>
    <t>1987.06.15</t>
  </si>
  <si>
    <t>06.01 - 05.31</t>
  </si>
  <si>
    <t>A-570-806</t>
  </si>
  <si>
    <t>Silicon Metal</t>
  </si>
  <si>
    <t>硅金属</t>
  </si>
  <si>
    <t>1991.06.10</t>
  </si>
  <si>
    <t>A-570-835</t>
  </si>
  <si>
    <t>Furfuryl Alcohol</t>
  </si>
  <si>
    <t>糠醇</t>
  </si>
  <si>
    <t>06.21.1995</t>
  </si>
  <si>
    <t>A-570-868</t>
  </si>
  <si>
    <t>Folding Metal Tables and Chairs</t>
  </si>
  <si>
    <t>折叠金属桌椅</t>
  </si>
  <si>
    <t>2002.06.27</t>
  </si>
  <si>
    <t>A-570-898</t>
  </si>
  <si>
    <t>Chlorinated Isocyanurates</t>
  </si>
  <si>
    <t>氯代异氰(三氯异氰尿酸)</t>
  </si>
  <si>
    <t>2005.06.24</t>
  </si>
  <si>
    <t>A-570-899</t>
  </si>
  <si>
    <t>Artist Canvas</t>
  </si>
  <si>
    <t>画布</t>
  </si>
  <si>
    <t>2006.06.01</t>
  </si>
  <si>
    <t>A-570-905</t>
  </si>
  <si>
    <t>Certain Polyester Staple Fiber</t>
  </si>
  <si>
    <t>聚酯纤维</t>
  </si>
  <si>
    <t>2007.06.01</t>
  </si>
  <si>
    <t>A-570-977</t>
  </si>
  <si>
    <t>High Pressure Steel Cylinders</t>
  </si>
  <si>
    <t>钢制高压气瓶</t>
  </si>
  <si>
    <t>2012.6.21</t>
  </si>
  <si>
    <t>06.01-05.31</t>
  </si>
  <si>
    <t>A-570-945</t>
  </si>
  <si>
    <t>Prestressed Concrete Steel WireStrand</t>
  </si>
  <si>
    <t>预应力混凝土用钢绞线</t>
  </si>
  <si>
    <t>2010.06.29</t>
  </si>
  <si>
    <t>A-570-949</t>
  </si>
  <si>
    <t>Wire Decking</t>
  </si>
  <si>
    <t>金属网片</t>
  </si>
  <si>
    <t>2010.6.10</t>
  </si>
  <si>
    <t>July</t>
  </si>
  <si>
    <t>A-570-814</t>
  </si>
  <si>
    <t>Carbon Steel Butt-weld Pipe Fittings</t>
  </si>
  <si>
    <t>碳钢焊接接口</t>
  </si>
  <si>
    <t>1992.07.06</t>
  </si>
  <si>
    <t>07.01 - 06.30</t>
  </si>
  <si>
    <t>A-570-847</t>
  </si>
  <si>
    <t>Persulfates</t>
  </si>
  <si>
    <t>过硫酸盐</t>
  </si>
  <si>
    <t>1997.07.07</t>
  </si>
  <si>
    <t>A-570-853</t>
  </si>
  <si>
    <t>Bulk Aspirin</t>
  </si>
  <si>
    <t>散装阿斯匹林</t>
  </si>
  <si>
    <t>2000.07.11</t>
  </si>
  <si>
    <t>A-570-910</t>
  </si>
  <si>
    <t>Circular Welded Carbon Quality Steel Pipe</t>
  </si>
  <si>
    <t>圆形焊接碳钢管件</t>
  </si>
  <si>
    <t>2008.07.22</t>
  </si>
  <si>
    <t>A-570-878</t>
  </si>
  <si>
    <t>Saccharin</t>
  </si>
  <si>
    <t>糖精钠</t>
  </si>
  <si>
    <t>2003.06.12</t>
  </si>
  <si>
    <t>07.01-06.30</t>
  </si>
  <si>
    <t>A-570-947</t>
  </si>
  <si>
    <t>Certain Steel Grating</t>
  </si>
  <si>
    <t>钢格板</t>
  </si>
  <si>
    <t>2010.07.23</t>
  </si>
  <si>
    <t>A-570-962</t>
  </si>
  <si>
    <t>Certain Sodium and Potassium Phosphate Salts</t>
  </si>
  <si>
    <t>钠和钾磷盐</t>
  </si>
  <si>
    <t>2010.07.22</t>
  </si>
  <si>
    <t>August</t>
  </si>
  <si>
    <t>A-570-815</t>
  </si>
  <si>
    <t>Sulfanlic Acid</t>
  </si>
  <si>
    <t>对氨基苯磺酸</t>
  </si>
  <si>
    <t>1992.08.19</t>
  </si>
  <si>
    <t>08.01 - 07.31</t>
  </si>
  <si>
    <t>A-570-886</t>
  </si>
  <si>
    <t>Polyethylene Retail Carrier Bags</t>
  </si>
  <si>
    <t>聚乙烯零售包装袋</t>
  </si>
  <si>
    <t>2004.08.09</t>
  </si>
  <si>
    <t>A-570-887</t>
  </si>
  <si>
    <t>Tetrahydrofurfuryl Alcohol</t>
  </si>
  <si>
    <t>四氢糠醇</t>
  </si>
  <si>
    <t>2004.08.06</t>
  </si>
  <si>
    <t>A-570-888</t>
  </si>
  <si>
    <t>Floor-Standing, Metal-Top Ironing Tables and Certain Parts</t>
  </si>
  <si>
    <t>落地式金属台面烫衣板及部件</t>
  </si>
  <si>
    <t>A-570-504</t>
  </si>
  <si>
    <t>Petroleum Wax Candles</t>
  </si>
  <si>
    <t>石油蜡烛</t>
  </si>
  <si>
    <t>1986.08.28</t>
  </si>
  <si>
    <t>08.01- 07.31</t>
  </si>
  <si>
    <t>A-570-909</t>
  </si>
  <si>
    <t>Steel Nail</t>
  </si>
  <si>
    <t>钢钉</t>
  </si>
  <si>
    <t>2008.08.01</t>
  </si>
  <si>
    <t>A-570-914</t>
  </si>
  <si>
    <t>Light-Walled Rectangular Pipe and Tube</t>
  </si>
  <si>
    <t>薄壁矩形钢管</t>
  </si>
  <si>
    <t>2008.08.05</t>
  </si>
  <si>
    <t>08.01-07.31</t>
  </si>
  <si>
    <t>A-570-916</t>
  </si>
  <si>
    <t>Laminated Woven Sacks</t>
  </si>
  <si>
    <t>复合编织袋</t>
  </si>
  <si>
    <t>2008.08.07</t>
  </si>
  <si>
    <t>A-570-925</t>
  </si>
  <si>
    <t>Sodium Nitrite</t>
  </si>
  <si>
    <t>亚硝酸钠</t>
  </si>
  <si>
    <t>2008.08.27</t>
  </si>
  <si>
    <t>A-570-939</t>
  </si>
  <si>
    <t>Certain Tow-Behind Lawn Groomers and Certain Parts Thereof</t>
  </si>
  <si>
    <t>后拖式草地维护设备及零部件</t>
  </si>
  <si>
    <t>2009.08.03</t>
  </si>
  <si>
    <t>A-570-951</t>
  </si>
  <si>
    <t>Certain Woven Electric Blankets</t>
  </si>
  <si>
    <t>编织电热毯</t>
  </si>
  <si>
    <t>2010.08.18</t>
  </si>
  <si>
    <t>Sep.</t>
  </si>
  <si>
    <t>A-570-860</t>
  </si>
  <si>
    <t>Steel Concrete Reinforcing Bars</t>
  </si>
  <si>
    <t>钢筋</t>
  </si>
  <si>
    <t>2001.09.07</t>
  </si>
  <si>
    <t>09.01 - 08.31</t>
  </si>
  <si>
    <t>A-570-862</t>
  </si>
  <si>
    <t>Foundry Coke Products</t>
  </si>
  <si>
    <t>铸造焦碳</t>
  </si>
  <si>
    <t>2001.09.17</t>
  </si>
  <si>
    <t>A-570-101</t>
  </si>
  <si>
    <t>Greig Polyester Cotton Print Cloth</t>
  </si>
  <si>
    <t>原聚酯棉印花布</t>
  </si>
  <si>
    <t>1983.09.16</t>
  </si>
  <si>
    <t>A-570-848</t>
  </si>
  <si>
    <t>Freshwater Crawfish Tail Meat</t>
  </si>
  <si>
    <t>淡水小龙虾尾肉</t>
  </si>
  <si>
    <t>1997.09.15</t>
  </si>
  <si>
    <t>A-570-901</t>
  </si>
  <si>
    <t>Lined Paper Products</t>
  </si>
  <si>
    <t>文具纸</t>
  </si>
  <si>
    <t>2006.10.26</t>
  </si>
  <si>
    <t>09.01-08.31</t>
  </si>
  <si>
    <t>A-570-912</t>
  </si>
  <si>
    <t>New pneumatic off-the-road tires</t>
  </si>
  <si>
    <t>新充气工程机械轮胎</t>
  </si>
  <si>
    <t>2008.09.04</t>
  </si>
  <si>
    <t>A-570-922</t>
  </si>
  <si>
    <t>Raw Flexible Magnets</t>
  </si>
  <si>
    <t>未加工橡胶磁</t>
  </si>
  <si>
    <t>2008.09.17</t>
  </si>
  <si>
    <t>A-570-941</t>
  </si>
  <si>
    <t>Certain Kitchen Appliance Shelving and Racks</t>
  </si>
  <si>
    <t>厨房用搁板和网架</t>
  </si>
  <si>
    <t>2009.09.14</t>
  </si>
  <si>
    <t>A-570-952</t>
  </si>
  <si>
    <t>Narrow Woven Ribbons with Woven Selvedge</t>
  </si>
  <si>
    <t>窄幅梭织缎带</t>
  </si>
  <si>
    <t>2010.09.01</t>
  </si>
  <si>
    <t>A-570-954</t>
  </si>
  <si>
    <t>Certain Magnesia Carbon Bricks</t>
  </si>
  <si>
    <t>镁碳砖</t>
  </si>
  <si>
    <t>2010.09.20</t>
  </si>
  <si>
    <t>A-570-986</t>
  </si>
  <si>
    <t>Hardwood Plywood</t>
  </si>
  <si>
    <t>硬木胶合板产品</t>
  </si>
  <si>
    <t>2013.09.23</t>
  </si>
  <si>
    <t>Oct.</t>
  </si>
  <si>
    <t>A-570-007</t>
  </si>
  <si>
    <t>Barium Chloride</t>
  </si>
  <si>
    <t>氯化钡</t>
  </si>
  <si>
    <t>1984.10.17</t>
  </si>
  <si>
    <t>10.01 - 09.30</t>
  </si>
  <si>
    <t>A-570-822</t>
  </si>
  <si>
    <t>Helical Spring Lock Washers</t>
  </si>
  <si>
    <t>螺旋形弹簧锁垫圈</t>
  </si>
  <si>
    <t>1993.10.19</t>
  </si>
  <si>
    <t>A-570-880</t>
  </si>
  <si>
    <t>Barium Carbonate</t>
  </si>
  <si>
    <t>碳酸钡</t>
  </si>
  <si>
    <t>2003.10.01</t>
  </si>
  <si>
    <t>A-570-879</t>
  </si>
  <si>
    <t>Polyvinyl Alcohol</t>
  </si>
  <si>
    <t>聚乙烯醇</t>
  </si>
  <si>
    <t>A-570-918</t>
  </si>
  <si>
    <t>Steel Wire Garment Hangers</t>
  </si>
  <si>
    <t>钢丝衣架</t>
  </si>
  <si>
    <t>2008.10.06</t>
  </si>
  <si>
    <t>A-570-919</t>
  </si>
  <si>
    <t>Electrolytic Manganese Dioxide</t>
  </si>
  <si>
    <t>电解二氧化锰</t>
  </si>
  <si>
    <t>2008.10.07</t>
  </si>
  <si>
    <t>Nov.</t>
  </si>
  <si>
    <t>A-570-849</t>
  </si>
  <si>
    <t>Cut-to-length Carbon Steel Plate</t>
  </si>
  <si>
    <t>定尺碳钢板</t>
  </si>
  <si>
    <t>1997.10.24</t>
  </si>
  <si>
    <t>11.01 - 10.31</t>
  </si>
  <si>
    <t>A-570-864</t>
  </si>
  <si>
    <t>Pure Magnesium in Granular</t>
  </si>
  <si>
    <t>颗粒状纯镁</t>
  </si>
  <si>
    <t>2001.11.19</t>
  </si>
  <si>
    <t>11.01 - 10.30</t>
  </si>
  <si>
    <t>A-570-865</t>
  </si>
  <si>
    <t>Hot-rolled Carbon Steel Flat Products</t>
  </si>
  <si>
    <t>热轧碳钢板</t>
  </si>
  <si>
    <t>2001.11.29</t>
  </si>
  <si>
    <t>A-570-831</t>
  </si>
  <si>
    <t>Fresh Garlic</t>
  </si>
  <si>
    <t>鲜蒜</t>
  </si>
  <si>
    <t>1994.11.16</t>
  </si>
  <si>
    <t>A-570-882</t>
  </si>
  <si>
    <t>Refined Brown Aluminum Oxide</t>
  </si>
  <si>
    <t>棕刚玉</t>
  </si>
  <si>
    <t>2003.11.19</t>
  </si>
  <si>
    <t>A-570-826</t>
  </si>
  <si>
    <t>Paper Clips</t>
  </si>
  <si>
    <t>曲别针</t>
  </si>
  <si>
    <t>1994.11.25</t>
  </si>
  <si>
    <t>11.01- 10.31</t>
  </si>
  <si>
    <t>A-570-900</t>
  </si>
  <si>
    <t>Diamond Sawblades and Parts Thereof</t>
  </si>
  <si>
    <t>钻石锯条及部件</t>
  </si>
  <si>
    <t>2009.11.04</t>
  </si>
  <si>
    <t>11.01-10.31</t>
  </si>
  <si>
    <t>A-570-920</t>
  </si>
  <si>
    <t>Lightweight Thermal Paper</t>
  </si>
  <si>
    <t>低克重热敏纸</t>
  </si>
  <si>
    <t>2008.11.24</t>
  </si>
  <si>
    <t>A-570-924</t>
  </si>
  <si>
    <t>Polyethylene Terephthalate Film, Sheet, and Strip</t>
  </si>
  <si>
    <t>聚对苯二甲酸乙二酯膜、片和条</t>
  </si>
  <si>
    <t>2008.11.10</t>
  </si>
  <si>
    <t>A-570-956</t>
  </si>
  <si>
    <t>Certain Seamless Carbon and Alloy Steel Standard, Line, and Pressure Pipe</t>
  </si>
  <si>
    <t>无缝碳钢和合金钢标准的管线管和高压管</t>
  </si>
  <si>
    <t>2011.11.10</t>
  </si>
  <si>
    <t>A-570-958</t>
  </si>
  <si>
    <t>Certain Coated Paper</t>
  </si>
  <si>
    <t>铜版纸</t>
  </si>
  <si>
    <t>2010.11.17</t>
  </si>
  <si>
    <t>A-570-964</t>
  </si>
  <si>
    <t>Seamless Refined Copper Pipe and Tube</t>
  </si>
  <si>
    <t>无缝精炼铜管</t>
  </si>
  <si>
    <t>2010.11.22</t>
  </si>
  <si>
    <t>Dec.</t>
  </si>
  <si>
    <t>A-570-506</t>
  </si>
  <si>
    <t>Porcelain-on-steel Cooking Ware</t>
  </si>
  <si>
    <t>搪瓷厨具</t>
  </si>
  <si>
    <t>1986.12.02</t>
  </si>
  <si>
    <t>12.01 - 11.30</t>
  </si>
  <si>
    <t>A-570-827</t>
  </si>
  <si>
    <t>Cased Pencils</t>
  </si>
  <si>
    <t>铅笔</t>
  </si>
  <si>
    <t>1994.12.28</t>
  </si>
  <si>
    <t>A-570-828</t>
  </si>
  <si>
    <t>Siliconmanganese</t>
  </si>
  <si>
    <t>硅锰合金</t>
  </si>
  <si>
    <t>1994.12.22</t>
  </si>
  <si>
    <t>A-570-863</t>
  </si>
  <si>
    <t>Honey</t>
  </si>
  <si>
    <t>2001.12.10</t>
  </si>
  <si>
    <t>A-570-881</t>
  </si>
  <si>
    <t>Malleable Iron Pipe Fittings</t>
  </si>
  <si>
    <t>可锻性玛钢管件</t>
  </si>
  <si>
    <t>2003.12.12</t>
  </si>
  <si>
    <t>A-570-892</t>
  </si>
  <si>
    <t>Carbazole Violet Pigment 23</t>
  </si>
  <si>
    <t>咔唑紫颜料</t>
  </si>
  <si>
    <t>2004.12.29</t>
  </si>
  <si>
    <t>A-570-891</t>
  </si>
  <si>
    <t>Hand Trucks</t>
  </si>
  <si>
    <t>手推车</t>
  </si>
  <si>
    <t>2004.12.02</t>
  </si>
  <si>
    <t>12.01 -11.30</t>
  </si>
  <si>
    <t>A-570-970</t>
  </si>
  <si>
    <t>Multilayered Wood Flooring</t>
  </si>
  <si>
    <t>多层木地板</t>
  </si>
  <si>
    <t>2011.12.08</t>
  </si>
  <si>
    <t>12.01-11.30</t>
  </si>
  <si>
    <t>A-570-979</t>
  </si>
  <si>
    <t>Crystalline Silicon Photovoltaic Cells</t>
  </si>
  <si>
    <t>太阳能电池</t>
  </si>
  <si>
    <t>2012.12.07</t>
  </si>
  <si>
    <t>Investigation</t>
  </si>
  <si>
    <t>A-570-988</t>
  </si>
  <si>
    <t>Silica Bricks and Shapes</t>
  </si>
  <si>
    <t>硅砖</t>
  </si>
  <si>
    <t>A-570-990</t>
  </si>
  <si>
    <t>Prestressed Concrete Steel Rail Tie Wire</t>
  </si>
  <si>
    <t>预应力混凝土轨枕钢丝</t>
  </si>
  <si>
    <t>2014.06.24</t>
  </si>
  <si>
    <t>A-570-992</t>
  </si>
  <si>
    <t>Monosodium Glutamate</t>
  </si>
  <si>
    <t>味精</t>
  </si>
  <si>
    <t>2015.01.06</t>
  </si>
  <si>
    <t>01.01-05.31</t>
  </si>
  <si>
    <t>A-570-994</t>
  </si>
  <si>
    <t>A-570-996</t>
  </si>
  <si>
    <t>Grain-Oriented Electrical Steel</t>
  </si>
  <si>
    <t>Non-Oriented Electrical Steel</t>
  </si>
  <si>
    <t>取向电工钢</t>
  </si>
  <si>
    <t>A-570-998</t>
  </si>
  <si>
    <t>1,1,1,2-Tetrafluoroethane</t>
  </si>
  <si>
    <t>1,1,1,2-四氟乙烷</t>
  </si>
  <si>
    <t>注：美国对于反倾销产品的归类会不定期更新，以实际出货、实际清关为准!</t>
  </si>
  <si>
    <t>客户订单号*</t>
  </si>
  <si>
    <t>服务*</t>
  </si>
  <si>
    <t>广州美西卡派组合二区</t>
  </si>
  <si>
    <t>地址库编码*</t>
  </si>
  <si>
    <t>POC3-FEDEX</t>
  </si>
  <si>
    <t>收件人姓名*</t>
  </si>
  <si>
    <t>收件人公司*</t>
  </si>
  <si>
    <t>收件人地址一*</t>
  </si>
  <si>
    <t>填写完整地址
请勿包含双重城市名</t>
  </si>
  <si>
    <t>收件人地址二</t>
  </si>
  <si>
    <t>收件人地址三</t>
  </si>
  <si>
    <t>收件人城市*</t>
  </si>
  <si>
    <t>收件人省份/州*</t>
  </si>
  <si>
    <t>收件人邮编*</t>
  </si>
  <si>
    <t>收件人国家代码(二字代码)*</t>
  </si>
  <si>
    <t>收件人电话</t>
  </si>
  <si>
    <t>带电*</t>
  </si>
  <si>
    <t>否</t>
  </si>
  <si>
    <t>报关方式*</t>
  </si>
  <si>
    <t>买单报关</t>
  </si>
  <si>
    <t>箱数*</t>
  </si>
  <si>
    <t>货箱编号*</t>
  </si>
  <si>
    <t>货箱重量(KG)*</t>
  </si>
  <si>
    <t>货箱长度(CM)*</t>
  </si>
  <si>
    <t>货箱宽度(CM)*</t>
  </si>
  <si>
    <t>货箱高度(CM)*</t>
  </si>
  <si>
    <t>产品英文品名*</t>
  </si>
  <si>
    <t>产品中文品名*</t>
  </si>
  <si>
    <t>产品申报单价USD*</t>
  </si>
  <si>
    <t>产品申报数量*</t>
  </si>
  <si>
    <t>产品材质*</t>
  </si>
  <si>
    <t>产品海关编码*</t>
  </si>
  <si>
    <t>产品用途*</t>
  </si>
  <si>
    <t>英文产品品牌*</t>
  </si>
  <si>
    <t>中文产品品牌*</t>
  </si>
  <si>
    <t>产品型号*</t>
  </si>
  <si>
    <r>
      <rPr>
        <sz val="9"/>
        <color theme="1"/>
        <rFont val="微软雅黑"/>
        <charset val="134"/>
      </rPr>
      <t>PONumber（卡派填写）</t>
    </r>
    <r>
      <rPr>
        <sz val="9"/>
        <color indexed="10"/>
        <rFont val="微软雅黑"/>
        <charset val="134"/>
      </rPr>
      <t>*</t>
    </r>
  </si>
  <si>
    <r>
      <rPr>
        <sz val="9"/>
        <color theme="1"/>
        <rFont val="微软雅黑"/>
        <charset val="134"/>
      </rPr>
      <t>产品图片</t>
    </r>
    <r>
      <rPr>
        <sz val="9"/>
        <color indexed="10"/>
        <rFont val="微软雅黑"/>
        <charset val="134"/>
      </rPr>
      <t>*</t>
    </r>
  </si>
  <si>
    <t>FBA18G2GLLJZU000001</t>
  </si>
  <si>
    <t>Vacuum sealing machine</t>
  </si>
  <si>
    <t>真空密封机</t>
  </si>
  <si>
    <t>PC与电子元件</t>
  </si>
  <si>
    <t>For vacuum sealing</t>
  </si>
  <si>
    <t>INKBIRD</t>
  </si>
  <si>
    <t>V7230</t>
  </si>
  <si>
    <t>23U7RUGH</t>
  </si>
  <si>
    <t>FBA18G2GLLJZU000002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</si>
</sst>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809]* #,##0.00_-;\-[$£-809]* #,##0.00_-;_-[$£-809]* &quot;-&quot;??_-;_-@_-"/>
    <numFmt numFmtId="177" formatCode="_([$€-2]* #,##0.00_);_([$€-2]* \(#,##0.00\);_([$€-2]* &quot;-&quot;??_)"/>
    <numFmt numFmtId="178" formatCode="[$-1010804]General"/>
    <numFmt numFmtId="179" formatCode="yyyy&quot;年&quot;m&quot;月&quot;d&quot;日&quot;;@"/>
    <numFmt numFmtId="180" formatCode="0.00_ "/>
    <numFmt numFmtId="181" formatCode="[$£-809]#,##0.00"/>
    <numFmt numFmtId="182" formatCode="[$AUD]\ #,##0.00_);[Red]\([$AUD]\ #,##0.00\)"/>
    <numFmt numFmtId="183" formatCode="&quot;$&quot;#,##0;\-&quot;$&quot;#,##0"/>
    <numFmt numFmtId="184" formatCode="&quot;$&quot;#,##0.0;\-&quot;$&quot;#,##0.0"/>
    <numFmt numFmtId="185" formatCode="0.0_ "/>
    <numFmt numFmtId="186" formatCode="0_ "/>
  </numFmts>
  <fonts count="124">
    <font>
      <sz val="11"/>
      <color theme="1"/>
      <name val="宋体"/>
      <charset val="134"/>
      <scheme val="minor"/>
    </font>
    <font>
      <sz val="9"/>
      <color theme="1"/>
      <name val="微软雅黑"/>
      <charset val="134"/>
    </font>
    <font>
      <sz val="9"/>
      <color rgb="FFFF0000"/>
      <name val="微软雅黑"/>
      <charset val="134"/>
    </font>
    <font>
      <b/>
      <sz val="9"/>
      <color rgb="FFFF0000"/>
      <name val="微软雅黑"/>
      <charset val="134"/>
    </font>
    <font>
      <sz val="9"/>
      <name val="微软雅黑"/>
      <charset val="134"/>
    </font>
    <font>
      <sz val="9"/>
      <color rgb="FF000000"/>
      <name val="微软雅黑"/>
      <charset val="134"/>
    </font>
    <font>
      <b/>
      <sz val="11"/>
      <color rgb="FFFF0000"/>
      <name val="微软雅黑"/>
      <charset val="134"/>
    </font>
    <font>
      <sz val="12"/>
      <color theme="1"/>
      <name val="宋体"/>
      <charset val="134"/>
      <scheme val="minor"/>
    </font>
    <font>
      <u/>
      <sz val="11"/>
      <color theme="10"/>
      <name val="宋体"/>
      <charset val="134"/>
      <scheme val="minor"/>
    </font>
    <font>
      <sz val="11"/>
      <color theme="1"/>
      <name val="微软雅黑"/>
      <charset val="134"/>
    </font>
    <font>
      <sz val="11"/>
      <name val="宋体"/>
      <charset val="134"/>
    </font>
    <font>
      <b/>
      <sz val="26"/>
      <color theme="0"/>
      <name val="微软雅黑"/>
      <charset val="134"/>
    </font>
    <font>
      <sz val="12"/>
      <color rgb="FF800080"/>
      <name val="微软雅黑"/>
      <charset val="134"/>
    </font>
    <font>
      <b/>
      <sz val="14"/>
      <color rgb="FF000000"/>
      <name val="微软雅黑"/>
      <charset val="134"/>
    </font>
    <font>
      <b/>
      <sz val="14"/>
      <color indexed="8"/>
      <name val="微软雅黑"/>
      <charset val="134"/>
    </font>
    <font>
      <b/>
      <sz val="14"/>
      <color rgb="FFFF0000"/>
      <name val="微软雅黑"/>
      <charset val="134"/>
    </font>
    <font>
      <sz val="11"/>
      <color indexed="8"/>
      <name val="微软雅黑"/>
      <charset val="134"/>
    </font>
    <font>
      <sz val="10"/>
      <color indexed="8"/>
      <name val="微软雅黑"/>
      <charset val="134"/>
    </font>
    <font>
      <sz val="10"/>
      <color indexed="10"/>
      <name val="微软雅黑"/>
      <charset val="134"/>
    </font>
    <font>
      <sz val="14"/>
      <color rgb="FFFF0000"/>
      <name val="微软雅黑"/>
      <charset val="134"/>
    </font>
    <font>
      <sz val="11"/>
      <name val="微软雅黑"/>
      <charset val="134"/>
    </font>
    <font>
      <sz val="10"/>
      <color theme="0"/>
      <name val="微软雅黑"/>
      <charset val="134"/>
    </font>
    <font>
      <b/>
      <sz val="12"/>
      <color theme="0"/>
      <name val="微软雅黑"/>
      <charset val="134"/>
    </font>
    <font>
      <sz val="10"/>
      <color rgb="FFFF0000"/>
      <name val="微软雅黑"/>
      <charset val="134"/>
    </font>
    <font>
      <sz val="10"/>
      <color rgb="FF0000FF"/>
      <name val="微软雅黑"/>
      <charset val="134"/>
    </font>
    <font>
      <sz val="18"/>
      <color theme="1"/>
      <name val="宋体"/>
      <charset val="134"/>
      <scheme val="minor"/>
    </font>
    <font>
      <b/>
      <sz val="24"/>
      <name val="新宋体"/>
      <charset val="134"/>
    </font>
    <font>
      <b/>
      <sz val="18"/>
      <color indexed="8"/>
      <name val="新宋体"/>
      <charset val="134"/>
    </font>
    <font>
      <b/>
      <sz val="14"/>
      <color theme="1"/>
      <name val="宋体"/>
      <charset val="134"/>
      <scheme val="minor"/>
    </font>
    <font>
      <b/>
      <sz val="18"/>
      <color theme="1"/>
      <name val="宋体"/>
      <charset val="134"/>
      <scheme val="minor"/>
    </font>
    <font>
      <b/>
      <sz val="16"/>
      <name val="新宋体"/>
      <charset val="134"/>
    </font>
    <font>
      <b/>
      <sz val="16"/>
      <color theme="1"/>
      <name val="新宋体"/>
      <charset val="134"/>
    </font>
    <font>
      <b/>
      <sz val="11"/>
      <name val="微软雅黑"/>
      <charset val="134"/>
    </font>
    <font>
      <u/>
      <sz val="11"/>
      <color rgb="FF800080"/>
      <name val="宋体"/>
      <charset val="134"/>
      <scheme val="minor"/>
    </font>
    <font>
      <sz val="9"/>
      <color indexed="8"/>
      <name val="微软雅黑"/>
      <charset val="134"/>
    </font>
    <font>
      <sz val="9"/>
      <color theme="5"/>
      <name val="微软雅黑"/>
      <charset val="134"/>
    </font>
    <font>
      <b/>
      <sz val="26"/>
      <color rgb="FF0000FF"/>
      <name val="微软雅黑"/>
      <charset val="134"/>
    </font>
    <font>
      <b/>
      <sz val="14"/>
      <color theme="0"/>
      <name val="微软雅黑"/>
      <charset val="134"/>
    </font>
    <font>
      <sz val="10"/>
      <color theme="1"/>
      <name val="微软雅黑"/>
      <charset val="134"/>
    </font>
    <font>
      <b/>
      <sz val="12"/>
      <color rgb="FFFF0000"/>
      <name val="微软雅黑"/>
      <charset val="134"/>
    </font>
    <font>
      <b/>
      <sz val="20"/>
      <color theme="0"/>
      <name val="微软雅黑"/>
      <charset val="134"/>
    </font>
    <font>
      <sz val="11"/>
      <color rgb="FFFF0000"/>
      <name val="微软雅黑"/>
      <charset val="134"/>
    </font>
    <font>
      <sz val="20"/>
      <color theme="0"/>
      <name val="微软雅黑"/>
      <charset val="134"/>
    </font>
    <font>
      <b/>
      <sz val="12"/>
      <color theme="1"/>
      <name val="微软雅黑"/>
      <charset val="134"/>
    </font>
    <font>
      <b/>
      <sz val="10"/>
      <color theme="1"/>
      <name val="微软雅黑"/>
      <charset val="134"/>
    </font>
    <font>
      <b/>
      <sz val="11"/>
      <color rgb="FFC00000"/>
      <name val="宋体"/>
      <charset val="134"/>
      <scheme val="minor"/>
    </font>
    <font>
      <b/>
      <sz val="14"/>
      <name val="微软雅黑"/>
      <charset val="134"/>
    </font>
    <font>
      <b/>
      <sz val="14"/>
      <color rgb="FF0000FF"/>
      <name val="微软雅黑"/>
      <charset val="134"/>
    </font>
    <font>
      <sz val="14"/>
      <color theme="1"/>
      <name val="微软雅黑"/>
      <charset val="134"/>
    </font>
    <font>
      <sz val="14"/>
      <color rgb="FF0000FF"/>
      <name val="微软雅黑"/>
      <charset val="134"/>
    </font>
    <font>
      <sz val="14"/>
      <name val="微软雅黑"/>
      <charset val="134"/>
    </font>
    <font>
      <b/>
      <sz val="14"/>
      <color theme="1"/>
      <name val="微软雅黑"/>
      <charset val="134"/>
    </font>
    <font>
      <b/>
      <sz val="11"/>
      <color theme="1"/>
      <name val="微软雅黑"/>
      <charset val="134"/>
    </font>
    <font>
      <b/>
      <sz val="11"/>
      <color theme="0"/>
      <name val="微软雅黑"/>
      <charset val="134"/>
    </font>
    <font>
      <b/>
      <sz val="24"/>
      <color rgb="FF0000FF"/>
      <name val="微软雅黑"/>
      <charset val="134"/>
    </font>
    <font>
      <sz val="14"/>
      <color rgb="FF000000"/>
      <name val="微软雅黑"/>
      <charset val="134"/>
    </font>
    <font>
      <b/>
      <sz val="12"/>
      <name val="微软雅黑"/>
      <charset val="134"/>
    </font>
    <font>
      <b/>
      <sz val="16"/>
      <color rgb="FFFF0000"/>
      <name val="微软雅黑"/>
      <charset val="134"/>
    </font>
    <font>
      <b/>
      <sz val="12"/>
      <color rgb="FF0000FF"/>
      <name val="微软雅黑"/>
      <charset val="134"/>
    </font>
    <font>
      <sz val="14"/>
      <color theme="2" tint="-0.899990844447157"/>
      <name val="微软雅黑"/>
      <charset val="134"/>
    </font>
    <font>
      <sz val="9"/>
      <name val="宋体"/>
      <charset val="134"/>
    </font>
    <font>
      <sz val="11"/>
      <color indexed="8"/>
      <name val="Tahoma"/>
      <charset val="134"/>
    </font>
    <font>
      <sz val="14"/>
      <color theme="1"/>
      <name val="宋体"/>
      <charset val="134"/>
      <scheme val="minor"/>
    </font>
    <font>
      <b/>
      <sz val="18"/>
      <color rgb="FFFF0000"/>
      <name val="微软雅黑"/>
      <charset val="134"/>
    </font>
    <font>
      <b/>
      <sz val="24"/>
      <color rgb="FFFF0000"/>
      <name val="微软雅黑"/>
      <charset val="134"/>
    </font>
    <font>
      <u/>
      <sz val="14"/>
      <color rgb="FF800080"/>
      <name val="微软雅黑"/>
      <charset val="134"/>
    </font>
    <font>
      <sz val="12"/>
      <name val="微软雅黑"/>
      <charset val="134"/>
    </font>
    <font>
      <sz val="12"/>
      <color theme="1"/>
      <name val="微软雅黑"/>
      <charset val="134"/>
    </font>
    <font>
      <u/>
      <sz val="12"/>
      <color rgb="FF800080"/>
      <name val="微软雅黑"/>
      <charset val="134"/>
    </font>
    <font>
      <sz val="16"/>
      <color rgb="FFFF0000"/>
      <name val="微软雅黑"/>
      <charset val="134"/>
    </font>
    <font>
      <sz val="10"/>
      <name val="微软雅黑"/>
      <charset val="134"/>
    </font>
    <font>
      <b/>
      <sz val="10"/>
      <name val="微软雅黑"/>
      <charset val="134"/>
    </font>
    <font>
      <sz val="12"/>
      <color rgb="FF0000FF"/>
      <name val="微软雅黑"/>
      <charset val="134"/>
    </font>
    <font>
      <u/>
      <sz val="12"/>
      <color rgb="FF0000FF"/>
      <name val="微软雅黑"/>
      <charset val="134"/>
    </font>
    <font>
      <sz val="12"/>
      <color rgb="FFFF0000"/>
      <name val="微软雅黑"/>
      <charset val="134"/>
    </font>
    <font>
      <sz val="11"/>
      <color rgb="FF0000FF"/>
      <name val="微软雅黑"/>
      <charset val="134"/>
    </font>
    <font>
      <sz val="11"/>
      <color rgb="FF800080"/>
      <name val="宋体"/>
      <charset val="134"/>
      <scheme val="minor"/>
    </font>
    <font>
      <b/>
      <sz val="11"/>
      <color theme="1"/>
      <name val="宋体"/>
      <charset val="134"/>
      <scheme val="minor"/>
    </font>
    <font>
      <b/>
      <sz val="28"/>
      <color theme="1"/>
      <name val="微软雅黑"/>
      <charset val="134"/>
    </font>
    <font>
      <b/>
      <sz val="16"/>
      <color theme="1"/>
      <name val="宋体"/>
      <charset val="134"/>
      <scheme val="minor"/>
    </font>
    <font>
      <b/>
      <sz val="16"/>
      <color theme="0"/>
      <name val="微软雅黑"/>
      <charset val="134"/>
    </font>
    <font>
      <b/>
      <sz val="11"/>
      <color indexed="8"/>
      <name val="微软雅黑"/>
      <charset val="134"/>
    </font>
    <font>
      <b/>
      <sz val="36"/>
      <color rgb="FF0677EA"/>
      <name val="微软雅黑"/>
      <charset val="134"/>
    </font>
    <font>
      <b/>
      <sz val="20"/>
      <color rgb="FF0677EA"/>
      <name val="微软雅黑"/>
      <charset val="134"/>
    </font>
    <font>
      <b/>
      <sz val="16"/>
      <color rgb="FF0000FF"/>
      <name val="微软雅黑"/>
      <charset val="134"/>
    </font>
    <font>
      <sz val="11"/>
      <color rgb="FF800080"/>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
      <charset val="134"/>
    </font>
    <font>
      <sz val="11"/>
      <color indexed="8"/>
      <name val="宋体"/>
      <charset val="134"/>
    </font>
    <font>
      <sz val="10"/>
      <name val="Arial"/>
      <charset val="134"/>
    </font>
    <font>
      <sz val="12"/>
      <name val="宋体"/>
      <charset val="134"/>
    </font>
    <font>
      <sz val="12"/>
      <color rgb="FF000000"/>
      <name val="宋体"/>
      <charset val="134"/>
    </font>
    <font>
      <sz val="11"/>
      <color rgb="FF000000"/>
      <name val="宋体"/>
      <charset val="134"/>
    </font>
    <font>
      <sz val="10"/>
      <name val="Helv"/>
      <charset val="134"/>
    </font>
    <font>
      <u/>
      <sz val="12"/>
      <color indexed="12"/>
      <name val="宋体"/>
      <charset val="134"/>
    </font>
    <font>
      <b/>
      <sz val="20"/>
      <color rgb="FFFF0000"/>
      <name val="微软雅黑"/>
      <charset val="134"/>
    </font>
    <font>
      <b/>
      <sz val="26"/>
      <color rgb="FFFF0000"/>
      <name val="微软雅黑"/>
      <charset val="134"/>
    </font>
    <font>
      <b/>
      <sz val="10"/>
      <color rgb="FFFF0000"/>
      <name val="微软雅黑"/>
      <charset val="134"/>
    </font>
    <font>
      <b/>
      <sz val="28"/>
      <color rgb="FFFF0000"/>
      <name val="微软雅黑"/>
      <charset val="134"/>
    </font>
    <font>
      <sz val="8"/>
      <color theme="1"/>
      <name val="微软雅黑"/>
      <charset val="134"/>
    </font>
    <font>
      <sz val="9"/>
      <color indexed="10"/>
      <name val="微软雅黑"/>
      <charset val="134"/>
    </font>
    <font>
      <b/>
      <sz val="11"/>
      <color rgb="FF0000FF"/>
      <name val="微软雅黑"/>
      <charset val="134"/>
    </font>
    <font>
      <sz val="11"/>
      <color rgb="FF00B0F0"/>
      <name val="微软雅黑"/>
      <charset val="134"/>
    </font>
    <font>
      <b/>
      <u/>
      <sz val="10"/>
      <name val="微软雅黑"/>
      <charset val="134"/>
    </font>
    <font>
      <sz val="9"/>
      <name val="宋体"/>
      <charset val="134"/>
    </font>
    <font>
      <b/>
      <sz val="9"/>
      <name val="宋体"/>
      <charset val="134"/>
    </font>
  </fonts>
  <fills count="46">
    <fill>
      <patternFill patternType="none"/>
    </fill>
    <fill>
      <patternFill patternType="gray125"/>
    </fill>
    <fill>
      <patternFill patternType="solid">
        <fgColor theme="6" tint="0.799981688894314"/>
        <bgColor indexed="64"/>
      </patternFill>
    </fill>
    <fill>
      <patternFill patternType="solid">
        <fgColor rgb="FFFFFF00"/>
        <bgColor indexed="64"/>
      </patternFill>
    </fill>
    <fill>
      <patternFill patternType="solid">
        <fgColor theme="6" tint="0.399975585192419"/>
        <bgColor indexed="64"/>
      </patternFill>
    </fill>
    <fill>
      <patternFill patternType="solid">
        <fgColor rgb="FF0000FF"/>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theme="3" tint="0.4"/>
        <bgColor indexed="64"/>
      </patternFill>
    </fill>
    <fill>
      <patternFill patternType="solid">
        <fgColor theme="8" tint="0.8"/>
        <bgColor indexed="64"/>
      </patternFill>
    </fill>
    <fill>
      <patternFill patternType="solid">
        <fgColor rgb="FFFF0000"/>
        <bgColor indexed="64"/>
      </patternFill>
    </fill>
    <fill>
      <patternFill patternType="solid">
        <fgColor theme="4" tint="0.8"/>
        <bgColor indexed="64"/>
      </patternFill>
    </fill>
    <fill>
      <patternFill patternType="solid">
        <fgColor theme="3" tint="0.8"/>
        <bgColor indexed="64"/>
      </patternFill>
    </fill>
    <fill>
      <patternFill patternType="solid">
        <fgColor rgb="FF92D050"/>
        <bgColor indexed="64"/>
      </patternFill>
    </fill>
    <fill>
      <patternFill patternType="solid">
        <fgColor rgb="FF6281E6"/>
        <bgColor indexed="64"/>
      </patternFill>
    </fill>
    <fill>
      <patternFill patternType="solid">
        <fgColor rgb="FFF3F5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theme="0"/>
      </right>
      <top style="thin">
        <color auto="1"/>
      </top>
      <bottom style="thin">
        <color theme="0"/>
      </bottom>
      <diagonal/>
    </border>
    <border>
      <left/>
      <right/>
      <top style="thin">
        <color theme="0"/>
      </top>
      <bottom style="thin">
        <color auto="1"/>
      </bottom>
      <diagonal/>
    </border>
    <border>
      <left/>
      <right style="thin">
        <color theme="1"/>
      </right>
      <top style="thin">
        <color theme="1"/>
      </top>
      <bottom style="thin">
        <color theme="1"/>
      </bottom>
      <diagonal/>
    </border>
    <border>
      <left/>
      <right style="thin">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theme="0"/>
      </right>
      <top/>
      <bottom style="thin">
        <color theme="0"/>
      </bottom>
      <diagonal/>
    </border>
    <border>
      <left/>
      <right style="thin">
        <color theme="0"/>
      </right>
      <top style="thin">
        <color theme="0"/>
      </top>
      <bottom style="thin">
        <color auto="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theme="0"/>
      </right>
      <top style="thin">
        <color auto="1"/>
      </top>
      <bottom style="thin">
        <color theme="0"/>
      </bottom>
      <diagonal/>
    </border>
    <border>
      <left style="thin">
        <color auto="1"/>
      </left>
      <right style="thin">
        <color theme="0"/>
      </right>
      <top style="thin">
        <color theme="0"/>
      </top>
      <bottom style="thin">
        <color auto="1"/>
      </bottom>
      <diagonal/>
    </border>
    <border>
      <left/>
      <right style="thin">
        <color auto="1"/>
      </right>
      <top/>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ck">
        <color theme="9" tint="-0.249946592608417"/>
      </left>
      <right/>
      <top/>
      <bottom/>
      <diagonal/>
    </border>
    <border>
      <left/>
      <right style="thick">
        <color theme="9" tint="-0.249946592608417"/>
      </right>
      <top/>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0" fillId="17" borderId="63" applyNumberFormat="0" applyFont="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64" applyNumberFormat="0" applyFill="0" applyAlignment="0" applyProtection="0">
      <alignment vertical="center"/>
    </xf>
    <xf numFmtId="0" fontId="92" fillId="0" borderId="64" applyNumberFormat="0" applyFill="0" applyAlignment="0" applyProtection="0">
      <alignment vertical="center"/>
    </xf>
    <xf numFmtId="0" fontId="93" fillId="0" borderId="65" applyNumberFormat="0" applyFill="0" applyAlignment="0" applyProtection="0">
      <alignment vertical="center"/>
    </xf>
    <xf numFmtId="0" fontId="93" fillId="0" borderId="0" applyNumberFormat="0" applyFill="0" applyBorder="0" applyAlignment="0" applyProtection="0">
      <alignment vertical="center"/>
    </xf>
    <xf numFmtId="0" fontId="94" fillId="18" borderId="66" applyNumberFormat="0" applyAlignment="0" applyProtection="0">
      <alignment vertical="center"/>
    </xf>
    <xf numFmtId="0" fontId="95" fillId="19" borderId="67" applyNumberFormat="0" applyAlignment="0" applyProtection="0">
      <alignment vertical="center"/>
    </xf>
    <xf numFmtId="0" fontId="96" fillId="19" borderId="66" applyNumberFormat="0" applyAlignment="0" applyProtection="0">
      <alignment vertical="center"/>
    </xf>
    <xf numFmtId="0" fontId="97" fillId="20" borderId="68" applyNumberFormat="0" applyAlignment="0" applyProtection="0">
      <alignment vertical="center"/>
    </xf>
    <xf numFmtId="0" fontId="98" fillId="0" borderId="69" applyNumberFormat="0" applyFill="0" applyAlignment="0" applyProtection="0">
      <alignment vertical="center"/>
    </xf>
    <xf numFmtId="0" fontId="99" fillId="0" borderId="70" applyNumberFormat="0" applyFill="0" applyAlignment="0" applyProtection="0">
      <alignment vertical="center"/>
    </xf>
    <xf numFmtId="0" fontId="100" fillId="21" borderId="0" applyNumberFormat="0" applyBorder="0" applyAlignment="0" applyProtection="0">
      <alignment vertical="center"/>
    </xf>
    <xf numFmtId="0" fontId="101" fillId="22" borderId="0" applyNumberFormat="0" applyBorder="0" applyAlignment="0" applyProtection="0">
      <alignment vertical="center"/>
    </xf>
    <xf numFmtId="0" fontId="102" fillId="23" borderId="0" applyNumberFormat="0" applyBorder="0" applyAlignment="0" applyProtection="0">
      <alignment vertical="center"/>
    </xf>
    <xf numFmtId="0" fontId="103" fillId="24" borderId="0" applyNumberFormat="0" applyBorder="0" applyAlignment="0" applyProtection="0">
      <alignment vertical="center"/>
    </xf>
    <xf numFmtId="0" fontId="104" fillId="25" borderId="0" applyNumberFormat="0" applyBorder="0" applyAlignment="0" applyProtection="0">
      <alignment vertical="center"/>
    </xf>
    <xf numFmtId="0" fontId="104" fillId="26"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4" fillId="29" borderId="0" applyNumberFormat="0" applyBorder="0" applyAlignment="0" applyProtection="0">
      <alignment vertical="center"/>
    </xf>
    <xf numFmtId="0" fontId="104" fillId="30"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4" fillId="2" borderId="0" applyNumberFormat="0" applyBorder="0" applyAlignment="0" applyProtection="0">
      <alignment vertical="center"/>
    </xf>
    <xf numFmtId="0" fontId="104" fillId="33" borderId="0" applyNumberFormat="0" applyBorder="0" applyAlignment="0" applyProtection="0">
      <alignment vertical="center"/>
    </xf>
    <xf numFmtId="0" fontId="103" fillId="4" borderId="0" applyNumberFormat="0" applyBorder="0" applyAlignment="0" applyProtection="0">
      <alignment vertical="center"/>
    </xf>
    <xf numFmtId="0" fontId="103" fillId="34" borderId="0" applyNumberFormat="0" applyBorder="0" applyAlignment="0" applyProtection="0">
      <alignment vertical="center"/>
    </xf>
    <xf numFmtId="0" fontId="104" fillId="35" borderId="0" applyNumberFormat="0" applyBorder="0" applyAlignment="0" applyProtection="0">
      <alignment vertical="center"/>
    </xf>
    <xf numFmtId="0" fontId="104" fillId="36" borderId="0" applyNumberFormat="0" applyBorder="0" applyAlignment="0" applyProtection="0">
      <alignment vertical="center"/>
    </xf>
    <xf numFmtId="0" fontId="103" fillId="37" borderId="0" applyNumberFormat="0" applyBorder="0" applyAlignment="0" applyProtection="0">
      <alignment vertical="center"/>
    </xf>
    <xf numFmtId="0" fontId="103" fillId="38" borderId="0" applyNumberFormat="0" applyBorder="0" applyAlignment="0" applyProtection="0">
      <alignment vertical="center"/>
    </xf>
    <xf numFmtId="0" fontId="104" fillId="39" borderId="0" applyNumberFormat="0" applyBorder="0" applyAlignment="0" applyProtection="0">
      <alignment vertical="center"/>
    </xf>
    <xf numFmtId="0" fontId="104" fillId="40" borderId="0" applyNumberFormat="0" applyBorder="0" applyAlignment="0" applyProtection="0">
      <alignment vertical="center"/>
    </xf>
    <xf numFmtId="0" fontId="103" fillId="41" borderId="0" applyNumberFormat="0" applyBorder="0" applyAlignment="0" applyProtection="0">
      <alignment vertical="center"/>
    </xf>
    <xf numFmtId="0" fontId="103" fillId="42" borderId="0" applyNumberFormat="0" applyBorder="0" applyAlignment="0" applyProtection="0">
      <alignment vertical="center"/>
    </xf>
    <xf numFmtId="0" fontId="104" fillId="43" borderId="0" applyNumberFormat="0" applyBorder="0" applyAlignment="0" applyProtection="0">
      <alignment vertical="center"/>
    </xf>
    <xf numFmtId="0" fontId="104" fillId="44" borderId="0" applyNumberFormat="0" applyBorder="0" applyAlignment="0" applyProtection="0">
      <alignment vertical="center"/>
    </xf>
    <xf numFmtId="0" fontId="103" fillId="45" borderId="0" applyNumberFormat="0" applyBorder="0" applyAlignment="0" applyProtection="0">
      <alignment vertical="center"/>
    </xf>
    <xf numFmtId="0" fontId="105" fillId="0" borderId="0"/>
    <xf numFmtId="0" fontId="106" fillId="0" borderId="0"/>
    <xf numFmtId="0" fontId="107" fillId="0" borderId="0" applyProtection="0">
      <alignment vertical="center"/>
    </xf>
    <xf numFmtId="0" fontId="0" fillId="0" borderId="0"/>
    <xf numFmtId="0" fontId="106" fillId="0" borderId="0">
      <alignment vertical="center"/>
    </xf>
    <xf numFmtId="0" fontId="108" fillId="0" borderId="0"/>
    <xf numFmtId="0" fontId="108" fillId="0" borderId="0"/>
    <xf numFmtId="176" fontId="108" fillId="0" borderId="0">
      <protection locked="0"/>
    </xf>
    <xf numFmtId="0" fontId="108" fillId="0" borderId="0">
      <alignment vertical="center"/>
    </xf>
    <xf numFmtId="177" fontId="108" fillId="0" borderId="0">
      <alignment vertical="center"/>
    </xf>
    <xf numFmtId="0" fontId="108" fillId="0" borderId="0">
      <alignment vertical="center"/>
    </xf>
    <xf numFmtId="0" fontId="108" fillId="0" borderId="0"/>
    <xf numFmtId="177" fontId="0" fillId="0" borderId="0">
      <alignment vertical="center"/>
    </xf>
    <xf numFmtId="176" fontId="109" fillId="0" borderId="0">
      <protection locked="0"/>
    </xf>
    <xf numFmtId="0" fontId="0" fillId="0" borderId="0">
      <alignment vertical="center"/>
    </xf>
    <xf numFmtId="0" fontId="0" fillId="0" borderId="0">
      <alignment vertical="center"/>
    </xf>
    <xf numFmtId="177" fontId="0" fillId="0" borderId="0"/>
    <xf numFmtId="178" fontId="110" fillId="0" borderId="0">
      <protection locked="0"/>
    </xf>
    <xf numFmtId="177" fontId="0" fillId="0" borderId="0">
      <alignment vertical="center"/>
    </xf>
    <xf numFmtId="177" fontId="0" fillId="0" borderId="0">
      <alignment vertical="center"/>
    </xf>
    <xf numFmtId="177" fontId="108" fillId="0" borderId="0">
      <alignment vertical="center"/>
    </xf>
    <xf numFmtId="0" fontId="106" fillId="0" borderId="0">
      <alignment vertical="center"/>
    </xf>
    <xf numFmtId="0" fontId="108" fillId="0" borderId="0">
      <alignment vertical="center"/>
    </xf>
    <xf numFmtId="0" fontId="106" fillId="0" borderId="0">
      <alignment vertical="center"/>
    </xf>
    <xf numFmtId="177" fontId="106" fillId="0" borderId="0">
      <alignment vertical="center"/>
    </xf>
    <xf numFmtId="177" fontId="108" fillId="0" borderId="0"/>
    <xf numFmtId="177" fontId="108" fillId="0" borderId="0">
      <alignment vertical="center"/>
    </xf>
    <xf numFmtId="177" fontId="108" fillId="0" borderId="0">
      <alignment vertical="center"/>
    </xf>
    <xf numFmtId="177" fontId="0" fillId="0" borderId="0"/>
    <xf numFmtId="0" fontId="108" fillId="0" borderId="0"/>
    <xf numFmtId="177" fontId="108" fillId="0" borderId="0">
      <alignment vertical="center"/>
    </xf>
    <xf numFmtId="177" fontId="0" fillId="0" borderId="0">
      <alignment vertical="center"/>
    </xf>
    <xf numFmtId="0" fontId="108" fillId="0" borderId="0">
      <alignment vertical="center"/>
    </xf>
    <xf numFmtId="177" fontId="108" fillId="0" borderId="0">
      <alignment vertical="center"/>
    </xf>
    <xf numFmtId="177" fontId="111" fillId="0" borderId="0">
      <alignment vertical="center"/>
    </xf>
    <xf numFmtId="0" fontId="108" fillId="0" borderId="0" applyBorder="0"/>
    <xf numFmtId="177" fontId="108" fillId="0" borderId="0"/>
    <xf numFmtId="177" fontId="107" fillId="0" borderId="0"/>
    <xf numFmtId="177" fontId="108" fillId="0" borderId="0"/>
    <xf numFmtId="177" fontId="108" fillId="0" borderId="0"/>
    <xf numFmtId="0" fontId="112" fillId="0" borderId="0" applyNumberFormat="0" applyFill="0" applyBorder="0" applyAlignment="0" applyProtection="0">
      <alignment vertical="top"/>
      <protection locked="0"/>
    </xf>
    <xf numFmtId="0" fontId="109" fillId="0" borderId="0"/>
  </cellStyleXfs>
  <cellXfs count="616">
    <xf numFmtId="0" fontId="0" fillId="0" borderId="0" xfId="0">
      <alignment vertical="center"/>
    </xf>
    <xf numFmtId="0" fontId="1" fillId="0" borderId="0" xfId="0" applyFont="1" applyFill="1" applyBorder="1" applyAlignment="1"/>
    <xf numFmtId="0" fontId="1" fillId="0" borderId="0" xfId="0" applyFont="1" applyFill="1" applyBorder="1" applyAlignment="1">
      <alignment horizontal="center" vertical="center"/>
    </xf>
    <xf numFmtId="49" fontId="1" fillId="0" borderId="0" xfId="0" applyNumberFormat="1" applyFont="1" applyFill="1" applyBorder="1" applyAlignment="1"/>
    <xf numFmtId="0" fontId="2" fillId="2" borderId="1" xfId="0" applyFont="1" applyFill="1" applyBorder="1" applyAlignment="1">
      <alignment horizontal="left" vertical="center"/>
    </xf>
    <xf numFmtId="0" fontId="1" fillId="0" borderId="1" xfId="0" applyFont="1" applyFill="1" applyBorder="1" applyAlignment="1">
      <alignment horizontal="left"/>
    </xf>
    <xf numFmtId="0" fontId="3" fillId="0" borderId="0" xfId="0" applyFont="1" applyFill="1" applyBorder="1" applyAlignment="1"/>
    <xf numFmtId="0" fontId="2" fillId="0" borderId="0" xfId="0" applyFont="1" applyFill="1" applyBorder="1" applyAlignment="1">
      <alignment horizontal="left"/>
    </xf>
    <xf numFmtId="0" fontId="2" fillId="0" borderId="0" xfId="0" applyFont="1" applyFill="1" applyBorder="1" applyAlignment="1">
      <alignment horizontal="center" vertical="center"/>
    </xf>
    <xf numFmtId="49" fontId="1" fillId="0" borderId="0"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1" fillId="0" borderId="2" xfId="0" applyFont="1" applyFill="1" applyBorder="1" applyAlignment="1">
      <alignment horizontal="left"/>
    </xf>
    <xf numFmtId="0" fontId="1" fillId="0" borderId="3" xfId="0" applyFont="1" applyFill="1" applyBorder="1" applyAlignment="1">
      <alignment horizontal="left"/>
    </xf>
    <xf numFmtId="0" fontId="1" fillId="0" borderId="4" xfId="0" applyFont="1" applyFill="1" applyBorder="1" applyAlignment="1">
      <alignment horizontal="left"/>
    </xf>
    <xf numFmtId="0" fontId="5" fillId="0" borderId="0" xfId="0" applyFont="1" applyFill="1" applyBorder="1" applyAlignment="1">
      <alignment horizontal="center" vertical="center"/>
    </xf>
    <xf numFmtId="49" fontId="2" fillId="2" borderId="1" xfId="0" applyNumberFormat="1" applyFont="1" applyFill="1" applyBorder="1" applyAlignment="1">
      <alignment horizontal="left" vertical="center"/>
    </xf>
    <xf numFmtId="0" fontId="2" fillId="0" borderId="1" xfId="0" applyFont="1" applyFill="1" applyBorder="1" applyAlignment="1">
      <alignment horizontal="left" wrapText="1"/>
    </xf>
    <xf numFmtId="0" fontId="2" fillId="0" borderId="1" xfId="0" applyFont="1" applyFill="1" applyBorder="1" applyAlignment="1">
      <alignment horizontal="left"/>
    </xf>
    <xf numFmtId="0" fontId="1" fillId="0" borderId="0" xfId="0" applyFont="1" applyFill="1" applyBorder="1" applyAlignment="1">
      <alignment horizontal="left"/>
    </xf>
    <xf numFmtId="0" fontId="1" fillId="0" borderId="1" xfId="0" applyFont="1" applyFill="1" applyBorder="1" applyAlignment="1">
      <alignment horizontal="left" vertical="center" wrapText="1"/>
    </xf>
    <xf numFmtId="0" fontId="6" fillId="3" borderId="0" xfId="0" applyFont="1" applyFill="1" applyBorder="1" applyAlignment="1">
      <alignment horizontal="center" vertical="center" wrapText="1"/>
    </xf>
    <xf numFmtId="0" fontId="2" fillId="0" borderId="0" xfId="0" applyFont="1" applyFill="1" applyBorder="1" applyAlignment="1">
      <alignment horizontal="left" vertical="top"/>
    </xf>
    <xf numFmtId="0" fontId="1" fillId="2" borderId="1" xfId="0" applyFont="1" applyFill="1" applyBorder="1" applyAlignment="1">
      <alignment horizontal="left" vertic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0" fillId="0" borderId="0" xfId="0" applyFill="1" applyBorder="1" applyAlignment="1">
      <alignment horizontal="center" vertical="center"/>
    </xf>
    <xf numFmtId="0" fontId="1" fillId="0" borderId="0" xfId="0" applyFont="1" applyFill="1" applyBorder="1" applyAlignment="1">
      <alignment horizontal="center" vertical="center" wrapText="1"/>
    </xf>
    <xf numFmtId="179" fontId="1" fillId="0" borderId="0"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0" fillId="0" borderId="1" xfId="0" applyFont="1" applyFill="1" applyBorder="1" applyAlignment="1">
      <alignment vertical="center" wrapText="1"/>
    </xf>
    <xf numFmtId="0" fontId="0" fillId="0" borderId="1" xfId="0" applyFont="1" applyFill="1" applyBorder="1" applyAlignment="1">
      <alignment vertical="center"/>
    </xf>
    <xf numFmtId="0" fontId="0" fillId="0" borderId="4" xfId="0" applyFont="1" applyFill="1" applyBorder="1" applyAlignment="1">
      <alignment vertical="center"/>
    </xf>
    <xf numFmtId="180" fontId="0" fillId="0" borderId="2" xfId="0" applyNumberFormat="1" applyFont="1" applyFill="1" applyBorder="1" applyAlignment="1">
      <alignment vertical="center"/>
    </xf>
    <xf numFmtId="0" fontId="7" fillId="0" borderId="1" xfId="0" applyFont="1" applyFill="1" applyBorder="1" applyAlignment="1">
      <alignment vertical="center"/>
    </xf>
    <xf numFmtId="0" fontId="8" fillId="0" borderId="5" xfId="6" applyFont="1" applyBorder="1" applyAlignment="1">
      <alignment horizontal="center" vertical="center" wrapText="1"/>
    </xf>
    <xf numFmtId="0" fontId="0" fillId="0" borderId="5" xfId="0" applyFill="1" applyBorder="1" applyAlignment="1">
      <alignment horizontal="center" vertical="center"/>
    </xf>
    <xf numFmtId="0" fontId="0" fillId="0" borderId="0" xfId="0" applyFill="1" applyBorder="1" applyAlignment="1"/>
    <xf numFmtId="0" fontId="9" fillId="0" borderId="0" xfId="0" applyFont="1" applyFill="1" applyBorder="1" applyAlignment="1">
      <alignment horizontal="center" vertical="center"/>
    </xf>
    <xf numFmtId="0" fontId="0" fillId="0" borderId="1" xfId="0" applyFill="1" applyBorder="1" applyAlignment="1">
      <alignment horizontal="center" vertical="center"/>
    </xf>
    <xf numFmtId="0" fontId="10" fillId="0" borderId="0" xfId="0" applyNumberFormat="1" applyFont="1" applyFill="1" applyBorder="1" applyAlignment="1">
      <alignment vertical="center"/>
    </xf>
    <xf numFmtId="0" fontId="11" fillId="5" borderId="6" xfId="0" applyNumberFormat="1" applyFont="1" applyFill="1" applyBorder="1" applyAlignment="1">
      <alignment horizontal="center" vertical="center" wrapText="1"/>
    </xf>
    <xf numFmtId="0" fontId="11" fillId="5" borderId="7" xfId="0" applyNumberFormat="1" applyFont="1" applyFill="1" applyBorder="1" applyAlignment="1">
      <alignment horizontal="center" vertical="center"/>
    </xf>
    <xf numFmtId="0" fontId="11" fillId="5" borderId="8" xfId="0" applyNumberFormat="1" applyFont="1" applyFill="1" applyBorder="1" applyAlignment="1">
      <alignment horizontal="center" vertical="center"/>
    </xf>
    <xf numFmtId="0" fontId="12" fillId="6" borderId="0" xfId="6" applyFont="1" applyFill="1" applyAlignment="1">
      <alignment horizontal="left" vertical="center"/>
    </xf>
    <xf numFmtId="0" fontId="13" fillId="0" borderId="9" xfId="0" applyNumberFormat="1" applyFont="1" applyFill="1" applyBorder="1" applyAlignment="1">
      <alignment horizontal="left" vertical="center"/>
    </xf>
    <xf numFmtId="0" fontId="14" fillId="0" borderId="10" xfId="0" applyNumberFormat="1" applyFont="1" applyFill="1" applyBorder="1" applyAlignment="1">
      <alignment horizontal="left" vertical="center"/>
    </xf>
    <xf numFmtId="0" fontId="14" fillId="0" borderId="11" xfId="0" applyNumberFormat="1" applyFont="1" applyFill="1" applyBorder="1" applyAlignment="1">
      <alignment horizontal="left" vertical="center"/>
    </xf>
    <xf numFmtId="0" fontId="15" fillId="0" borderId="1" xfId="0" applyNumberFormat="1" applyFont="1" applyFill="1" applyBorder="1" applyAlignment="1">
      <alignment horizontal="left" vertical="center"/>
    </xf>
    <xf numFmtId="0" fontId="16" fillId="0" borderId="1"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xf>
    <xf numFmtId="10" fontId="17" fillId="0"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9" fontId="17" fillId="0" borderId="1" xfId="0" applyNumberFormat="1" applyFont="1" applyFill="1" applyBorder="1" applyAlignment="1">
      <alignment horizontal="center" vertical="center"/>
    </xf>
    <xf numFmtId="0" fontId="19" fillId="0" borderId="1" xfId="0" applyNumberFormat="1" applyFont="1" applyFill="1" applyBorder="1" applyAlignment="1">
      <alignment horizontal="center" vertical="center"/>
    </xf>
    <xf numFmtId="0" fontId="20" fillId="0" borderId="0" xfId="0" applyNumberFormat="1" applyFont="1" applyFill="1" applyBorder="1" applyAlignment="1">
      <alignment vertical="center"/>
    </xf>
    <xf numFmtId="0" fontId="17" fillId="0" borderId="0" xfId="0" applyNumberFormat="1" applyFont="1" applyFill="1" applyBorder="1" applyAlignment="1">
      <alignment vertical="center"/>
    </xf>
    <xf numFmtId="0" fontId="16" fillId="0" borderId="0" xfId="0" applyNumberFormat="1" applyFont="1" applyFill="1" applyBorder="1" applyAlignment="1">
      <alignment vertical="center"/>
    </xf>
    <xf numFmtId="0" fontId="11" fillId="5" borderId="12" xfId="0" applyNumberFormat="1" applyFont="1" applyFill="1" applyBorder="1" applyAlignment="1">
      <alignment horizontal="center" vertical="center"/>
    </xf>
    <xf numFmtId="0" fontId="11" fillId="5" borderId="13" xfId="0" applyNumberFormat="1" applyFont="1" applyFill="1" applyBorder="1" applyAlignment="1">
      <alignment horizontal="center" vertical="center"/>
    </xf>
    <xf numFmtId="0" fontId="21" fillId="5" borderId="14" xfId="0" applyNumberFormat="1" applyFont="1" applyFill="1" applyBorder="1" applyAlignment="1">
      <alignment vertical="center"/>
    </xf>
    <xf numFmtId="0" fontId="22" fillId="5" borderId="15" xfId="0" applyNumberFormat="1" applyFont="1" applyFill="1" applyBorder="1" applyAlignment="1">
      <alignment horizontal="center" vertical="center" wrapText="1"/>
    </xf>
    <xf numFmtId="0" fontId="22" fillId="5" borderId="16" xfId="0" applyNumberFormat="1" applyFont="1" applyFill="1" applyBorder="1" applyAlignment="1">
      <alignment horizontal="center" vertical="center" wrapText="1"/>
    </xf>
    <xf numFmtId="0" fontId="22" fillId="5" borderId="17" xfId="0" applyNumberFormat="1" applyFont="1" applyFill="1" applyBorder="1" applyAlignment="1">
      <alignment horizontal="center" vertical="center" wrapText="1"/>
    </xf>
    <xf numFmtId="0" fontId="23" fillId="0" borderId="5" xfId="0" applyNumberFormat="1" applyFont="1" applyFill="1" applyBorder="1" applyAlignment="1">
      <alignment horizontal="left" vertical="center" wrapText="1"/>
    </xf>
    <xf numFmtId="0" fontId="23" fillId="0" borderId="1" xfId="0" applyNumberFormat="1" applyFont="1" applyFill="1" applyBorder="1" applyAlignment="1">
      <alignment horizontal="left" vertical="center" wrapText="1"/>
    </xf>
    <xf numFmtId="0" fontId="22" fillId="5" borderId="0" xfId="0" applyNumberFormat="1" applyFont="1" applyFill="1" applyBorder="1" applyAlignment="1">
      <alignment horizontal="center" vertical="center" wrapText="1"/>
    </xf>
    <xf numFmtId="0" fontId="24" fillId="0" borderId="1" xfId="0" applyNumberFormat="1" applyFont="1" applyFill="1" applyBorder="1" applyAlignment="1">
      <alignment horizontal="left" vertical="center"/>
    </xf>
    <xf numFmtId="0" fontId="24" fillId="0" borderId="1"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xf>
    <xf numFmtId="0" fontId="22" fillId="5" borderId="0" xfId="0" applyNumberFormat="1" applyFont="1" applyFill="1" applyBorder="1" applyAlignment="1">
      <alignment horizontal="center" vertical="center"/>
    </xf>
    <xf numFmtId="0" fontId="17" fillId="0" borderId="1" xfId="0" applyNumberFormat="1" applyFont="1" applyFill="1" applyBorder="1" applyAlignment="1">
      <alignment horizontal="left" vertical="center"/>
    </xf>
    <xf numFmtId="0" fontId="18" fillId="0" borderId="1" xfId="0" applyNumberFormat="1" applyFont="1" applyFill="1" applyBorder="1" applyAlignment="1">
      <alignment horizontal="left" vertical="center"/>
    </xf>
    <xf numFmtId="0" fontId="17" fillId="0" borderId="1" xfId="0" applyNumberFormat="1" applyFont="1" applyFill="1" applyBorder="1" applyAlignment="1">
      <alignment horizontal="left" vertical="center" wrapText="1"/>
    </xf>
    <xf numFmtId="0" fontId="17" fillId="0" borderId="0" xfId="0" applyNumberFormat="1" applyFont="1" applyFill="1" applyBorder="1" applyAlignment="1">
      <alignment horizontal="left" vertical="center"/>
    </xf>
    <xf numFmtId="0" fontId="25" fillId="0" borderId="0" xfId="0" applyFont="1" applyFill="1" applyAlignment="1">
      <alignment horizontal="center"/>
    </xf>
    <xf numFmtId="0" fontId="25" fillId="0" borderId="0" xfId="0" applyFont="1" applyFill="1" applyBorder="1" applyAlignment="1">
      <alignment horizontal="center"/>
    </xf>
    <xf numFmtId="0" fontId="0" fillId="0" borderId="0" xfId="0" applyFill="1" applyBorder="1" applyAlignment="1">
      <alignment horizontal="center"/>
    </xf>
    <xf numFmtId="0" fontId="0" fillId="0" borderId="0" xfId="0" applyFill="1" applyAlignment="1">
      <alignment horizontal="center"/>
    </xf>
    <xf numFmtId="0" fontId="0" fillId="0" borderId="0" xfId="0" applyFill="1" applyAlignment="1"/>
    <xf numFmtId="0" fontId="26" fillId="0" borderId="2" xfId="0" applyFont="1" applyFill="1" applyBorder="1" applyAlignment="1">
      <alignment horizontal="left" vertical="center"/>
    </xf>
    <xf numFmtId="0" fontId="26" fillId="0" borderId="3" xfId="0" applyFont="1" applyFill="1" applyBorder="1" applyAlignment="1">
      <alignment horizontal="left" vertical="center"/>
    </xf>
    <xf numFmtId="0" fontId="26" fillId="0" borderId="4" xfId="0" applyFont="1" applyFill="1" applyBorder="1" applyAlignment="1">
      <alignment horizontal="left" vertical="center"/>
    </xf>
    <xf numFmtId="0" fontId="27" fillId="0" borderId="1" xfId="0" applyFont="1" applyFill="1" applyBorder="1" applyAlignment="1">
      <alignment horizontal="center" vertical="center"/>
    </xf>
    <xf numFmtId="0" fontId="27" fillId="0" borderId="1" xfId="0" applyFont="1" applyFill="1" applyBorder="1" applyAlignment="1">
      <alignment horizontal="center" vertical="center" wrapText="1"/>
    </xf>
    <xf numFmtId="0" fontId="28" fillId="0" borderId="1" xfId="0" applyFont="1" applyFill="1" applyBorder="1" applyAlignment="1">
      <alignment horizontal="center"/>
    </xf>
    <xf numFmtId="0" fontId="29" fillId="0" borderId="1" xfId="0" applyFont="1" applyFill="1" applyBorder="1" applyAlignment="1">
      <alignment horizontal="center"/>
    </xf>
    <xf numFmtId="0" fontId="30" fillId="0" borderId="2" xfId="0" applyFont="1" applyFill="1" applyBorder="1" applyAlignment="1">
      <alignment horizontal="center" vertical="center"/>
    </xf>
    <xf numFmtId="0" fontId="30" fillId="0" borderId="3" xfId="0" applyFont="1" applyFill="1" applyBorder="1" applyAlignment="1">
      <alignment horizontal="center" vertical="center"/>
    </xf>
    <xf numFmtId="0" fontId="30" fillId="0" borderId="4" xfId="0" applyFont="1" applyFill="1" applyBorder="1" applyAlignment="1">
      <alignment horizontal="center" vertical="center"/>
    </xf>
    <xf numFmtId="0" fontId="30" fillId="0" borderId="2" xfId="0" applyFont="1" applyFill="1" applyBorder="1" applyAlignment="1">
      <alignment horizontal="left" vertical="center"/>
    </xf>
    <xf numFmtId="0" fontId="30" fillId="0" borderId="3" xfId="0" applyFont="1" applyFill="1" applyBorder="1" applyAlignment="1">
      <alignment horizontal="left" vertical="center"/>
    </xf>
    <xf numFmtId="0" fontId="30" fillId="0" borderId="4" xfId="0" applyFont="1" applyFill="1" applyBorder="1" applyAlignment="1">
      <alignment horizontal="left" vertical="center"/>
    </xf>
    <xf numFmtId="0" fontId="31" fillId="0" borderId="1" xfId="0" applyFont="1" applyFill="1" applyBorder="1" applyAlignment="1">
      <alignment horizontal="left" vertical="center" wrapText="1"/>
    </xf>
    <xf numFmtId="0" fontId="31" fillId="0" borderId="2" xfId="0" applyFont="1" applyFill="1" applyBorder="1" applyAlignment="1">
      <alignment horizontal="left" vertical="center" wrapText="1"/>
    </xf>
    <xf numFmtId="0" fontId="31" fillId="0" borderId="3" xfId="0" applyFont="1" applyFill="1" applyBorder="1" applyAlignment="1">
      <alignment horizontal="left" vertical="center" wrapText="1"/>
    </xf>
    <xf numFmtId="0" fontId="31" fillId="0" borderId="4" xfId="0" applyFont="1" applyFill="1" applyBorder="1" applyAlignment="1">
      <alignment horizontal="left" vertical="center" wrapText="1"/>
    </xf>
    <xf numFmtId="0" fontId="31" fillId="0" borderId="1" xfId="0" applyFont="1" applyFill="1" applyBorder="1" applyAlignment="1">
      <alignment horizontal="left" vertical="center"/>
    </xf>
    <xf numFmtId="0" fontId="0" fillId="0" borderId="0" xfId="0" applyFill="1" applyAlignment="1">
      <alignment horizontal="center" vertical="center"/>
    </xf>
    <xf numFmtId="181" fontId="1" fillId="6" borderId="0" xfId="0" applyNumberFormat="1" applyFont="1" applyFill="1">
      <alignment vertical="center"/>
    </xf>
    <xf numFmtId="181" fontId="1" fillId="6" borderId="0" xfId="0" applyNumberFormat="1" applyFont="1" applyFill="1" applyAlignment="1">
      <alignment horizontal="left" vertical="center"/>
    </xf>
    <xf numFmtId="182" fontId="32" fillId="7" borderId="1" xfId="55" applyNumberFormat="1" applyFont="1" applyFill="1" applyBorder="1" applyAlignment="1">
      <alignment horizontal="center" vertical="center" wrapText="1"/>
    </xf>
    <xf numFmtId="0" fontId="32" fillId="7" borderId="1" xfId="55" applyFont="1" applyFill="1" applyBorder="1" applyAlignment="1">
      <alignment horizontal="center" vertical="center" wrapText="1"/>
    </xf>
    <xf numFmtId="0" fontId="33" fillId="6" borderId="0" xfId="6" applyFont="1" applyFill="1" applyBorder="1" applyAlignment="1">
      <alignment horizontal="center" vertical="center"/>
    </xf>
    <xf numFmtId="182" fontId="34" fillId="6" borderId="1" xfId="55" applyNumberFormat="1" applyFont="1" applyFill="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6" borderId="1" xfId="0" applyFont="1" applyFill="1" applyBorder="1" applyAlignment="1">
      <alignment horizontal="left" vertical="center"/>
    </xf>
    <xf numFmtId="181" fontId="33" fillId="6" borderId="0" xfId="6" applyNumberFormat="1" applyFont="1" applyFill="1" applyAlignment="1">
      <alignment vertical="center"/>
    </xf>
    <xf numFmtId="0" fontId="1" fillId="6" borderId="1" xfId="0" applyFont="1" applyFill="1" applyBorder="1" applyAlignment="1">
      <alignment horizontal="left" vertical="center" wrapText="1"/>
    </xf>
    <xf numFmtId="0" fontId="35" fillId="6" borderId="1" xfId="0" applyFont="1" applyFill="1" applyBorder="1" applyAlignment="1">
      <alignment horizontal="center" vertical="center" wrapText="1"/>
    </xf>
    <xf numFmtId="0" fontId="4" fillId="6" borderId="1" xfId="55" applyFont="1" applyFill="1" applyBorder="1" applyAlignment="1">
      <alignment horizontal="center" vertical="center"/>
    </xf>
    <xf numFmtId="0" fontId="4" fillId="6" borderId="1" xfId="55" applyFont="1" applyFill="1" applyBorder="1" applyAlignment="1">
      <alignment horizontal="left" vertical="center" wrapText="1"/>
    </xf>
    <xf numFmtId="0" fontId="2" fillId="6" borderId="1" xfId="0" applyFont="1" applyFill="1" applyBorder="1" applyAlignment="1">
      <alignment horizontal="center" vertical="center"/>
    </xf>
    <xf numFmtId="0" fontId="1" fillId="6" borderId="1" xfId="55" applyFont="1" applyFill="1" applyBorder="1" applyAlignment="1">
      <alignment horizontal="center" vertical="center"/>
    </xf>
    <xf numFmtId="0" fontId="34" fillId="6" borderId="1" xfId="0" applyFont="1" applyFill="1" applyBorder="1" applyAlignment="1">
      <alignment horizontal="center" vertical="center" wrapText="1"/>
    </xf>
    <xf numFmtId="0" fontId="4" fillId="6" borderId="1" xfId="0" applyFont="1" applyFill="1" applyBorder="1" applyAlignment="1">
      <alignment horizontal="left" vertical="center"/>
    </xf>
    <xf numFmtId="0" fontId="1" fillId="6" borderId="18" xfId="0" applyFont="1" applyFill="1" applyBorder="1" applyAlignment="1">
      <alignment horizontal="center" vertical="center" wrapText="1"/>
    </xf>
    <xf numFmtId="0" fontId="1" fillId="6" borderId="18" xfId="0" applyFont="1" applyFill="1" applyBorder="1" applyAlignment="1">
      <alignment horizontal="center" vertical="center"/>
    </xf>
    <xf numFmtId="0" fontId="34" fillId="6" borderId="18" xfId="0" applyFont="1" applyFill="1" applyBorder="1" applyAlignment="1">
      <alignment horizontal="center" vertical="center" wrapText="1"/>
    </xf>
    <xf numFmtId="0" fontId="1" fillId="6" borderId="18" xfId="0" applyFont="1" applyFill="1" applyBorder="1" applyAlignment="1">
      <alignment horizontal="left" vertical="center" wrapText="1"/>
    </xf>
    <xf numFmtId="182" fontId="1" fillId="6"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49" fontId="1" fillId="6" borderId="1" xfId="0" applyNumberFormat="1" applyFont="1" applyFill="1" applyBorder="1" applyAlignment="1">
      <alignment horizontal="center" vertical="center" wrapText="1"/>
    </xf>
    <xf numFmtId="0" fontId="34" fillId="6" borderId="1" xfId="55" applyFont="1" applyFill="1" applyBorder="1" applyAlignment="1">
      <alignment horizontal="center" vertical="center"/>
    </xf>
    <xf numFmtId="0" fontId="34" fillId="6" borderId="1" xfId="0" applyFont="1" applyFill="1" applyBorder="1" applyAlignment="1">
      <alignment horizontal="center" vertical="center"/>
    </xf>
    <xf numFmtId="181" fontId="1" fillId="6" borderId="1" xfId="0" applyNumberFormat="1" applyFont="1" applyFill="1" applyBorder="1" applyAlignment="1">
      <alignment horizontal="center" vertical="center"/>
    </xf>
    <xf numFmtId="49" fontId="34" fillId="6" borderId="1" xfId="0" applyNumberFormat="1" applyFont="1" applyFill="1" applyBorder="1" applyAlignment="1">
      <alignment horizontal="center" vertical="center"/>
    </xf>
    <xf numFmtId="181" fontId="1" fillId="6" borderId="1" xfId="0" applyNumberFormat="1" applyFont="1" applyFill="1" applyBorder="1" applyAlignment="1">
      <alignment horizontal="left" vertical="center" wrapText="1"/>
    </xf>
    <xf numFmtId="0" fontId="10" fillId="0" borderId="0" xfId="0" applyFont="1">
      <alignment vertical="center"/>
    </xf>
    <xf numFmtId="0" fontId="36" fillId="6" borderId="0" xfId="0" applyFont="1" applyFill="1" applyAlignment="1">
      <alignment horizontal="center" vertical="center"/>
    </xf>
    <xf numFmtId="0" fontId="15" fillId="6" borderId="2" xfId="0" applyFont="1" applyFill="1" applyBorder="1">
      <alignment vertical="center"/>
    </xf>
    <xf numFmtId="0" fontId="15" fillId="6" borderId="3" xfId="0" applyFont="1" applyFill="1" applyBorder="1">
      <alignment vertical="center"/>
    </xf>
    <xf numFmtId="0" fontId="15" fillId="6" borderId="4" xfId="0" applyFont="1" applyFill="1" applyBorder="1">
      <alignment vertical="center"/>
    </xf>
    <xf numFmtId="0" fontId="37"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38" fillId="6" borderId="1" xfId="0" applyFont="1" applyFill="1" applyBorder="1" applyAlignment="1">
      <alignment horizontal="center" vertical="center"/>
    </xf>
    <xf numFmtId="183" fontId="38" fillId="6" borderId="1" xfId="0" applyNumberFormat="1" applyFont="1" applyFill="1" applyBorder="1" applyAlignment="1">
      <alignment horizontal="center" vertical="center"/>
    </xf>
    <xf numFmtId="0" fontId="3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184" fontId="38" fillId="6" borderId="1" xfId="0" applyNumberFormat="1" applyFont="1" applyFill="1" applyBorder="1" applyAlignment="1">
      <alignment horizontal="center" vertical="center"/>
    </xf>
    <xf numFmtId="0" fontId="9" fillId="6" borderId="2" xfId="0" applyFont="1" applyFill="1" applyBorder="1" applyAlignment="1">
      <alignment horizontal="left" vertical="center"/>
    </xf>
    <xf numFmtId="0" fontId="9" fillId="6" borderId="3" xfId="0" applyFont="1" applyFill="1" applyBorder="1" applyAlignment="1">
      <alignment horizontal="left" vertical="center"/>
    </xf>
    <xf numFmtId="0" fontId="9" fillId="6" borderId="4" xfId="0" applyFont="1" applyFill="1" applyBorder="1" applyAlignment="1">
      <alignment horizontal="left" vertical="center"/>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39" fillId="6" borderId="2" xfId="0" applyFont="1" applyFill="1" applyBorder="1" applyAlignment="1">
      <alignment horizontal="left" vertical="center"/>
    </xf>
    <xf numFmtId="0" fontId="39" fillId="6" borderId="3" xfId="0" applyFont="1" applyFill="1" applyBorder="1" applyAlignment="1">
      <alignment horizontal="left" vertical="center"/>
    </xf>
    <xf numFmtId="0" fontId="39" fillId="6" borderId="4" xfId="0" applyFont="1" applyFill="1" applyBorder="1" applyAlignment="1">
      <alignment horizontal="left" vertical="center"/>
    </xf>
    <xf numFmtId="0" fontId="9" fillId="6" borderId="1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10" fillId="6" borderId="0" xfId="0" applyFont="1" applyFill="1">
      <alignment vertical="center"/>
    </xf>
    <xf numFmtId="177" fontId="0" fillId="6" borderId="0" xfId="0" applyNumberFormat="1" applyFill="1">
      <alignment vertical="center"/>
    </xf>
    <xf numFmtId="0" fontId="40" fillId="5" borderId="20" xfId="78" applyFont="1" applyFill="1" applyBorder="1" applyAlignment="1">
      <alignment horizontal="center" vertical="center"/>
    </xf>
    <xf numFmtId="0" fontId="40" fillId="5" borderId="21" xfId="78" applyFont="1" applyFill="1" applyBorder="1" applyAlignment="1">
      <alignment horizontal="center" vertical="center"/>
    </xf>
    <xf numFmtId="0" fontId="33" fillId="6" borderId="0" xfId="6" applyFont="1" applyFill="1">
      <alignment vertical="center"/>
    </xf>
    <xf numFmtId="0" fontId="20" fillId="6" borderId="1" xfId="78" applyFont="1" applyFill="1" applyBorder="1" applyAlignment="1">
      <alignment vertical="center" wrapText="1"/>
    </xf>
    <xf numFmtId="0" fontId="33" fillId="6" borderId="0" xfId="6" applyNumberFormat="1" applyFont="1" applyFill="1">
      <alignment vertical="center"/>
    </xf>
    <xf numFmtId="0" fontId="20" fillId="6" borderId="2" xfId="78" applyFont="1" applyFill="1" applyBorder="1" applyAlignment="1">
      <alignment horizontal="left" vertical="center" wrapText="1"/>
    </xf>
    <xf numFmtId="0" fontId="20" fillId="6" borderId="3" xfId="78" applyFont="1" applyFill="1" applyBorder="1" applyAlignment="1">
      <alignment horizontal="left" vertical="center" wrapText="1"/>
    </xf>
    <xf numFmtId="0" fontId="20" fillId="6" borderId="4" xfId="78" applyFont="1" applyFill="1" applyBorder="1" applyAlignment="1">
      <alignment horizontal="left" vertical="center" wrapText="1"/>
    </xf>
    <xf numFmtId="0" fontId="20" fillId="6" borderId="1" xfId="78" applyFont="1" applyFill="1" applyBorder="1" applyAlignment="1">
      <alignment horizontal="left" vertical="center" wrapText="1"/>
    </xf>
    <xf numFmtId="0" fontId="20" fillId="6" borderId="18" xfId="78" applyFont="1" applyFill="1" applyBorder="1" applyAlignment="1">
      <alignment horizontal="left" vertical="center" wrapText="1"/>
    </xf>
    <xf numFmtId="0" fontId="20" fillId="6" borderId="18" xfId="78" applyFont="1" applyFill="1" applyBorder="1" applyAlignment="1">
      <alignment horizontal="left" vertical="center"/>
    </xf>
    <xf numFmtId="0" fontId="41" fillId="6" borderId="2" xfId="78" applyFont="1" applyFill="1" applyBorder="1" applyAlignment="1">
      <alignment horizontal="left" vertical="center" wrapText="1"/>
    </xf>
    <xf numFmtId="0" fontId="41" fillId="6" borderId="3" xfId="78" applyFont="1" applyFill="1" applyBorder="1" applyAlignment="1">
      <alignment horizontal="left" vertical="center" wrapText="1"/>
    </xf>
    <xf numFmtId="0" fontId="41" fillId="6" borderId="4" xfId="78" applyFont="1" applyFill="1" applyBorder="1" applyAlignment="1">
      <alignment horizontal="left" vertical="center" wrapText="1"/>
    </xf>
    <xf numFmtId="0" fontId="0" fillId="6" borderId="0" xfId="0" applyFill="1">
      <alignment vertical="center"/>
    </xf>
    <xf numFmtId="0" fontId="42" fillId="5" borderId="1" xfId="78" applyFont="1" applyFill="1" applyBorder="1" applyAlignment="1">
      <alignment horizontal="center" vertical="center" wrapText="1"/>
    </xf>
    <xf numFmtId="177" fontId="43" fillId="6" borderId="22" xfId="0" applyNumberFormat="1" applyFont="1" applyFill="1" applyBorder="1" applyAlignment="1">
      <alignment horizontal="left" vertical="center"/>
    </xf>
    <xf numFmtId="177" fontId="38" fillId="6" borderId="22" xfId="0" applyNumberFormat="1" applyFont="1" applyFill="1" applyBorder="1" applyAlignment="1">
      <alignment horizontal="left" vertical="center" wrapText="1"/>
    </xf>
    <xf numFmtId="177" fontId="22" fillId="5" borderId="22" xfId="0" applyNumberFormat="1" applyFont="1" applyFill="1" applyBorder="1" applyAlignment="1">
      <alignment horizontal="left" vertical="center" wrapText="1"/>
    </xf>
    <xf numFmtId="177" fontId="44" fillId="6" borderId="22" xfId="0" applyNumberFormat="1" applyFont="1" applyFill="1" applyBorder="1" applyAlignment="1">
      <alignment horizontal="left" vertical="center" wrapText="1"/>
    </xf>
    <xf numFmtId="177" fontId="38" fillId="6" borderId="23" xfId="0" applyNumberFormat="1" applyFont="1" applyFill="1" applyBorder="1" applyAlignment="1">
      <alignment horizontal="left" vertical="center" wrapText="1"/>
    </xf>
    <xf numFmtId="177" fontId="38" fillId="6" borderId="24" xfId="0" applyNumberFormat="1" applyFont="1" applyFill="1" applyBorder="1" applyAlignment="1">
      <alignment horizontal="left" vertical="center" wrapText="1"/>
    </xf>
    <xf numFmtId="177" fontId="38" fillId="6" borderId="25" xfId="0" applyNumberFormat="1" applyFont="1" applyFill="1" applyBorder="1" applyAlignment="1">
      <alignment horizontal="left" vertical="center" wrapText="1"/>
    </xf>
    <xf numFmtId="0" fontId="45" fillId="6" borderId="0" xfId="0" applyFont="1" applyFill="1" applyAlignment="1">
      <alignment horizontal="center" vertical="center"/>
    </xf>
    <xf numFmtId="177" fontId="38" fillId="6" borderId="22" xfId="0" applyNumberFormat="1" applyFont="1" applyFill="1" applyBorder="1" applyAlignment="1">
      <alignment horizontal="left" vertical="center"/>
    </xf>
    <xf numFmtId="0" fontId="9" fillId="6" borderId="0" xfId="0" applyFont="1" applyFill="1" applyAlignment="1">
      <alignment horizontal="left" vertical="center"/>
    </xf>
    <xf numFmtId="0" fontId="46" fillId="6" borderId="0" xfId="0" applyFont="1" applyFill="1" applyAlignment="1">
      <alignment horizontal="center" vertical="center" wrapText="1"/>
    </xf>
    <xf numFmtId="0" fontId="46" fillId="6" borderId="0" xfId="0" applyFont="1" applyFill="1" applyAlignment="1">
      <alignment horizontal="center" vertical="center"/>
    </xf>
    <xf numFmtId="0" fontId="6" fillId="6" borderId="0" xfId="0" applyFont="1" applyFill="1" applyAlignment="1">
      <alignment horizontal="center"/>
    </xf>
    <xf numFmtId="0" fontId="6" fillId="8" borderId="0" xfId="0" applyFont="1" applyFill="1" applyAlignment="1">
      <alignment horizontal="center"/>
    </xf>
    <xf numFmtId="0" fontId="22" fillId="9" borderId="18" xfId="0" applyFont="1" applyFill="1" applyBorder="1" applyAlignment="1">
      <alignment horizontal="center" vertical="center"/>
    </xf>
    <xf numFmtId="0" fontId="22" fillId="9" borderId="26" xfId="56" applyNumberFormat="1" applyFont="1" applyFill="1" applyBorder="1" applyAlignment="1" applyProtection="1">
      <alignment horizontal="center" vertical="center" wrapText="1"/>
    </xf>
    <xf numFmtId="0" fontId="22" fillId="9" borderId="2" xfId="56" applyNumberFormat="1" applyFont="1" applyFill="1" applyBorder="1" applyAlignment="1" applyProtection="1">
      <alignment horizontal="center" vertical="center" wrapText="1"/>
    </xf>
    <xf numFmtId="0" fontId="22" fillId="9" borderId="3" xfId="56" applyNumberFormat="1" applyFont="1" applyFill="1" applyBorder="1" applyAlignment="1" applyProtection="1">
      <alignment horizontal="center" vertical="center" wrapText="1"/>
    </xf>
    <xf numFmtId="0" fontId="22" fillId="9" borderId="1" xfId="56" applyNumberFormat="1" applyFont="1" applyFill="1" applyBorder="1" applyAlignment="1" applyProtection="1">
      <alignment horizontal="center" vertical="center" wrapText="1"/>
    </xf>
    <xf numFmtId="0" fontId="22" fillId="9" borderId="5" xfId="0" applyFont="1" applyFill="1" applyBorder="1" applyAlignment="1">
      <alignment horizontal="center" vertical="center"/>
    </xf>
    <xf numFmtId="0" fontId="22" fillId="9" borderId="27" xfId="56" applyNumberFormat="1" applyFont="1" applyFill="1" applyBorder="1" applyAlignment="1" applyProtection="1">
      <alignment horizontal="center" vertical="center" wrapText="1"/>
    </xf>
    <xf numFmtId="0" fontId="47" fillId="6" borderId="18" xfId="0" applyFont="1" applyFill="1" applyBorder="1" applyAlignment="1">
      <alignment horizontal="center" vertical="center"/>
    </xf>
    <xf numFmtId="0" fontId="48" fillId="6" borderId="28" xfId="0" applyFont="1" applyFill="1" applyBorder="1" applyAlignment="1">
      <alignment horizontal="center" vertical="center" wrapText="1"/>
    </xf>
    <xf numFmtId="0" fontId="49" fillId="6" borderId="1" xfId="0" applyFont="1" applyFill="1" applyBorder="1" applyAlignment="1">
      <alignment horizontal="center" vertical="center"/>
    </xf>
    <xf numFmtId="185" fontId="19" fillId="6" borderId="1" xfId="0" applyNumberFormat="1" applyFont="1" applyFill="1" applyBorder="1" applyAlignment="1">
      <alignment horizontal="center" vertical="center"/>
    </xf>
    <xf numFmtId="0" fontId="48" fillId="6" borderId="1" xfId="77" applyNumberFormat="1" applyFont="1" applyFill="1" applyBorder="1" applyAlignment="1">
      <alignment horizontal="center" vertical="center"/>
    </xf>
    <xf numFmtId="0" fontId="9" fillId="6" borderId="18" xfId="77" applyNumberFormat="1" applyFont="1" applyFill="1" applyBorder="1" applyAlignment="1">
      <alignment horizontal="center" vertical="center" wrapText="1"/>
    </xf>
    <xf numFmtId="186" fontId="0" fillId="6" borderId="0" xfId="0" applyNumberFormat="1" applyFill="1" applyAlignment="1">
      <alignment horizontal="center" vertical="center"/>
    </xf>
    <xf numFmtId="0" fontId="0" fillId="6" borderId="0" xfId="0" applyFill="1" applyAlignment="1">
      <alignment horizontal="center" vertical="center"/>
    </xf>
    <xf numFmtId="0" fontId="50" fillId="6" borderId="4" xfId="0" applyFont="1" applyFill="1" applyBorder="1" applyAlignment="1">
      <alignment horizontal="center" vertical="center" wrapText="1"/>
    </xf>
    <xf numFmtId="0" fontId="9" fillId="6" borderId="19" xfId="77" applyNumberFormat="1" applyFont="1" applyFill="1" applyBorder="1" applyAlignment="1">
      <alignment horizontal="center" vertical="center" wrapText="1"/>
    </xf>
    <xf numFmtId="0" fontId="47" fillId="6" borderId="1" xfId="0" applyFont="1" applyFill="1" applyBorder="1" applyAlignment="1">
      <alignment horizontal="center" vertical="center"/>
    </xf>
    <xf numFmtId="0" fontId="50" fillId="6" borderId="29" xfId="0" applyFont="1" applyFill="1" applyBorder="1" applyAlignment="1">
      <alignment horizontal="center" vertical="center" wrapText="1"/>
    </xf>
    <xf numFmtId="0" fontId="51" fillId="6" borderId="2" xfId="56" applyNumberFormat="1" applyFont="1" applyFill="1" applyBorder="1" applyAlignment="1" applyProtection="1">
      <alignment horizontal="center" vertical="center" wrapText="1"/>
    </xf>
    <xf numFmtId="0" fontId="51" fillId="6" borderId="4" xfId="56" applyNumberFormat="1" applyFont="1" applyFill="1" applyBorder="1" applyAlignment="1" applyProtection="1">
      <alignment horizontal="center" vertical="center" wrapText="1"/>
    </xf>
    <xf numFmtId="185" fontId="49" fillId="6" borderId="2" xfId="0" applyNumberFormat="1" applyFont="1" applyFill="1" applyBorder="1" applyAlignment="1">
      <alignment horizontal="center" vertical="center"/>
    </xf>
    <xf numFmtId="185" fontId="49" fillId="6" borderId="3" xfId="0" applyNumberFormat="1" applyFont="1" applyFill="1" applyBorder="1" applyAlignment="1">
      <alignment horizontal="center" vertical="center"/>
    </xf>
    <xf numFmtId="185" fontId="49" fillId="6" borderId="4" xfId="0" applyNumberFormat="1" applyFont="1" applyFill="1" applyBorder="1" applyAlignment="1">
      <alignment horizontal="center" vertical="center"/>
    </xf>
    <xf numFmtId="186" fontId="52" fillId="6" borderId="30" xfId="56" applyNumberFormat="1" applyFont="1" applyFill="1" applyBorder="1" applyAlignment="1" applyProtection="1">
      <alignment horizontal="left" vertical="center" wrapText="1"/>
    </xf>
    <xf numFmtId="186" fontId="52" fillId="6" borderId="21" xfId="56" applyNumberFormat="1" applyFont="1" applyFill="1" applyBorder="1" applyAlignment="1" applyProtection="1">
      <alignment horizontal="left" vertical="center" wrapText="1"/>
    </xf>
    <xf numFmtId="186" fontId="52" fillId="6" borderId="31" xfId="56" applyNumberFormat="1" applyFont="1" applyFill="1" applyBorder="1" applyAlignment="1" applyProtection="1">
      <alignment horizontal="left" vertical="center" wrapText="1"/>
    </xf>
    <xf numFmtId="186" fontId="53" fillId="9" borderId="32" xfId="56" applyNumberFormat="1" applyFont="1" applyFill="1" applyBorder="1" applyAlignment="1" applyProtection="1">
      <alignment horizontal="left" vertical="center" wrapText="1"/>
    </xf>
    <xf numFmtId="186" fontId="53" fillId="9" borderId="33" xfId="56" applyNumberFormat="1" applyFont="1" applyFill="1" applyBorder="1" applyAlignment="1" applyProtection="1">
      <alignment horizontal="left" vertical="center" wrapText="1"/>
    </xf>
    <xf numFmtId="186" fontId="53" fillId="9" borderId="34" xfId="56" applyNumberFormat="1" applyFont="1" applyFill="1" applyBorder="1" applyAlignment="1" applyProtection="1">
      <alignment horizontal="left" vertical="center" wrapText="1"/>
    </xf>
    <xf numFmtId="0" fontId="9" fillId="6" borderId="35" xfId="0" applyFont="1" applyFill="1" applyBorder="1" applyAlignment="1">
      <alignment horizontal="left" vertical="center" wrapText="1"/>
    </xf>
    <xf numFmtId="0" fontId="9" fillId="6" borderId="0" xfId="0" applyFont="1" applyFill="1" applyAlignment="1">
      <alignment horizontal="left" vertical="center" wrapText="1"/>
    </xf>
    <xf numFmtId="0" fontId="9" fillId="6" borderId="36" xfId="0" applyFont="1" applyFill="1" applyBorder="1" applyAlignment="1">
      <alignment horizontal="left" vertical="center" wrapText="1"/>
    </xf>
    <xf numFmtId="0" fontId="9" fillId="6" borderId="0" xfId="0" applyFont="1" applyFill="1" applyAlignment="1">
      <alignment vertical="center" wrapText="1"/>
    </xf>
    <xf numFmtId="0" fontId="53" fillId="9" borderId="35" xfId="0" applyFont="1" applyFill="1" applyBorder="1" applyAlignment="1">
      <alignment horizontal="left" vertical="center" wrapText="1"/>
    </xf>
    <xf numFmtId="0" fontId="53" fillId="9" borderId="0" xfId="0" applyFont="1" applyFill="1" applyAlignment="1">
      <alignment horizontal="left" vertical="center" wrapText="1"/>
    </xf>
    <xf numFmtId="0" fontId="53" fillId="9" borderId="36" xfId="0" applyFont="1" applyFill="1" applyBorder="1" applyAlignment="1">
      <alignment horizontal="left" vertical="center" wrapText="1"/>
    </xf>
    <xf numFmtId="0" fontId="9" fillId="6" borderId="35" xfId="0" applyFont="1" applyFill="1" applyBorder="1" applyAlignment="1">
      <alignment vertical="center" wrapText="1"/>
    </xf>
    <xf numFmtId="0" fontId="9" fillId="6" borderId="36" xfId="0" applyFont="1" applyFill="1" applyBorder="1" applyAlignment="1">
      <alignment vertical="center" wrapText="1"/>
    </xf>
    <xf numFmtId="0" fontId="9" fillId="6" borderId="37" xfId="0" applyFont="1" applyFill="1" applyBorder="1" applyAlignment="1">
      <alignment horizontal="left" vertical="center" wrapText="1"/>
    </xf>
    <xf numFmtId="0" fontId="9" fillId="6" borderId="38" xfId="0" applyFont="1" applyFill="1" applyBorder="1" applyAlignment="1">
      <alignment horizontal="left" vertical="center" wrapText="1"/>
    </xf>
    <xf numFmtId="0" fontId="9" fillId="6" borderId="39" xfId="0" applyFont="1" applyFill="1" applyBorder="1" applyAlignment="1">
      <alignment horizontal="left" vertical="center" wrapText="1"/>
    </xf>
    <xf numFmtId="0" fontId="36" fillId="6" borderId="0" xfId="0" applyFont="1" applyFill="1" applyAlignment="1">
      <alignment vertical="center"/>
    </xf>
    <xf numFmtId="0" fontId="22" fillId="9" borderId="18" xfId="0" applyFont="1" applyFill="1" applyBorder="1" applyAlignment="1">
      <alignment horizontal="center" vertical="center" wrapText="1"/>
    </xf>
    <xf numFmtId="0" fontId="22" fillId="9" borderId="5" xfId="0" applyFont="1" applyFill="1" applyBorder="1" applyAlignment="1">
      <alignment horizontal="center" vertical="center" wrapText="1"/>
    </xf>
    <xf numFmtId="0" fontId="48" fillId="10" borderId="1" xfId="56" applyNumberFormat="1" applyFont="1" applyFill="1" applyBorder="1" applyAlignment="1" applyProtection="1">
      <alignment horizontal="center" vertical="center" wrapText="1"/>
    </xf>
    <xf numFmtId="185" fontId="49" fillId="6" borderId="1" xfId="0" applyNumberFormat="1" applyFont="1" applyFill="1" applyBorder="1" applyAlignment="1">
      <alignment horizontal="center" vertical="center"/>
    </xf>
    <xf numFmtId="0" fontId="47" fillId="6" borderId="19" xfId="0" applyFont="1" applyFill="1" applyBorder="1" applyAlignment="1">
      <alignment horizontal="center" vertical="center"/>
    </xf>
    <xf numFmtId="0" fontId="51" fillId="6" borderId="1" xfId="56" applyNumberFormat="1" applyFont="1" applyFill="1" applyBorder="1" applyAlignment="1" applyProtection="1">
      <alignment horizontal="center" vertical="center" wrapText="1"/>
    </xf>
    <xf numFmtId="0" fontId="48" fillId="6" borderId="18" xfId="77" applyNumberFormat="1" applyFont="1" applyFill="1" applyBorder="1" applyAlignment="1">
      <alignment horizontal="center" vertical="center"/>
    </xf>
    <xf numFmtId="186" fontId="52" fillId="6" borderId="32" xfId="56" applyNumberFormat="1" applyFont="1" applyFill="1" applyBorder="1" applyAlignment="1" applyProtection="1">
      <alignment horizontal="left" vertical="center" wrapText="1"/>
    </xf>
    <xf numFmtId="186" fontId="52" fillId="6" borderId="33" xfId="56" applyNumberFormat="1" applyFont="1" applyFill="1" applyBorder="1" applyAlignment="1" applyProtection="1">
      <alignment horizontal="left" vertical="center" wrapText="1"/>
    </xf>
    <xf numFmtId="186" fontId="52" fillId="6" borderId="0" xfId="56" applyNumberFormat="1" applyFont="1" applyFill="1" applyBorder="1" applyAlignment="1" applyProtection="1">
      <alignment horizontal="left" vertical="center" wrapText="1"/>
    </xf>
    <xf numFmtId="186" fontId="52" fillId="6" borderId="34" xfId="56" applyNumberFormat="1" applyFont="1" applyFill="1" applyBorder="1" applyAlignment="1" applyProtection="1">
      <alignment horizontal="left" vertical="center" wrapText="1"/>
    </xf>
    <xf numFmtId="186" fontId="53" fillId="9" borderId="35" xfId="56" applyNumberFormat="1" applyFont="1" applyFill="1" applyBorder="1" applyAlignment="1" applyProtection="1">
      <alignment horizontal="left" vertical="center" wrapText="1"/>
    </xf>
    <xf numFmtId="186" fontId="53" fillId="9" borderId="0" xfId="56" applyNumberFormat="1" applyFont="1" applyFill="1" applyAlignment="1" applyProtection="1">
      <alignment horizontal="left" vertical="center" wrapText="1"/>
    </xf>
    <xf numFmtId="186" fontId="53" fillId="9" borderId="36" xfId="56" applyNumberFormat="1" applyFont="1" applyFill="1" applyBorder="1" applyAlignment="1" applyProtection="1">
      <alignment horizontal="left" vertical="center" wrapText="1"/>
    </xf>
    <xf numFmtId="0" fontId="54" fillId="6" borderId="0" xfId="0" applyFont="1" applyFill="1" applyAlignment="1">
      <alignment horizontal="center" vertical="center"/>
    </xf>
    <xf numFmtId="0" fontId="46" fillId="6" borderId="0" xfId="0" applyFont="1" applyFill="1" applyBorder="1" applyAlignment="1">
      <alignment horizontal="center" vertical="center" wrapText="1"/>
    </xf>
    <xf numFmtId="0" fontId="46" fillId="6" borderId="0" xfId="0" applyFont="1" applyFill="1" applyBorder="1" applyAlignment="1">
      <alignment horizontal="center" vertical="center"/>
    </xf>
    <xf numFmtId="0" fontId="22" fillId="9" borderId="19" xfId="0" applyFont="1" applyFill="1" applyBorder="1" applyAlignment="1">
      <alignment horizontal="center" vertical="center" wrapText="1"/>
    </xf>
    <xf numFmtId="0" fontId="22" fillId="9" borderId="40" xfId="56" applyNumberFormat="1" applyFont="1" applyFill="1" applyBorder="1" applyAlignment="1" applyProtection="1">
      <alignment horizontal="center" vertical="center" wrapText="1"/>
    </xf>
    <xf numFmtId="0" fontId="22" fillId="9" borderId="9" xfId="56" applyNumberFormat="1" applyFont="1" applyFill="1" applyBorder="1" applyAlignment="1" applyProtection="1">
      <alignment horizontal="center" vertical="center" wrapText="1"/>
    </xf>
    <xf numFmtId="0" fontId="22" fillId="9" borderId="10" xfId="56" applyNumberFormat="1" applyFont="1" applyFill="1" applyBorder="1" applyAlignment="1" applyProtection="1">
      <alignment horizontal="center" vertical="center" wrapText="1"/>
    </xf>
    <xf numFmtId="0" fontId="22" fillId="9" borderId="5" xfId="56" applyNumberFormat="1" applyFont="1" applyFill="1" applyBorder="1" applyAlignment="1" applyProtection="1">
      <alignment horizontal="center" vertical="center" wrapText="1"/>
    </xf>
    <xf numFmtId="0" fontId="22" fillId="9" borderId="41" xfId="56" applyNumberFormat="1" applyFont="1" applyFill="1" applyBorder="1" applyAlignment="1" applyProtection="1">
      <alignment horizontal="center" vertical="center" wrapText="1"/>
    </xf>
    <xf numFmtId="0" fontId="22" fillId="9" borderId="18" xfId="56" applyNumberFormat="1" applyFont="1" applyFill="1" applyBorder="1" applyAlignment="1" applyProtection="1">
      <alignment horizontal="center" vertical="center" wrapText="1"/>
    </xf>
    <xf numFmtId="0" fontId="55" fillId="6" borderId="4" xfId="0" applyFont="1" applyFill="1" applyBorder="1" applyAlignment="1">
      <alignment horizontal="center" vertical="center" wrapText="1"/>
    </xf>
    <xf numFmtId="0" fontId="49" fillId="6" borderId="2" xfId="0" applyFont="1" applyFill="1" applyBorder="1" applyAlignment="1">
      <alignment horizontal="center" vertical="center"/>
    </xf>
    <xf numFmtId="185" fontId="49" fillId="6" borderId="42" xfId="0" applyNumberFormat="1" applyFont="1" applyFill="1" applyBorder="1" applyAlignment="1">
      <alignment horizontal="center" vertical="center"/>
    </xf>
    <xf numFmtId="185" fontId="19" fillId="6" borderId="43" xfId="0" applyNumberFormat="1" applyFont="1" applyFill="1" applyBorder="1" applyAlignment="1">
      <alignment horizontal="center" vertical="center"/>
    </xf>
    <xf numFmtId="0" fontId="48" fillId="6" borderId="1" xfId="56" applyNumberFormat="1" applyFont="1" applyFill="1" applyBorder="1" applyAlignment="1" applyProtection="1">
      <alignment horizontal="center" vertical="center" wrapText="1"/>
    </xf>
    <xf numFmtId="0" fontId="55" fillId="6" borderId="29" xfId="0" applyFont="1" applyFill="1" applyBorder="1" applyAlignment="1">
      <alignment horizontal="center" vertical="center" wrapText="1"/>
    </xf>
    <xf numFmtId="0" fontId="55" fillId="6" borderId="1" xfId="0" applyFont="1" applyFill="1" applyBorder="1" applyAlignment="1">
      <alignment horizontal="center" vertical="center" wrapText="1"/>
    </xf>
    <xf numFmtId="0" fontId="48" fillId="6" borderId="18" xfId="56" applyNumberFormat="1" applyFont="1" applyFill="1" applyBorder="1" applyAlignment="1" applyProtection="1">
      <alignment horizontal="center" vertical="center" wrapText="1"/>
    </xf>
    <xf numFmtId="0" fontId="51" fillId="6" borderId="11" xfId="56" applyNumberFormat="1" applyFont="1" applyFill="1" applyBorder="1" applyAlignment="1" applyProtection="1">
      <alignment horizontal="center" vertical="center" wrapText="1"/>
    </xf>
    <xf numFmtId="185" fontId="49" fillId="6" borderId="1" xfId="56" applyNumberFormat="1" applyFont="1" applyFill="1" applyBorder="1" applyAlignment="1" applyProtection="1">
      <alignment horizontal="center" vertical="center" wrapText="1"/>
    </xf>
    <xf numFmtId="186" fontId="53" fillId="9" borderId="44" xfId="56" applyNumberFormat="1" applyFont="1" applyFill="1" applyBorder="1" applyAlignment="1" applyProtection="1">
      <alignment horizontal="left" vertical="center" wrapText="1"/>
    </xf>
    <xf numFmtId="186" fontId="53" fillId="9" borderId="45" xfId="56" applyNumberFormat="1" applyFont="1" applyFill="1" applyBorder="1" applyAlignment="1" applyProtection="1">
      <alignment horizontal="left" vertical="center" wrapText="1"/>
    </xf>
    <xf numFmtId="186" fontId="53" fillId="9" borderId="46" xfId="56" applyNumberFormat="1" applyFont="1" applyFill="1" applyBorder="1" applyAlignment="1" applyProtection="1">
      <alignment horizontal="left" vertical="center" wrapText="1"/>
    </xf>
    <xf numFmtId="0" fontId="9" fillId="6" borderId="44" xfId="0" applyFont="1" applyFill="1" applyBorder="1" applyAlignment="1">
      <alignment horizontal="left" vertical="center" wrapText="1"/>
    </xf>
    <xf numFmtId="0" fontId="9" fillId="6" borderId="45" xfId="0" applyFont="1" applyFill="1" applyBorder="1" applyAlignment="1">
      <alignment horizontal="left" vertical="center" wrapText="1"/>
    </xf>
    <xf numFmtId="0" fontId="9" fillId="6" borderId="46" xfId="0" applyFont="1" applyFill="1" applyBorder="1" applyAlignment="1">
      <alignment horizontal="left" vertical="center" wrapText="1"/>
    </xf>
    <xf numFmtId="0" fontId="53" fillId="9" borderId="44" xfId="0" applyFont="1" applyFill="1" applyBorder="1" applyAlignment="1">
      <alignment horizontal="left" vertical="center" wrapText="1"/>
    </xf>
    <xf numFmtId="0" fontId="53" fillId="9" borderId="45" xfId="0" applyFont="1" applyFill="1" applyBorder="1" applyAlignment="1">
      <alignment horizontal="left" vertical="center" wrapText="1"/>
    </xf>
    <xf numFmtId="0" fontId="53" fillId="9" borderId="46" xfId="0" applyFont="1" applyFill="1" applyBorder="1" applyAlignment="1">
      <alignment horizontal="left" vertical="center" wrapText="1"/>
    </xf>
    <xf numFmtId="0" fontId="9" fillId="6" borderId="44" xfId="0" applyFont="1" applyFill="1" applyBorder="1" applyAlignment="1">
      <alignment vertical="center" wrapText="1"/>
    </xf>
    <xf numFmtId="0" fontId="9" fillId="6" borderId="45" xfId="0" applyFont="1" applyFill="1" applyBorder="1" applyAlignment="1">
      <alignment vertical="center" wrapText="1"/>
    </xf>
    <xf numFmtId="0" fontId="9" fillId="6" borderId="46" xfId="0" applyFont="1" applyFill="1" applyBorder="1" applyAlignment="1">
      <alignment vertical="center" wrapText="1"/>
    </xf>
    <xf numFmtId="0" fontId="0" fillId="6" borderId="0" xfId="0" applyFill="1" applyAlignment="1">
      <alignment vertical="center"/>
    </xf>
    <xf numFmtId="0" fontId="9" fillId="6" borderId="0" xfId="0" applyFont="1" applyFill="1" applyAlignment="1">
      <alignment horizontal="center" vertical="center"/>
    </xf>
    <xf numFmtId="0" fontId="56" fillId="6" borderId="0" xfId="0" applyFont="1" applyFill="1" applyAlignment="1">
      <alignment horizontal="center" vertical="center" wrapText="1"/>
    </xf>
    <xf numFmtId="0" fontId="48" fillId="6" borderId="3" xfId="56" applyNumberFormat="1" applyFont="1" applyFill="1" applyBorder="1" applyAlignment="1" applyProtection="1">
      <alignment horizontal="center" vertical="center" wrapText="1"/>
    </xf>
    <xf numFmtId="185" fontId="49" fillId="10" borderId="1" xfId="56" applyNumberFormat="1" applyFont="1" applyFill="1" applyBorder="1" applyAlignment="1" applyProtection="1">
      <alignment horizontal="center" vertical="center" wrapText="1"/>
    </xf>
    <xf numFmtId="185" fontId="19" fillId="10" borderId="1" xfId="56" applyNumberFormat="1" applyFont="1" applyFill="1" applyBorder="1" applyAlignment="1" applyProtection="1">
      <alignment horizontal="center" vertical="center" wrapText="1"/>
    </xf>
    <xf numFmtId="0" fontId="9" fillId="6" borderId="18" xfId="56" applyNumberFormat="1" applyFont="1" applyFill="1" applyBorder="1" applyAlignment="1" applyProtection="1">
      <alignment horizontal="center" vertical="center" wrapText="1"/>
    </xf>
    <xf numFmtId="0" fontId="9" fillId="6" borderId="19" xfId="56" applyNumberFormat="1" applyFont="1" applyFill="1" applyBorder="1" applyAlignment="1" applyProtection="1">
      <alignment horizontal="center" vertical="center" wrapText="1"/>
    </xf>
    <xf numFmtId="0" fontId="12" fillId="0" borderId="0" xfId="6" applyFont="1" applyFill="1" applyAlignment="1">
      <alignment horizontal="left" vertical="center"/>
    </xf>
    <xf numFmtId="0" fontId="48" fillId="6" borderId="4" xfId="56" applyNumberFormat="1" applyFont="1" applyFill="1" applyBorder="1" applyAlignment="1" applyProtection="1">
      <alignment horizontal="center" vertical="center" wrapText="1"/>
    </xf>
    <xf numFmtId="0" fontId="49" fillId="0" borderId="1" xfId="56" applyNumberFormat="1" applyFont="1" applyFill="1" applyBorder="1" applyAlignment="1" applyProtection="1">
      <alignment horizontal="center" vertical="center" wrapText="1"/>
    </xf>
    <xf numFmtId="0" fontId="19" fillId="6" borderId="3" xfId="56" applyNumberFormat="1" applyFont="1" applyFill="1" applyBorder="1" applyAlignment="1" applyProtection="1">
      <alignment horizontal="center" vertical="center" wrapText="1"/>
    </xf>
    <xf numFmtId="0" fontId="19" fillId="6" borderId="21" xfId="0" applyFont="1" applyFill="1" applyBorder="1" applyAlignment="1">
      <alignment horizontal="center" vertical="center" wrapText="1"/>
    </xf>
    <xf numFmtId="0" fontId="51" fillId="6" borderId="20" xfId="56" applyNumberFormat="1" applyFont="1" applyFill="1" applyBorder="1" applyAlignment="1" applyProtection="1">
      <alignment horizontal="center" vertical="center" wrapText="1"/>
    </xf>
    <xf numFmtId="0" fontId="51" fillId="6" borderId="29" xfId="56" applyNumberFormat="1" applyFont="1" applyFill="1" applyBorder="1" applyAlignment="1" applyProtection="1">
      <alignment horizontal="center" vertical="center" wrapText="1"/>
    </xf>
    <xf numFmtId="0" fontId="48" fillId="6" borderId="19" xfId="77" applyNumberFormat="1" applyFont="1" applyFill="1" applyBorder="1" applyAlignment="1">
      <alignment horizontal="center" vertical="center"/>
    </xf>
    <xf numFmtId="186" fontId="53" fillId="11" borderId="0" xfId="56" applyNumberFormat="1" applyFont="1" applyFill="1" applyBorder="1" applyAlignment="1" applyProtection="1">
      <alignment horizontal="left" vertical="center" wrapText="1"/>
    </xf>
    <xf numFmtId="186" fontId="57" fillId="3" borderId="1" xfId="56" applyNumberFormat="1" applyFont="1" applyFill="1" applyBorder="1" applyAlignment="1" applyProtection="1">
      <alignment horizontal="left" vertical="center" wrapText="1"/>
    </xf>
    <xf numFmtId="0" fontId="9" fillId="11" borderId="0" xfId="0" applyFont="1" applyFill="1" applyBorder="1" applyAlignment="1">
      <alignment vertical="center" wrapText="1"/>
    </xf>
    <xf numFmtId="0" fontId="43" fillId="6" borderId="1" xfId="0" applyFont="1" applyFill="1" applyBorder="1" applyAlignment="1">
      <alignment horizontal="left" vertical="center" wrapText="1"/>
    </xf>
    <xf numFmtId="0" fontId="53" fillId="9" borderId="37" xfId="0" applyFont="1" applyFill="1" applyBorder="1" applyAlignment="1">
      <alignment horizontal="left" vertical="center" wrapText="1"/>
    </xf>
    <xf numFmtId="0" fontId="53" fillId="9" borderId="38" xfId="0" applyFont="1" applyFill="1" applyBorder="1" applyAlignment="1">
      <alignment horizontal="left" vertical="center" wrapText="1"/>
    </xf>
    <xf numFmtId="0" fontId="53" fillId="9" borderId="39" xfId="0" applyFont="1" applyFill="1" applyBorder="1" applyAlignment="1">
      <alignment horizontal="left" vertical="center" wrapText="1"/>
    </xf>
    <xf numFmtId="0" fontId="56" fillId="6" borderId="0" xfId="0" applyFont="1" applyFill="1" applyAlignment="1">
      <alignment horizontal="center" vertical="center"/>
    </xf>
    <xf numFmtId="0" fontId="49" fillId="6" borderId="1" xfId="56" applyNumberFormat="1" applyFont="1" applyFill="1" applyBorder="1" applyAlignment="1" applyProtection="1">
      <alignment horizontal="center" vertical="center" wrapText="1"/>
    </xf>
    <xf numFmtId="0" fontId="48" fillId="6" borderId="21" xfId="0" applyFont="1" applyFill="1" applyBorder="1" applyAlignment="1">
      <alignment horizontal="center" vertical="center" wrapText="1"/>
    </xf>
    <xf numFmtId="0" fontId="52" fillId="6" borderId="20" xfId="56" applyNumberFormat="1" applyFont="1" applyFill="1" applyBorder="1" applyAlignment="1" applyProtection="1">
      <alignment horizontal="left" vertical="center" wrapText="1"/>
    </xf>
    <xf numFmtId="0" fontId="52" fillId="6" borderId="21" xfId="56" applyNumberFormat="1" applyFont="1" applyFill="1" applyBorder="1" applyAlignment="1" applyProtection="1">
      <alignment horizontal="left" vertical="center" wrapText="1"/>
    </xf>
    <xf numFmtId="0" fontId="52" fillId="6" borderId="29" xfId="56" applyNumberFormat="1" applyFont="1" applyFill="1" applyBorder="1" applyAlignment="1" applyProtection="1">
      <alignment horizontal="left" vertical="center" wrapText="1"/>
    </xf>
    <xf numFmtId="186" fontId="53" fillId="9" borderId="44" xfId="56" applyNumberFormat="1" applyFont="1" applyFill="1" applyBorder="1" applyAlignment="1" applyProtection="1">
      <alignment vertical="center" wrapText="1"/>
    </xf>
    <xf numFmtId="186" fontId="53" fillId="9" borderId="45" xfId="56" applyNumberFormat="1" applyFont="1" applyFill="1" applyBorder="1" applyAlignment="1" applyProtection="1">
      <alignment vertical="center" wrapText="1"/>
    </xf>
    <xf numFmtId="186" fontId="53" fillId="9" borderId="46" xfId="56" applyNumberFormat="1" applyFont="1" applyFill="1" applyBorder="1" applyAlignment="1" applyProtection="1">
      <alignment vertical="center" wrapText="1"/>
    </xf>
    <xf numFmtId="0" fontId="9" fillId="6" borderId="32" xfId="0" applyFont="1" applyFill="1" applyBorder="1" applyAlignment="1">
      <alignment horizontal="left" vertical="center" wrapText="1"/>
    </xf>
    <xf numFmtId="0" fontId="9" fillId="6" borderId="33" xfId="0" applyFont="1" applyFill="1" applyBorder="1" applyAlignment="1">
      <alignment horizontal="left" vertical="center" wrapText="1"/>
    </xf>
    <xf numFmtId="0" fontId="9" fillId="6" borderId="34" xfId="0" applyFont="1" applyFill="1" applyBorder="1" applyAlignment="1">
      <alignment horizontal="left" vertical="center" wrapText="1"/>
    </xf>
    <xf numFmtId="0" fontId="53" fillId="9" borderId="44" xfId="0" applyFont="1" applyFill="1" applyBorder="1" applyAlignment="1">
      <alignment vertical="center" wrapText="1"/>
    </xf>
    <xf numFmtId="0" fontId="53" fillId="9" borderId="45" xfId="0" applyFont="1" applyFill="1" applyBorder="1" applyAlignment="1">
      <alignment vertical="center" wrapText="1"/>
    </xf>
    <xf numFmtId="0" fontId="53" fillId="9" borderId="46" xfId="0" applyFont="1" applyFill="1" applyBorder="1" applyAlignment="1">
      <alignment vertical="center" wrapText="1"/>
    </xf>
    <xf numFmtId="0" fontId="49" fillId="10" borderId="1" xfId="56" applyNumberFormat="1" applyFont="1" applyFill="1" applyBorder="1" applyAlignment="1" applyProtection="1">
      <alignment horizontal="center" vertical="center" wrapText="1"/>
    </xf>
    <xf numFmtId="0" fontId="58" fillId="6" borderId="0" xfId="0" applyFont="1" applyFill="1" applyAlignment="1">
      <alignment horizontal="center" vertical="center" wrapText="1"/>
    </xf>
    <xf numFmtId="0" fontId="58" fillId="6" borderId="0" xfId="0" applyFont="1" applyFill="1" applyAlignment="1">
      <alignment horizontal="center" vertical="center"/>
    </xf>
    <xf numFmtId="0" fontId="6" fillId="6" borderId="0" xfId="0" applyFont="1" applyFill="1" applyAlignment="1"/>
    <xf numFmtId="0" fontId="22" fillId="9" borderId="47" xfId="56" applyNumberFormat="1" applyFont="1" applyFill="1" applyBorder="1" applyAlignment="1" applyProtection="1">
      <alignment horizontal="center" vertical="center" wrapText="1"/>
    </xf>
    <xf numFmtId="0" fontId="22" fillId="9" borderId="48" xfId="56" applyNumberFormat="1" applyFont="1" applyFill="1" applyBorder="1" applyAlignment="1" applyProtection="1">
      <alignment horizontal="center" vertical="center" wrapText="1"/>
    </xf>
    <xf numFmtId="186" fontId="49" fillId="10" borderId="1" xfId="56" applyNumberFormat="1" applyFont="1" applyFill="1" applyBorder="1" applyAlignment="1" applyProtection="1">
      <alignment horizontal="center" vertical="center" wrapText="1"/>
    </xf>
    <xf numFmtId="0" fontId="59" fillId="0" borderId="2" xfId="56"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59" fillId="6" borderId="2" xfId="56" applyNumberFormat="1" applyFont="1" applyFill="1" applyBorder="1" applyAlignment="1" applyProtection="1">
      <alignment horizontal="center" vertical="center"/>
    </xf>
    <xf numFmtId="185" fontId="49" fillId="0" borderId="1" xfId="56" applyNumberFormat="1" applyFont="1" applyFill="1" applyBorder="1" applyAlignment="1" applyProtection="1">
      <alignment horizontal="center" vertical="center" wrapText="1"/>
    </xf>
    <xf numFmtId="0" fontId="19" fillId="6" borderId="1" xfId="56" applyNumberFormat="1" applyFont="1" applyFill="1" applyBorder="1" applyAlignment="1" applyProtection="1">
      <alignment horizontal="center" vertical="center" wrapText="1"/>
    </xf>
    <xf numFmtId="0" fontId="19" fillId="6" borderId="1" xfId="0" applyFont="1" applyFill="1" applyBorder="1" applyAlignment="1">
      <alignment horizontal="center" vertical="center" wrapText="1"/>
    </xf>
    <xf numFmtId="0" fontId="51" fillId="6" borderId="9" xfId="56" applyNumberFormat="1" applyFont="1" applyFill="1" applyBorder="1" applyAlignment="1" applyProtection="1">
      <alignment vertical="center" wrapText="1"/>
    </xf>
    <xf numFmtId="0" fontId="59" fillId="6" borderId="1" xfId="56" applyNumberFormat="1" applyFont="1" applyFill="1" applyBorder="1" applyAlignment="1" applyProtection="1">
      <alignment horizontal="center" vertical="center"/>
    </xf>
    <xf numFmtId="186" fontId="52" fillId="6" borderId="9" xfId="56" applyNumberFormat="1" applyFont="1" applyFill="1" applyBorder="1" applyAlignment="1" applyProtection="1">
      <alignment horizontal="left" vertical="center" wrapText="1"/>
    </xf>
    <xf numFmtId="186" fontId="52" fillId="6" borderId="10" xfId="56" applyNumberFormat="1" applyFont="1" applyFill="1" applyBorder="1" applyAlignment="1" applyProtection="1">
      <alignment horizontal="left" vertical="center" wrapText="1"/>
    </xf>
    <xf numFmtId="186" fontId="52" fillId="6" borderId="11" xfId="56" applyNumberFormat="1" applyFont="1" applyFill="1" applyBorder="1" applyAlignment="1" applyProtection="1">
      <alignment horizontal="left" vertical="center" wrapText="1"/>
    </xf>
    <xf numFmtId="186" fontId="53" fillId="9" borderId="49" xfId="56" applyNumberFormat="1" applyFont="1" applyFill="1" applyBorder="1" applyAlignment="1" applyProtection="1">
      <alignment horizontal="left" vertical="center" wrapText="1"/>
    </xf>
    <xf numFmtId="0" fontId="53" fillId="9" borderId="50" xfId="0" applyFont="1" applyFill="1" applyBorder="1" applyAlignment="1">
      <alignment horizontal="left" vertical="center" wrapText="1"/>
    </xf>
    <xf numFmtId="0" fontId="9" fillId="6" borderId="51" xfId="0" applyFont="1" applyFill="1" applyBorder="1" applyAlignment="1">
      <alignment horizontal="left" vertical="center" wrapText="1"/>
    </xf>
    <xf numFmtId="0" fontId="9" fillId="6" borderId="52" xfId="0" applyFont="1" applyFill="1" applyBorder="1" applyAlignment="1">
      <alignment horizontal="left" vertical="center" wrapText="1"/>
    </xf>
    <xf numFmtId="0" fontId="9" fillId="6" borderId="53" xfId="0" applyFont="1" applyFill="1" applyBorder="1" applyAlignment="1">
      <alignment horizontal="left" vertical="center" wrapText="1"/>
    </xf>
    <xf numFmtId="0" fontId="9" fillId="6" borderId="54" xfId="0" applyFont="1" applyFill="1" applyBorder="1" applyAlignment="1">
      <alignment horizontal="left" vertical="center" wrapText="1"/>
    </xf>
    <xf numFmtId="0" fontId="9" fillId="6" borderId="55" xfId="0" applyFont="1" applyFill="1" applyBorder="1" applyAlignment="1">
      <alignment horizontal="left" vertical="center" wrapText="1"/>
    </xf>
    <xf numFmtId="0" fontId="9" fillId="6" borderId="56"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9" fillId="0" borderId="0" xfId="0" applyFont="1" applyFill="1" applyAlignment="1">
      <alignment horizontal="left" vertical="center"/>
    </xf>
    <xf numFmtId="0" fontId="0" fillId="0" borderId="0" xfId="0" applyFill="1">
      <alignment vertical="center"/>
    </xf>
    <xf numFmtId="186" fontId="57" fillId="3" borderId="35" xfId="56" applyNumberFormat="1" applyFont="1" applyFill="1" applyBorder="1" applyAlignment="1" applyProtection="1">
      <alignment horizontal="left" vertical="center" wrapText="1"/>
    </xf>
    <xf numFmtId="186" fontId="57" fillId="3" borderId="0" xfId="56" applyNumberFormat="1" applyFont="1" applyFill="1" applyAlignment="1" applyProtection="1">
      <alignment horizontal="left" vertical="center" wrapText="1"/>
    </xf>
    <xf numFmtId="186" fontId="57" fillId="3" borderId="49" xfId="56" applyNumberFormat="1" applyFont="1" applyFill="1" applyBorder="1" applyAlignment="1" applyProtection="1">
      <alignment horizontal="left" vertical="center" wrapText="1"/>
    </xf>
    <xf numFmtId="0" fontId="43" fillId="6" borderId="44" xfId="0" applyFont="1" applyFill="1" applyBorder="1" applyAlignment="1">
      <alignment horizontal="left" vertical="center" wrapText="1"/>
    </xf>
    <xf numFmtId="0" fontId="43" fillId="6" borderId="45" xfId="0" applyFont="1" applyFill="1" applyBorder="1" applyAlignment="1">
      <alignment horizontal="left" vertical="center" wrapText="1"/>
    </xf>
    <xf numFmtId="0" fontId="43" fillId="6" borderId="46" xfId="0" applyFont="1" applyFill="1" applyBorder="1" applyAlignment="1">
      <alignment horizontal="left" vertical="center" wrapText="1"/>
    </xf>
    <xf numFmtId="0" fontId="43" fillId="6" borderId="0" xfId="0" applyFont="1" applyFill="1" applyAlignment="1">
      <alignment horizontal="center" vertical="center" wrapText="1"/>
    </xf>
    <xf numFmtId="0" fontId="43" fillId="6" borderId="0" xfId="0" applyFont="1" applyFill="1" applyAlignment="1">
      <alignment horizontal="center" vertical="center"/>
    </xf>
    <xf numFmtId="186" fontId="48" fillId="6" borderId="2" xfId="56" applyNumberFormat="1" applyFont="1" applyFill="1" applyBorder="1" applyAlignment="1" applyProtection="1">
      <alignment horizontal="center" vertical="center" wrapText="1"/>
    </xf>
    <xf numFmtId="0" fontId="22" fillId="9" borderId="4" xfId="56" applyNumberFormat="1" applyFont="1" applyFill="1" applyBorder="1" applyAlignment="1" applyProtection="1">
      <alignment horizontal="center" vertical="center" wrapText="1"/>
    </xf>
    <xf numFmtId="0" fontId="48" fillId="0" borderId="2" xfId="56" applyNumberFormat="1" applyFont="1" applyFill="1" applyBorder="1" applyAlignment="1" applyProtection="1">
      <alignment horizontal="center" vertical="center" wrapText="1"/>
    </xf>
    <xf numFmtId="186" fontId="48" fillId="0" borderId="2" xfId="56" applyNumberFormat="1" applyFont="1" applyFill="1" applyBorder="1" applyAlignment="1" applyProtection="1">
      <alignment horizontal="center" vertical="center" wrapText="1"/>
    </xf>
    <xf numFmtId="186" fontId="49" fillId="0" borderId="1" xfId="56" applyNumberFormat="1" applyFont="1" applyFill="1" applyBorder="1" applyAlignment="1" applyProtection="1">
      <alignment horizontal="center" vertical="center" wrapText="1"/>
    </xf>
    <xf numFmtId="186" fontId="52" fillId="6" borderId="20" xfId="56" applyNumberFormat="1" applyFont="1" applyFill="1" applyBorder="1" applyAlignment="1" applyProtection="1">
      <alignment horizontal="left" vertical="center" wrapText="1"/>
    </xf>
    <xf numFmtId="186" fontId="52" fillId="6" borderId="29" xfId="56" applyNumberFormat="1" applyFont="1" applyFill="1" applyBorder="1" applyAlignment="1" applyProtection="1">
      <alignment horizontal="left" vertical="center" wrapText="1"/>
    </xf>
    <xf numFmtId="0" fontId="0" fillId="6" borderId="0" xfId="0" applyFill="1" applyAlignment="1"/>
    <xf numFmtId="0" fontId="60" fillId="6" borderId="0" xfId="0" applyFont="1" applyFill="1" applyAlignment="1">
      <alignment horizontal="center" vertical="center"/>
    </xf>
    <xf numFmtId="0" fontId="20" fillId="6" borderId="0" xfId="54" applyFont="1" applyFill="1"/>
    <xf numFmtId="0" fontId="61" fillId="6" borderId="0" xfId="0" applyFont="1" applyFill="1">
      <alignment vertical="center"/>
    </xf>
    <xf numFmtId="0" fontId="60" fillId="8" borderId="0" xfId="0" applyFont="1" applyFill="1">
      <alignment vertical="center"/>
    </xf>
    <xf numFmtId="0" fontId="60" fillId="8" borderId="0" xfId="0" applyFont="1" applyFill="1" applyAlignment="1">
      <alignment horizontal="center" vertical="center"/>
    </xf>
    <xf numFmtId="0" fontId="61" fillId="0" borderId="0" xfId="0" applyFont="1">
      <alignment vertical="center"/>
    </xf>
    <xf numFmtId="0" fontId="54" fillId="8" borderId="0" xfId="0" applyFont="1" applyFill="1" applyAlignment="1">
      <alignment horizontal="center" vertical="center"/>
    </xf>
    <xf numFmtId="0" fontId="62" fillId="6" borderId="0" xfId="0" applyFont="1" applyFill="1" applyAlignment="1"/>
    <xf numFmtId="0" fontId="51" fillId="8" borderId="0" xfId="0" applyFont="1" applyFill="1" applyAlignment="1">
      <alignment horizontal="center" vertical="center" wrapText="1"/>
    </xf>
    <xf numFmtId="0" fontId="39" fillId="8" borderId="0" xfId="0" applyFont="1" applyFill="1" applyAlignment="1">
      <alignment horizontal="center"/>
    </xf>
    <xf numFmtId="0" fontId="63" fillId="8" borderId="0" xfId="0" applyFont="1" applyFill="1" applyAlignment="1">
      <alignment horizontal="center" vertical="center" wrapText="1"/>
    </xf>
    <xf numFmtId="0" fontId="64" fillId="8" borderId="0" xfId="0" applyFont="1" applyFill="1" applyAlignment="1">
      <alignment horizontal="center" vertical="center"/>
    </xf>
    <xf numFmtId="0" fontId="37" fillId="9" borderId="1" xfId="0" applyFont="1" applyFill="1" applyBorder="1" applyAlignment="1">
      <alignment horizontal="center" vertical="center"/>
    </xf>
    <xf numFmtId="0" fontId="15" fillId="9" borderId="1" xfId="0" applyFont="1" applyFill="1" applyBorder="1" applyAlignment="1">
      <alignment horizontal="center" vertical="center"/>
    </xf>
    <xf numFmtId="0" fontId="12" fillId="6" borderId="0" xfId="6" applyNumberFormat="1" applyFont="1" applyFill="1" applyBorder="1" applyAlignment="1">
      <alignment horizontal="left" vertical="center"/>
    </xf>
    <xf numFmtId="0" fontId="65" fillId="6" borderId="0" xfId="6" applyNumberFormat="1" applyFont="1" applyFill="1" applyBorder="1" applyAlignment="1"/>
    <xf numFmtId="0" fontId="37" fillId="9" borderId="2" xfId="0" applyFont="1" applyFill="1" applyBorder="1" applyAlignment="1">
      <alignment horizontal="center" vertical="center"/>
    </xf>
    <xf numFmtId="0" fontId="50" fillId="6" borderId="1" xfId="0" applyFont="1" applyFill="1" applyBorder="1" applyAlignment="1">
      <alignment horizontal="center" vertical="center" wrapText="1"/>
    </xf>
    <xf numFmtId="0" fontId="50" fillId="6" borderId="2" xfId="0" applyFont="1" applyFill="1" applyBorder="1" applyAlignment="1">
      <alignment horizontal="center" vertical="center"/>
    </xf>
    <xf numFmtId="0" fontId="19" fillId="10" borderId="2" xfId="0" applyFont="1" applyFill="1" applyBorder="1" applyAlignment="1">
      <alignment horizontal="center" vertical="center"/>
    </xf>
    <xf numFmtId="0" fontId="50" fillId="0" borderId="2" xfId="0" applyFont="1" applyFill="1" applyBorder="1" applyAlignment="1">
      <alignment horizontal="center" vertical="center"/>
    </xf>
    <xf numFmtId="0" fontId="66" fillId="6" borderId="18" xfId="0" applyFont="1" applyFill="1" applyBorder="1" applyAlignment="1">
      <alignment horizontal="center" vertical="center" wrapText="1"/>
    </xf>
    <xf numFmtId="0" fontId="67" fillId="6" borderId="18" xfId="0" applyFont="1" applyFill="1" applyBorder="1" applyAlignment="1">
      <alignment horizontal="center" vertical="center" wrapText="1"/>
    </xf>
    <xf numFmtId="0" fontId="66" fillId="6" borderId="18" xfId="54" applyFont="1" applyFill="1" applyBorder="1" applyAlignment="1">
      <alignment horizontal="left" vertical="center" wrapText="1"/>
    </xf>
    <xf numFmtId="0" fontId="66" fillId="6" borderId="4" xfId="84" applyFont="1" applyFill="1" applyBorder="1" applyAlignment="1">
      <alignment horizontal="center" vertical="center" wrapText="1"/>
    </xf>
    <xf numFmtId="0" fontId="68" fillId="6" borderId="0" xfId="6" applyNumberFormat="1" applyFont="1" applyFill="1" applyBorder="1" applyAlignment="1"/>
    <xf numFmtId="0" fontId="66" fillId="6" borderId="19" xfId="0" applyFont="1" applyFill="1" applyBorder="1" applyAlignment="1">
      <alignment horizontal="center" vertical="center" wrapText="1"/>
    </xf>
    <xf numFmtId="0" fontId="67" fillId="6" borderId="19" xfId="0" applyFont="1" applyFill="1" applyBorder="1" applyAlignment="1">
      <alignment horizontal="center" vertical="center" wrapText="1"/>
    </xf>
    <xf numFmtId="0" fontId="66" fillId="6" borderId="19" xfId="54" applyFont="1" applyFill="1" applyBorder="1" applyAlignment="1">
      <alignment horizontal="left" vertical="center" wrapText="1"/>
    </xf>
    <xf numFmtId="0" fontId="66" fillId="6" borderId="5" xfId="0" applyFont="1" applyFill="1" applyBorder="1" applyAlignment="1">
      <alignment horizontal="center" vertical="center" wrapText="1"/>
    </xf>
    <xf numFmtId="0" fontId="67" fillId="6" borderId="5" xfId="0" applyFont="1" applyFill="1" applyBorder="1" applyAlignment="1">
      <alignment horizontal="center" vertical="center" wrapText="1"/>
    </xf>
    <xf numFmtId="0" fontId="66" fillId="6" borderId="5" xfId="54" applyFont="1" applyFill="1" applyBorder="1" applyAlignment="1">
      <alignment horizontal="left" vertical="center" wrapText="1"/>
    </xf>
    <xf numFmtId="0" fontId="54" fillId="8" borderId="0" xfId="0" applyFont="1" applyFill="1" applyAlignment="1">
      <alignment horizontal="center"/>
    </xf>
    <xf numFmtId="0" fontId="51" fillId="8" borderId="0" xfId="0" applyFont="1" applyFill="1" applyAlignment="1">
      <alignment horizontal="center" vertical="center"/>
    </xf>
    <xf numFmtId="0" fontId="37" fillId="9" borderId="3" xfId="0" applyFont="1" applyFill="1" applyBorder="1" applyAlignment="1">
      <alignment horizontal="center" vertical="center"/>
    </xf>
    <xf numFmtId="0" fontId="37" fillId="9" borderId="4" xfId="0" applyFont="1" applyFill="1" applyBorder="1" applyAlignment="1">
      <alignment horizontal="center" vertical="center"/>
    </xf>
    <xf numFmtId="0" fontId="50" fillId="6" borderId="1" xfId="0" applyFont="1" applyFill="1" applyBorder="1" applyAlignment="1">
      <alignment horizontal="center" vertical="center"/>
    </xf>
    <xf numFmtId="0" fontId="46" fillId="8" borderId="0" xfId="0" applyFont="1" applyFill="1" applyAlignment="1">
      <alignment horizontal="center" vertical="center" wrapText="1"/>
    </xf>
    <xf numFmtId="0" fontId="46" fillId="8" borderId="0" xfId="0" applyFont="1" applyFill="1" applyAlignment="1">
      <alignment horizontal="center" vertical="center"/>
    </xf>
    <xf numFmtId="0" fontId="66" fillId="6" borderId="21" xfId="0" applyFont="1" applyFill="1" applyBorder="1" applyAlignment="1">
      <alignment horizontal="center" vertical="center" wrapText="1"/>
    </xf>
    <xf numFmtId="0" fontId="69" fillId="6" borderId="21" xfId="0" applyFont="1" applyFill="1" applyBorder="1" applyAlignment="1">
      <alignment horizontal="center" vertical="center" wrapText="1"/>
    </xf>
    <xf numFmtId="0" fontId="20"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20" fillId="6" borderId="21" xfId="54" applyFont="1" applyFill="1" applyBorder="1" applyAlignment="1">
      <alignment horizontal="left" vertical="center" wrapText="1"/>
    </xf>
    <xf numFmtId="0" fontId="70" fillId="6" borderId="21" xfId="84" applyFont="1" applyFill="1" applyBorder="1" applyAlignment="1">
      <alignment horizontal="center" vertical="center" wrapText="1"/>
    </xf>
    <xf numFmtId="0" fontId="57" fillId="6" borderId="0" xfId="0" applyFont="1" applyFill="1" applyAlignment="1">
      <alignment horizontal="left" vertical="center"/>
    </xf>
    <xf numFmtId="0" fontId="71" fillId="6" borderId="0" xfId="0" applyFont="1" applyFill="1" applyAlignment="1">
      <alignment horizontal="left" vertical="center" wrapText="1"/>
    </xf>
    <xf numFmtId="0" fontId="72" fillId="6" borderId="0" xfId="54" applyFont="1" applyFill="1" applyAlignment="1">
      <alignment horizontal="center" vertical="center"/>
    </xf>
    <xf numFmtId="0" fontId="73" fillId="6" borderId="0" xfId="6" applyFont="1" applyFill="1" applyAlignment="1">
      <alignment horizontal="center" vertical="center"/>
    </xf>
    <xf numFmtId="0" fontId="73" fillId="6" borderId="0" xfId="6" applyNumberFormat="1" applyFont="1" applyFill="1" applyAlignment="1">
      <alignment horizontal="center" vertical="center"/>
    </xf>
    <xf numFmtId="0" fontId="22" fillId="9" borderId="1" xfId="0" applyFont="1" applyFill="1" applyBorder="1" applyAlignment="1">
      <alignment horizontal="center" vertical="center"/>
    </xf>
    <xf numFmtId="0" fontId="22" fillId="9" borderId="2" xfId="0" applyFont="1" applyFill="1" applyBorder="1" applyAlignment="1">
      <alignment horizontal="center" vertical="center"/>
    </xf>
    <xf numFmtId="0" fontId="22" fillId="9" borderId="3" xfId="0" applyFont="1" applyFill="1" applyBorder="1" applyAlignment="1">
      <alignment horizontal="center" vertical="center"/>
    </xf>
    <xf numFmtId="0" fontId="22" fillId="9" borderId="4" xfId="0" applyFont="1" applyFill="1" applyBorder="1" applyAlignment="1">
      <alignment horizontal="center" vertical="center"/>
    </xf>
    <xf numFmtId="0" fontId="66" fillId="6" borderId="1" xfId="0" applyFont="1" applyFill="1" applyBorder="1" applyAlignment="1">
      <alignment horizontal="center" vertical="center" wrapText="1"/>
    </xf>
    <xf numFmtId="0" fontId="66" fillId="6" borderId="2" xfId="0" applyFont="1" applyFill="1" applyBorder="1" applyAlignment="1">
      <alignment horizontal="left" vertical="center" wrapText="1"/>
    </xf>
    <xf numFmtId="0" fontId="66" fillId="6" borderId="3" xfId="0" applyFont="1" applyFill="1" applyBorder="1" applyAlignment="1">
      <alignment horizontal="left" vertical="center" wrapText="1"/>
    </xf>
    <xf numFmtId="0" fontId="66" fillId="6" borderId="4" xfId="0" applyFont="1" applyFill="1" applyBorder="1" applyAlignment="1">
      <alignment horizontal="left" vertical="center" wrapText="1"/>
    </xf>
    <xf numFmtId="0" fontId="74" fillId="6" borderId="1" xfId="0" applyFont="1" applyFill="1" applyBorder="1" applyAlignment="1">
      <alignment horizontal="center" vertical="center" wrapText="1"/>
    </xf>
    <xf numFmtId="0" fontId="74" fillId="6" borderId="2" xfId="0" applyFont="1" applyFill="1" applyBorder="1" applyAlignment="1">
      <alignment horizontal="left" vertical="center" wrapText="1"/>
    </xf>
    <xf numFmtId="0" fontId="74" fillId="6" borderId="3" xfId="0" applyFont="1" applyFill="1" applyBorder="1" applyAlignment="1">
      <alignment horizontal="left" vertical="center" wrapText="1"/>
    </xf>
    <xf numFmtId="0" fontId="74" fillId="6" borderId="4" xfId="0" applyFont="1" applyFill="1" applyBorder="1" applyAlignment="1">
      <alignment horizontal="left" vertical="center" wrapText="1"/>
    </xf>
    <xf numFmtId="0" fontId="39" fillId="6" borderId="1" xfId="0" applyFont="1" applyFill="1" applyBorder="1" applyAlignment="1">
      <alignment horizontal="center" vertical="center"/>
    </xf>
    <xf numFmtId="0" fontId="57" fillId="6" borderId="0" xfId="0" applyFont="1" applyFill="1" applyAlignment="1">
      <alignment horizontal="left"/>
    </xf>
    <xf numFmtId="0" fontId="74" fillId="6" borderId="0" xfId="0" applyFont="1" applyFill="1" applyAlignment="1">
      <alignment horizontal="center" vertical="center"/>
    </xf>
    <xf numFmtId="0" fontId="19" fillId="6" borderId="2" xfId="0" applyFont="1" applyFill="1" applyBorder="1" applyAlignment="1">
      <alignment horizontal="left"/>
    </xf>
    <xf numFmtId="0" fontId="19" fillId="6" borderId="3" xfId="0" applyFont="1" applyFill="1" applyBorder="1" applyAlignment="1">
      <alignment horizontal="left"/>
    </xf>
    <xf numFmtId="0" fontId="19" fillId="6" borderId="4" xfId="0" applyFont="1" applyFill="1" applyBorder="1" applyAlignment="1">
      <alignment horizontal="left"/>
    </xf>
    <xf numFmtId="0" fontId="74" fillId="6" borderId="1" xfId="0" applyFont="1" applyFill="1" applyBorder="1" applyAlignment="1">
      <alignment horizontal="center"/>
    </xf>
    <xf numFmtId="0" fontId="75" fillId="6" borderId="2" xfId="54" applyFont="1" applyFill="1" applyBorder="1" applyAlignment="1">
      <alignment horizontal="left" vertical="center" wrapText="1"/>
    </xf>
    <xf numFmtId="0" fontId="75" fillId="6" borderId="3" xfId="54" applyFont="1" applyFill="1" applyBorder="1" applyAlignment="1">
      <alignment horizontal="left" vertical="center" wrapText="1"/>
    </xf>
    <xf numFmtId="0" fontId="75" fillId="6" borderId="4" xfId="54" applyFont="1" applyFill="1" applyBorder="1" applyAlignment="1">
      <alignment horizontal="left" vertical="center" wrapText="1"/>
    </xf>
    <xf numFmtId="49" fontId="74" fillId="6" borderId="1" xfId="54" applyNumberFormat="1" applyFont="1" applyFill="1" applyBorder="1" applyAlignment="1">
      <alignment horizontal="center" vertical="center"/>
    </xf>
    <xf numFmtId="49" fontId="72" fillId="6" borderId="1" xfId="54" applyNumberFormat="1" applyFont="1" applyFill="1" applyBorder="1" applyAlignment="1">
      <alignment horizontal="center" vertical="center" wrapText="1"/>
    </xf>
    <xf numFmtId="0" fontId="75" fillId="6" borderId="3" xfId="54" applyFont="1" applyFill="1" applyBorder="1" applyAlignment="1">
      <alignment horizontal="left" vertical="center"/>
    </xf>
    <xf numFmtId="0" fontId="75" fillId="6" borderId="4" xfId="54" applyFont="1" applyFill="1" applyBorder="1" applyAlignment="1">
      <alignment horizontal="left" vertical="center"/>
    </xf>
    <xf numFmtId="49" fontId="72" fillId="6" borderId="4" xfId="54" applyNumberFormat="1" applyFont="1" applyFill="1" applyBorder="1" applyAlignment="1">
      <alignment horizontal="center" vertical="center"/>
    </xf>
    <xf numFmtId="0" fontId="76" fillId="6" borderId="0" xfId="6" applyNumberFormat="1" applyFont="1" applyFill="1" applyBorder="1" applyAlignment="1" applyProtection="1">
      <alignment vertical="center"/>
    </xf>
    <xf numFmtId="49" fontId="39" fillId="6" borderId="1" xfId="54" applyNumberFormat="1" applyFont="1" applyFill="1" applyBorder="1" applyAlignment="1">
      <alignment horizontal="center" vertical="center" wrapText="1"/>
    </xf>
    <xf numFmtId="0" fontId="75" fillId="12" borderId="2" xfId="54" applyFont="1" applyFill="1" applyBorder="1" applyAlignment="1">
      <alignment horizontal="left" vertical="center" wrapText="1"/>
    </xf>
    <xf numFmtId="0" fontId="75" fillId="12" borderId="3" xfId="54" applyFont="1" applyFill="1" applyBorder="1" applyAlignment="1">
      <alignment horizontal="left" vertical="center" wrapText="1"/>
    </xf>
    <xf numFmtId="49" fontId="74" fillId="12" borderId="1" xfId="54" applyNumberFormat="1" applyFont="1" applyFill="1" applyBorder="1" applyAlignment="1">
      <alignment horizontal="center" vertical="center"/>
    </xf>
    <xf numFmtId="49" fontId="72" fillId="12" borderId="4" xfId="54" applyNumberFormat="1" applyFont="1" applyFill="1" applyBorder="1" applyAlignment="1">
      <alignment horizontal="center" vertical="center"/>
    </xf>
    <xf numFmtId="49" fontId="74" fillId="6" borderId="1" xfId="54" applyNumberFormat="1" applyFont="1" applyFill="1" applyBorder="1" applyAlignment="1">
      <alignment horizontal="center" vertical="center" wrapText="1"/>
    </xf>
    <xf numFmtId="0" fontId="6" fillId="6" borderId="2" xfId="54" applyFont="1" applyFill="1" applyBorder="1" applyAlignment="1">
      <alignment horizontal="left" vertical="center" wrapText="1"/>
    </xf>
    <xf numFmtId="0" fontId="6" fillId="6" borderId="3" xfId="54" applyFont="1" applyFill="1" applyBorder="1" applyAlignment="1">
      <alignment horizontal="left" vertical="center" wrapText="1"/>
    </xf>
    <xf numFmtId="0" fontId="6" fillId="6" borderId="4" xfId="54" applyFont="1" applyFill="1" applyBorder="1" applyAlignment="1">
      <alignment horizontal="left" vertical="center" wrapText="1"/>
    </xf>
    <xf numFmtId="0" fontId="57" fillId="6" borderId="2" xfId="54" applyFont="1" applyFill="1" applyBorder="1" applyAlignment="1">
      <alignment horizontal="left" vertical="center" wrapText="1"/>
    </xf>
    <xf numFmtId="0" fontId="57" fillId="6" borderId="3" xfId="54" applyFont="1" applyFill="1" applyBorder="1" applyAlignment="1">
      <alignment horizontal="left" vertical="center" wrapText="1"/>
    </xf>
    <xf numFmtId="0" fontId="57" fillId="6" borderId="4" xfId="54" applyFont="1" applyFill="1" applyBorder="1" applyAlignment="1">
      <alignment horizontal="left" vertical="center" wrapText="1"/>
    </xf>
    <xf numFmtId="0" fontId="63" fillId="13" borderId="1" xfId="54" applyFont="1" applyFill="1" applyBorder="1" applyAlignment="1">
      <alignment horizontal="left" vertical="center" wrapText="1"/>
    </xf>
    <xf numFmtId="0" fontId="75" fillId="6" borderId="0" xfId="54" applyFont="1" applyFill="1" applyAlignment="1">
      <alignment horizontal="center" vertical="center"/>
    </xf>
    <xf numFmtId="49" fontId="72" fillId="6" borderId="0" xfId="54" applyNumberFormat="1" applyFont="1" applyFill="1" applyAlignment="1">
      <alignment horizontal="center" vertical="center"/>
    </xf>
    <xf numFmtId="0" fontId="22" fillId="9" borderId="1" xfId="54" applyFont="1" applyFill="1" applyBorder="1" applyAlignment="1">
      <alignment horizontal="left" vertical="center" wrapText="1"/>
    </xf>
    <xf numFmtId="0" fontId="41" fillId="6" borderId="0" xfId="54" applyFont="1" applyFill="1"/>
    <xf numFmtId="0" fontId="75" fillId="6" borderId="1" xfId="54" applyFont="1" applyFill="1" applyBorder="1" applyAlignment="1">
      <alignment horizontal="left" vertical="center" wrapText="1"/>
    </xf>
    <xf numFmtId="0" fontId="22" fillId="9" borderId="2" xfId="54" applyFont="1" applyFill="1" applyBorder="1" applyAlignment="1">
      <alignment horizontal="left" vertical="center"/>
    </xf>
    <xf numFmtId="0" fontId="22" fillId="9" borderId="3" xfId="54" applyFont="1" applyFill="1" applyBorder="1" applyAlignment="1">
      <alignment horizontal="left" vertical="center"/>
    </xf>
    <xf numFmtId="0" fontId="22" fillId="9" borderId="4" xfId="54" applyFont="1" applyFill="1" applyBorder="1" applyAlignment="1">
      <alignment horizontal="left" vertical="center"/>
    </xf>
    <xf numFmtId="0" fontId="6" fillId="6" borderId="1" xfId="54" applyFont="1" applyFill="1" applyBorder="1" applyAlignment="1">
      <alignment horizontal="center" vertical="center"/>
    </xf>
    <xf numFmtId="0" fontId="20" fillId="6" borderId="2" xfId="54" applyFont="1" applyFill="1" applyBorder="1" applyAlignment="1" applyProtection="1">
      <alignment horizontal="left" vertical="center" wrapText="1"/>
      <protection locked="0"/>
    </xf>
    <xf numFmtId="0" fontId="20" fillId="6" borderId="3" xfId="54" applyFont="1" applyFill="1" applyBorder="1" applyAlignment="1" applyProtection="1">
      <alignment horizontal="left" vertical="center" wrapText="1"/>
      <protection locked="0"/>
    </xf>
    <xf numFmtId="0" fontId="20" fillId="6" borderId="4" xfId="54" applyFont="1" applyFill="1" applyBorder="1" applyAlignment="1" applyProtection="1">
      <alignment horizontal="left" vertical="center" wrapText="1"/>
      <protection locked="0"/>
    </xf>
    <xf numFmtId="0" fontId="20" fillId="6" borderId="2" xfId="54" applyFont="1" applyFill="1" applyBorder="1" applyAlignment="1">
      <alignment horizontal="left" vertical="center" wrapText="1"/>
    </xf>
    <xf numFmtId="0" fontId="20" fillId="6" borderId="3" xfId="54" applyFont="1" applyFill="1" applyBorder="1" applyAlignment="1">
      <alignment horizontal="left" vertical="center" wrapText="1"/>
    </xf>
    <xf numFmtId="0" fontId="20" fillId="6" borderId="4" xfId="54" applyFont="1" applyFill="1" applyBorder="1" applyAlignment="1">
      <alignment horizontal="left" vertical="center" wrapText="1"/>
    </xf>
    <xf numFmtId="0" fontId="22" fillId="9" borderId="57" xfId="54" applyFont="1" applyFill="1" applyBorder="1" applyAlignment="1">
      <alignment horizontal="left" vertical="center" wrapText="1"/>
    </xf>
    <xf numFmtId="0" fontId="22" fillId="9" borderId="0" xfId="54" applyFont="1" applyFill="1" applyAlignment="1">
      <alignment horizontal="left" vertical="center" wrapText="1"/>
    </xf>
    <xf numFmtId="0" fontId="22" fillId="9" borderId="58" xfId="54" applyFont="1" applyFill="1" applyBorder="1" applyAlignment="1">
      <alignment horizontal="left" vertical="center" wrapText="1"/>
    </xf>
    <xf numFmtId="0" fontId="67" fillId="0" borderId="0" xfId="0" applyFont="1" applyFill="1" applyBorder="1">
      <alignment vertical="center"/>
    </xf>
    <xf numFmtId="0" fontId="67" fillId="0" borderId="0" xfId="0" applyFont="1" applyFill="1" applyBorder="1" applyAlignment="1">
      <alignment horizontal="left" vertical="center"/>
    </xf>
    <xf numFmtId="0" fontId="67" fillId="0" borderId="0" xfId="0" applyFont="1" applyFill="1" applyBorder="1" applyAlignment="1">
      <alignment horizontal="center" vertical="center"/>
    </xf>
    <xf numFmtId="0" fontId="67" fillId="0" borderId="1" xfId="0" applyFont="1" applyFill="1" applyBorder="1" applyAlignment="1">
      <alignment horizontal="left" vertical="center"/>
    </xf>
    <xf numFmtId="0" fontId="67" fillId="9" borderId="1" xfId="0" applyFont="1" applyFill="1" applyBorder="1" applyAlignment="1">
      <alignment horizontal="center" vertical="center"/>
    </xf>
    <xf numFmtId="0" fontId="22" fillId="14" borderId="1" xfId="0" applyFont="1" applyFill="1" applyBorder="1" applyAlignment="1">
      <alignment horizontal="center" vertical="center"/>
    </xf>
    <xf numFmtId="0" fontId="22" fillId="9" borderId="1" xfId="0" applyFont="1" applyFill="1" applyBorder="1" applyAlignment="1">
      <alignment horizontal="center" vertical="center" wrapText="1"/>
    </xf>
    <xf numFmtId="0" fontId="67" fillId="0" borderId="1" xfId="0" applyFont="1" applyFill="1" applyBorder="1" applyAlignment="1">
      <alignment horizontal="center" vertical="center"/>
    </xf>
    <xf numFmtId="0" fontId="66" fillId="0" borderId="1" xfId="0" applyFont="1" applyFill="1" applyBorder="1" applyAlignment="1">
      <alignment horizontal="center" vertical="center"/>
    </xf>
    <xf numFmtId="0" fontId="67" fillId="14" borderId="1" xfId="0" applyFont="1" applyFill="1" applyBorder="1" applyAlignment="1">
      <alignment horizontal="center" vertical="center"/>
    </xf>
    <xf numFmtId="0" fontId="66" fillId="6" borderId="2" xfId="0" applyFont="1" applyFill="1" applyBorder="1" applyAlignment="1">
      <alignment horizontal="center" vertical="center"/>
    </xf>
    <xf numFmtId="0" fontId="66" fillId="6" borderId="1" xfId="0" applyFont="1" applyFill="1" applyBorder="1" applyAlignment="1">
      <alignment horizontal="center" vertical="center"/>
    </xf>
    <xf numFmtId="0" fontId="69" fillId="10" borderId="2" xfId="0" applyFont="1" applyFill="1" applyBorder="1" applyAlignment="1">
      <alignment horizontal="center" vertical="center"/>
    </xf>
    <xf numFmtId="0" fontId="67" fillId="0" borderId="1" xfId="0" applyFont="1" applyFill="1" applyBorder="1" applyAlignment="1">
      <alignment horizontal="left" vertical="center" wrapText="1"/>
    </xf>
    <xf numFmtId="0" fontId="67" fillId="3" borderId="1" xfId="0" applyFont="1" applyFill="1" applyBorder="1" applyAlignment="1">
      <alignment horizontal="left" vertical="center" wrapText="1"/>
    </xf>
    <xf numFmtId="0" fontId="67" fillId="0" borderId="0" xfId="56" applyNumberFormat="1" applyFont="1" applyFill="1" applyBorder="1" applyAlignment="1" applyProtection="1">
      <alignment horizontal="center" vertical="center" wrapText="1"/>
    </xf>
    <xf numFmtId="186" fontId="72" fillId="0" borderId="0" xfId="56" applyNumberFormat="1" applyFont="1" applyFill="1" applyBorder="1" applyAlignment="1" applyProtection="1">
      <alignment horizontal="center" vertical="center" wrapText="1"/>
    </xf>
    <xf numFmtId="185" fontId="72" fillId="0" borderId="0" xfId="56" applyNumberFormat="1" applyFont="1" applyFill="1" applyBorder="1" applyAlignment="1" applyProtection="1">
      <alignment horizontal="center" vertical="center" wrapText="1"/>
    </xf>
    <xf numFmtId="185" fontId="74" fillId="0" borderId="0" xfId="56" applyNumberFormat="1" applyFont="1" applyFill="1" applyBorder="1" applyAlignment="1" applyProtection="1">
      <alignment horizontal="center" vertical="center" wrapText="1"/>
    </xf>
    <xf numFmtId="186" fontId="72" fillId="0" borderId="1" xfId="56" applyNumberFormat="1" applyFont="1" applyFill="1" applyBorder="1" applyAlignment="1" applyProtection="1">
      <alignment horizontal="center" vertical="center" wrapText="1"/>
    </xf>
    <xf numFmtId="185" fontId="72" fillId="0" borderId="1" xfId="56" applyNumberFormat="1" applyFont="1" applyFill="1" applyBorder="1" applyAlignment="1" applyProtection="1">
      <alignment horizontal="center" vertical="center" wrapText="1"/>
    </xf>
    <xf numFmtId="185" fontId="74" fillId="0" borderId="1" xfId="56" applyNumberFormat="1" applyFont="1" applyFill="1" applyBorder="1" applyAlignment="1" applyProtection="1">
      <alignment horizontal="center" vertical="center" wrapText="1"/>
    </xf>
    <xf numFmtId="185" fontId="74" fillId="14" borderId="1" xfId="56" applyNumberFormat="1" applyFont="1" applyFill="1" applyBorder="1" applyAlignment="1" applyProtection="1">
      <alignment horizontal="center" vertical="center" wrapText="1"/>
    </xf>
    <xf numFmtId="186" fontId="72" fillId="14" borderId="1" xfId="56" applyNumberFormat="1" applyFont="1" applyFill="1" applyBorder="1" applyAlignment="1" applyProtection="1">
      <alignment horizontal="center" vertical="center" wrapText="1"/>
    </xf>
    <xf numFmtId="0" fontId="67" fillId="0" borderId="1" xfId="0" applyFont="1" applyFill="1" applyBorder="1">
      <alignment vertical="center"/>
    </xf>
    <xf numFmtId="0" fontId="52" fillId="6" borderId="9" xfId="56" applyNumberFormat="1" applyFont="1" applyFill="1" applyBorder="1" applyAlignment="1" applyProtection="1">
      <alignment vertical="center" wrapText="1"/>
    </xf>
    <xf numFmtId="0" fontId="67" fillId="0" borderId="18" xfId="0" applyFont="1" applyFill="1" applyBorder="1" applyAlignment="1">
      <alignment horizontal="center" vertical="center"/>
    </xf>
    <xf numFmtId="0" fontId="67" fillId="0" borderId="19" xfId="0" applyFont="1" applyFill="1" applyBorder="1" applyAlignment="1">
      <alignment horizontal="center" vertical="center"/>
    </xf>
    <xf numFmtId="0" fontId="22" fillId="14" borderId="1" xfId="56" applyNumberFormat="1" applyFont="1" applyFill="1" applyBorder="1" applyAlignment="1" applyProtection="1">
      <alignment horizontal="center" vertical="center" wrapText="1"/>
    </xf>
    <xf numFmtId="0" fontId="67" fillId="0" borderId="18" xfId="0" applyFont="1" applyFill="1" applyBorder="1" applyAlignment="1">
      <alignment horizontal="center" vertical="center" wrapText="1"/>
    </xf>
    <xf numFmtId="0" fontId="67" fillId="0" borderId="19" xfId="0" applyFont="1" applyFill="1" applyBorder="1" applyAlignment="1">
      <alignment horizontal="center" vertical="center" wrapText="1"/>
    </xf>
    <xf numFmtId="185" fontId="72" fillId="14" borderId="1" xfId="56" applyNumberFormat="1" applyFont="1" applyFill="1" applyBorder="1" applyAlignment="1" applyProtection="1">
      <alignment horizontal="center" vertical="center" wrapText="1"/>
    </xf>
    <xf numFmtId="0" fontId="67" fillId="0" borderId="0" xfId="0" applyFont="1" applyFill="1" applyAlignment="1">
      <alignment horizontal="left" vertical="center"/>
    </xf>
    <xf numFmtId="0" fontId="47" fillId="0" borderId="18" xfId="0" applyFont="1" applyFill="1" applyBorder="1" applyAlignment="1">
      <alignment horizontal="center" vertical="center"/>
    </xf>
    <xf numFmtId="0" fontId="19" fillId="0" borderId="1" xfId="56" applyNumberFormat="1" applyFont="1" applyFill="1" applyBorder="1" applyAlignment="1" applyProtection="1">
      <alignment horizontal="center" vertical="center" wrapText="1"/>
    </xf>
    <xf numFmtId="0" fontId="75" fillId="0" borderId="1" xfId="56" applyNumberFormat="1" applyFont="1" applyFill="1" applyBorder="1" applyAlignment="1" applyProtection="1">
      <alignment horizontal="center" vertical="center" wrapText="1"/>
    </xf>
    <xf numFmtId="0" fontId="74" fillId="14" borderId="1" xfId="56" applyNumberFormat="1" applyFont="1" applyFill="1" applyBorder="1" applyAlignment="1" applyProtection="1">
      <alignment horizontal="center" vertical="center" wrapText="1"/>
    </xf>
    <xf numFmtId="0" fontId="75" fillId="14" borderId="1" xfId="56" applyNumberFormat="1" applyFont="1" applyFill="1" applyBorder="1" applyAlignment="1" applyProtection="1">
      <alignment horizontal="center" vertical="center" wrapText="1"/>
    </xf>
    <xf numFmtId="0" fontId="72" fillId="14" borderId="1" xfId="56" applyNumberFormat="1" applyFont="1" applyFill="1" applyBorder="1" applyAlignment="1" applyProtection="1">
      <alignment horizontal="center" vertical="center" wrapText="1"/>
    </xf>
    <xf numFmtId="0" fontId="47" fillId="0" borderId="1" xfId="0" applyFont="1" applyFill="1" applyBorder="1" applyAlignment="1">
      <alignment horizontal="center" vertical="center"/>
    </xf>
    <xf numFmtId="0" fontId="47" fillId="0" borderId="19" xfId="0" applyFont="1" applyFill="1" applyBorder="1" applyAlignment="1">
      <alignment horizontal="center" vertical="center"/>
    </xf>
    <xf numFmtId="0" fontId="51" fillId="0" borderId="1" xfId="56" applyNumberFormat="1" applyFont="1" applyFill="1" applyBorder="1" applyAlignment="1" applyProtection="1">
      <alignment horizontal="center" vertical="center" wrapText="1"/>
    </xf>
    <xf numFmtId="0" fontId="48" fillId="10" borderId="2" xfId="56" applyNumberFormat="1" applyFont="1" applyFill="1" applyBorder="1" applyAlignment="1" applyProtection="1">
      <alignment horizontal="center" vertical="center" wrapText="1"/>
    </xf>
    <xf numFmtId="0" fontId="48" fillId="10" borderId="3" xfId="56" applyNumberFormat="1" applyFont="1" applyFill="1" applyBorder="1" applyAlignment="1" applyProtection="1">
      <alignment horizontal="center" vertical="center" wrapText="1"/>
    </xf>
    <xf numFmtId="0" fontId="48" fillId="10" borderId="4" xfId="56" applyNumberFormat="1" applyFont="1" applyFill="1" applyBorder="1" applyAlignment="1" applyProtection="1">
      <alignment horizontal="center" vertical="center" wrapText="1"/>
    </xf>
    <xf numFmtId="0" fontId="72" fillId="6" borderId="1" xfId="0" applyFont="1" applyFill="1" applyBorder="1" applyAlignment="1">
      <alignment horizontal="center" vertical="center"/>
    </xf>
    <xf numFmtId="185" fontId="72" fillId="6" borderId="1" xfId="0" applyNumberFormat="1" applyFont="1" applyFill="1" applyBorder="1" applyAlignment="1">
      <alignment horizontal="center" vertical="center"/>
    </xf>
    <xf numFmtId="185" fontId="72" fillId="14" borderId="1" xfId="0" applyNumberFormat="1" applyFont="1" applyFill="1" applyBorder="1" applyAlignment="1">
      <alignment horizontal="center" vertical="center"/>
    </xf>
    <xf numFmtId="0" fontId="58" fillId="0" borderId="1" xfId="0" applyFont="1" applyFill="1" applyBorder="1" applyAlignment="1">
      <alignment horizontal="center" vertical="center"/>
    </xf>
    <xf numFmtId="0" fontId="43" fillId="0" borderId="1" xfId="56" applyNumberFormat="1" applyFont="1" applyFill="1" applyBorder="1" applyAlignment="1" applyProtection="1">
      <alignment horizontal="center" vertical="center" wrapText="1"/>
    </xf>
    <xf numFmtId="0" fontId="72" fillId="0" borderId="1" xfId="0" applyFont="1" applyFill="1" applyBorder="1" applyAlignment="1">
      <alignment horizontal="center" vertical="center"/>
    </xf>
    <xf numFmtId="0" fontId="67" fillId="0" borderId="1" xfId="0" applyFont="1" applyFill="1" applyBorder="1" applyAlignment="1">
      <alignment horizontal="center" vertical="center" wrapText="1"/>
    </xf>
    <xf numFmtId="0" fontId="66" fillId="0" borderId="1" xfId="0" applyFont="1" applyFill="1" applyBorder="1" applyAlignment="1">
      <alignment horizontal="center" vertical="center" wrapText="1"/>
    </xf>
    <xf numFmtId="0" fontId="22" fillId="9" borderId="0" xfId="0" applyFont="1" applyFill="1" applyAlignment="1">
      <alignment vertical="center"/>
    </xf>
    <xf numFmtId="0" fontId="22" fillId="9" borderId="0" xfId="0" applyFont="1" applyFill="1" applyAlignment="1">
      <alignment horizontal="center" vertical="center"/>
    </xf>
    <xf numFmtId="0" fontId="22" fillId="9" borderId="10" xfId="0" applyFont="1" applyFill="1" applyBorder="1" applyAlignment="1">
      <alignment vertical="center"/>
    </xf>
    <xf numFmtId="0" fontId="22" fillId="9" borderId="10" xfId="0" applyFont="1" applyFill="1" applyBorder="1" applyAlignment="1">
      <alignment horizontal="center" vertical="center"/>
    </xf>
    <xf numFmtId="0" fontId="66" fillId="9" borderId="2" xfId="0" applyFont="1" applyFill="1" applyBorder="1" applyAlignment="1">
      <alignment horizontal="center" vertical="center"/>
    </xf>
    <xf numFmtId="0" fontId="66" fillId="11" borderId="2" xfId="0" applyFont="1" applyFill="1" applyBorder="1" applyAlignment="1">
      <alignment horizontal="center" vertical="center"/>
    </xf>
    <xf numFmtId="0" fontId="77" fillId="0" borderId="0" xfId="0" applyFont="1" applyFill="1" applyAlignment="1">
      <alignment vertical="center"/>
    </xf>
    <xf numFmtId="0" fontId="77" fillId="0" borderId="0" xfId="0" applyFont="1" applyFill="1" applyAlignment="1">
      <alignment horizontal="center" vertical="center"/>
    </xf>
    <xf numFmtId="0" fontId="78" fillId="0" borderId="42" xfId="0" applyFont="1" applyFill="1" applyBorder="1" applyAlignment="1">
      <alignment horizontal="center" vertical="center" wrapText="1"/>
    </xf>
    <xf numFmtId="0" fontId="79" fillId="0" borderId="0" xfId="0" applyFont="1" applyFill="1" applyAlignment="1">
      <alignment vertical="center"/>
    </xf>
    <xf numFmtId="0" fontId="80" fillId="15" borderId="42" xfId="0" applyFont="1" applyFill="1" applyBorder="1" applyAlignment="1">
      <alignment horizontal="center" vertical="center"/>
    </xf>
    <xf numFmtId="0" fontId="80" fillId="15" borderId="42" xfId="0" applyFont="1" applyFill="1" applyBorder="1" applyAlignment="1">
      <alignment horizontal="center" vertical="center" wrapText="1"/>
    </xf>
    <xf numFmtId="0" fontId="48" fillId="16" borderId="42" xfId="0" applyFont="1" applyFill="1" applyBorder="1" applyAlignment="1">
      <alignment horizontal="center" vertical="center" wrapText="1"/>
    </xf>
    <xf numFmtId="0" fontId="48" fillId="0" borderId="42" xfId="0" applyFont="1" applyFill="1" applyBorder="1" applyAlignment="1">
      <alignment horizontal="center" vertical="center"/>
    </xf>
    <xf numFmtId="0" fontId="48" fillId="16" borderId="42" xfId="0" applyFont="1" applyFill="1" applyBorder="1" applyAlignment="1">
      <alignment horizontal="center" vertical="center"/>
    </xf>
    <xf numFmtId="0" fontId="48" fillId="0" borderId="42" xfId="0" applyFont="1" applyFill="1" applyBorder="1" applyAlignment="1">
      <alignment horizontal="center" vertical="center" wrapText="1"/>
    </xf>
    <xf numFmtId="58" fontId="48" fillId="0" borderId="42" xfId="0" applyNumberFormat="1" applyFont="1" applyFill="1" applyBorder="1" applyAlignment="1">
      <alignment horizontal="center" vertical="center"/>
    </xf>
    <xf numFmtId="58" fontId="48" fillId="16" borderId="42" xfId="0" applyNumberFormat="1" applyFont="1" applyFill="1" applyBorder="1" applyAlignment="1">
      <alignment horizontal="center" vertical="center"/>
    </xf>
    <xf numFmtId="0" fontId="50" fillId="0" borderId="42" xfId="0" applyFont="1" applyFill="1" applyBorder="1" applyAlignment="1">
      <alignment horizontal="center" vertical="center" wrapText="1"/>
    </xf>
    <xf numFmtId="58" fontId="48" fillId="11" borderId="42" xfId="0" applyNumberFormat="1" applyFont="1" applyFill="1" applyBorder="1" applyAlignment="1">
      <alignment horizontal="center" vertical="center"/>
    </xf>
    <xf numFmtId="58" fontId="6" fillId="16" borderId="42" xfId="0" applyNumberFormat="1" applyFont="1" applyFill="1" applyBorder="1" applyAlignment="1">
      <alignment horizontal="center" vertical="center"/>
    </xf>
    <xf numFmtId="0" fontId="52" fillId="0" borderId="42" xfId="0" applyFont="1" applyFill="1" applyBorder="1" applyAlignment="1">
      <alignment horizontal="center" vertical="center"/>
    </xf>
    <xf numFmtId="0" fontId="20" fillId="6" borderId="0" xfId="0" applyFont="1" applyFill="1">
      <alignment vertical="center"/>
    </xf>
    <xf numFmtId="0" fontId="16" fillId="6" borderId="0" xfId="0" applyFont="1" applyFill="1">
      <alignment vertical="center"/>
    </xf>
    <xf numFmtId="0" fontId="16" fillId="6" borderId="0" xfId="0" applyFont="1" applyFill="1" applyAlignment="1">
      <alignment horizontal="center" vertical="center"/>
    </xf>
    <xf numFmtId="0" fontId="81" fillId="6" borderId="0" xfId="0" applyFont="1" applyFill="1" applyProtection="1">
      <alignment vertical="center"/>
      <protection locked="0"/>
    </xf>
    <xf numFmtId="0" fontId="82" fillId="6" borderId="0" xfId="0" applyFont="1" applyFill="1" applyAlignment="1">
      <alignment horizontal="center" vertical="center"/>
    </xf>
    <xf numFmtId="49" fontId="83" fillId="6" borderId="0" xfId="0" applyNumberFormat="1" applyFont="1" applyFill="1" applyAlignment="1">
      <alignment horizontal="center" vertical="center"/>
    </xf>
    <xf numFmtId="0" fontId="37" fillId="9" borderId="18" xfId="0" applyFont="1" applyFill="1" applyBorder="1" applyAlignment="1">
      <alignment horizontal="center" vertical="center"/>
    </xf>
    <xf numFmtId="0" fontId="84" fillId="6" borderId="19" xfId="0" applyFont="1" applyFill="1" applyBorder="1" applyAlignment="1">
      <alignment horizontal="center" vertical="center" wrapText="1"/>
    </xf>
    <xf numFmtId="0" fontId="66" fillId="6" borderId="1" xfId="0" applyFont="1" applyFill="1" applyBorder="1" applyAlignment="1">
      <alignment horizontal="left" vertical="center"/>
    </xf>
    <xf numFmtId="0" fontId="85" fillId="6" borderId="1" xfId="6" applyFont="1" applyFill="1" applyBorder="1" applyAlignment="1">
      <alignment horizontal="center" vertical="center"/>
    </xf>
    <xf numFmtId="0" fontId="20" fillId="6" borderId="1" xfId="0" applyFont="1" applyFill="1" applyBorder="1" applyAlignment="1">
      <alignment horizontal="center" vertical="center"/>
    </xf>
    <xf numFmtId="0" fontId="20" fillId="6" borderId="1" xfId="0" applyFont="1" applyFill="1" applyBorder="1" applyAlignment="1">
      <alignment horizontal="left" vertical="center"/>
    </xf>
    <xf numFmtId="0" fontId="6" fillId="6" borderId="1" xfId="0" applyFont="1" applyFill="1" applyBorder="1" applyAlignment="1">
      <alignment horizontal="center" vertical="center" wrapText="1"/>
    </xf>
    <xf numFmtId="179" fontId="20" fillId="6" borderId="1" xfId="0" applyNumberFormat="1" applyFont="1" applyFill="1" applyBorder="1" applyAlignment="1">
      <alignment horizontal="center" vertical="center"/>
    </xf>
    <xf numFmtId="0" fontId="67" fillId="6" borderId="1" xfId="0" applyFont="1" applyFill="1" applyBorder="1" applyAlignment="1">
      <alignment horizontal="left" vertical="center"/>
    </xf>
    <xf numFmtId="0" fontId="85" fillId="0" borderId="1" xfId="6" applyFont="1" applyFill="1" applyBorder="1" applyAlignment="1">
      <alignment horizontal="center" vertical="center"/>
    </xf>
    <xf numFmtId="0" fontId="20" fillId="0" borderId="1" xfId="0" applyFont="1" applyFill="1" applyBorder="1" applyAlignment="1">
      <alignment horizontal="center" vertical="center"/>
    </xf>
    <xf numFmtId="0" fontId="20" fillId="0" borderId="1" xfId="0" applyFont="1" applyFill="1" applyBorder="1" applyAlignment="1">
      <alignment horizontal="left" vertical="center"/>
    </xf>
    <xf numFmtId="0" fontId="84" fillId="6" borderId="18" xfId="0" applyFont="1" applyFill="1" applyBorder="1" applyAlignment="1">
      <alignment horizontal="center" vertical="center" wrapText="1"/>
    </xf>
    <xf numFmtId="0" fontId="70" fillId="6" borderId="1" xfId="0" applyFont="1" applyFill="1" applyBorder="1" applyAlignment="1">
      <alignment horizontal="center" vertical="center"/>
    </xf>
    <xf numFmtId="0" fontId="9" fillId="6" borderId="1" xfId="0" applyFont="1" applyFill="1" applyBorder="1" applyAlignment="1">
      <alignment horizontal="left" vertical="center"/>
    </xf>
    <xf numFmtId="0" fontId="84" fillId="6" borderId="5" xfId="0" applyFont="1" applyFill="1" applyBorder="1" applyAlignment="1">
      <alignment horizontal="center" vertical="center" wrapText="1"/>
    </xf>
    <xf numFmtId="0" fontId="58" fillId="6" borderId="1" xfId="0" applyFont="1" applyFill="1" applyBorder="1" applyAlignment="1">
      <alignment horizontal="left" vertical="center"/>
    </xf>
    <xf numFmtId="0" fontId="47" fillId="6" borderId="1" xfId="0" applyFont="1" applyFill="1" applyBorder="1" applyAlignment="1">
      <alignment horizontal="center" vertical="center" wrapText="1"/>
    </xf>
    <xf numFmtId="0" fontId="9" fillId="6" borderId="0" xfId="0" applyFont="1" applyFill="1">
      <alignment vertical="center"/>
    </xf>
    <xf numFmtId="0" fontId="15" fillId="6" borderId="20" xfId="0" applyFont="1" applyFill="1" applyBorder="1" applyAlignment="1">
      <alignment vertical="center"/>
    </xf>
    <xf numFmtId="0" fontId="20" fillId="6" borderId="4" xfId="0" applyFont="1" applyFill="1" applyBorder="1" applyAlignment="1">
      <alignment horizontal="left" vertical="center" wrapText="1"/>
    </xf>
    <xf numFmtId="0" fontId="15" fillId="6" borderId="2" xfId="0" applyFont="1" applyFill="1" applyBorder="1" applyAlignment="1">
      <alignment vertical="center"/>
    </xf>
    <xf numFmtId="0" fontId="66" fillId="6" borderId="2" xfId="0" applyFont="1" applyFill="1" applyBorder="1" applyAlignment="1">
      <alignment vertical="center"/>
    </xf>
    <xf numFmtId="0" fontId="66" fillId="6" borderId="20" xfId="0" applyFont="1" applyFill="1" applyBorder="1" applyAlignment="1">
      <alignment vertical="center"/>
    </xf>
    <xf numFmtId="0" fontId="85" fillId="6" borderId="18" xfId="6" applyFont="1" applyFill="1" applyBorder="1" applyAlignment="1">
      <alignment horizontal="center" vertical="center"/>
    </xf>
    <xf numFmtId="0" fontId="20" fillId="6" borderId="29" xfId="0" applyFont="1" applyFill="1" applyBorder="1" applyAlignment="1">
      <alignment horizontal="left" vertical="center"/>
    </xf>
    <xf numFmtId="0" fontId="67" fillId="6" borderId="2" xfId="6" applyFont="1" applyFill="1" applyBorder="1" applyAlignment="1">
      <alignment vertical="center"/>
    </xf>
    <xf numFmtId="0" fontId="9" fillId="6" borderId="21" xfId="6" applyFont="1" applyFill="1" applyBorder="1" applyAlignment="1">
      <alignment horizontal="left" vertical="center"/>
    </xf>
    <xf numFmtId="0" fontId="67" fillId="6" borderId="20" xfId="0" applyFont="1" applyFill="1" applyBorder="1" applyAlignment="1">
      <alignment vertical="center"/>
    </xf>
    <xf numFmtId="0" fontId="9" fillId="6" borderId="29" xfId="0" applyFont="1" applyFill="1" applyBorder="1" applyAlignment="1">
      <alignment horizontal="left" vertical="center"/>
    </xf>
    <xf numFmtId="0" fontId="58" fillId="6" borderId="51" xfId="0" applyFont="1" applyFill="1" applyBorder="1" applyAlignment="1">
      <alignment horizontal="left" vertical="center"/>
    </xf>
    <xf numFmtId="0" fontId="58" fillId="6" borderId="52" xfId="0" applyFont="1" applyFill="1" applyBorder="1" applyAlignment="1">
      <alignment horizontal="left" vertical="center"/>
    </xf>
    <xf numFmtId="0" fontId="58" fillId="6" borderId="59" xfId="0" applyFont="1" applyFill="1" applyBorder="1" applyAlignment="1">
      <alignment horizontal="left" vertical="center"/>
    </xf>
    <xf numFmtId="0" fontId="58" fillId="6" borderId="60" xfId="0" applyFont="1" applyFill="1" applyBorder="1" applyAlignment="1">
      <alignment horizontal="left" vertical="center" wrapText="1"/>
    </xf>
    <xf numFmtId="0" fontId="58" fillId="6" borderId="3" xfId="0" applyFont="1" applyFill="1" applyBorder="1" applyAlignment="1">
      <alignment horizontal="left" vertical="center" wrapText="1"/>
    </xf>
    <xf numFmtId="0" fontId="58" fillId="6" borderId="61" xfId="0" applyFont="1" applyFill="1" applyBorder="1" applyAlignment="1">
      <alignment horizontal="left" vertical="center" wrapText="1"/>
    </xf>
    <xf numFmtId="0" fontId="58" fillId="6" borderId="60" xfId="0" applyFont="1" applyFill="1" applyBorder="1" applyAlignment="1">
      <alignment horizontal="left" vertical="center"/>
    </xf>
    <xf numFmtId="0" fontId="57" fillId="3" borderId="60" xfId="0" applyFont="1" applyFill="1" applyBorder="1" applyAlignment="1">
      <alignment horizontal="left" vertical="center" wrapText="1"/>
    </xf>
    <xf numFmtId="0" fontId="57" fillId="3" borderId="3" xfId="0" applyFont="1" applyFill="1" applyBorder="1" applyAlignment="1">
      <alignment horizontal="left" vertical="center" wrapText="1"/>
    </xf>
    <xf numFmtId="0" fontId="57" fillId="3" borderId="61" xfId="0" applyFont="1" applyFill="1" applyBorder="1" applyAlignment="1">
      <alignment horizontal="center" vertical="center" wrapText="1"/>
    </xf>
    <xf numFmtId="0" fontId="56" fillId="0" borderId="60" xfId="0" applyFont="1" applyFill="1" applyBorder="1" applyAlignment="1">
      <alignment horizontal="left" vertical="center" wrapText="1"/>
    </xf>
    <xf numFmtId="0" fontId="56" fillId="0" borderId="3" xfId="0" applyFont="1" applyFill="1" applyBorder="1" applyAlignment="1">
      <alignment horizontal="left" vertical="center" wrapText="1"/>
    </xf>
    <xf numFmtId="0" fontId="56" fillId="0" borderId="61" xfId="0" applyFont="1" applyFill="1" applyBorder="1" applyAlignment="1">
      <alignment horizontal="left" vertical="center" wrapText="1"/>
    </xf>
    <xf numFmtId="0" fontId="56" fillId="0" borderId="30" xfId="0" applyFont="1" applyFill="1" applyBorder="1" applyAlignment="1">
      <alignment horizontal="left" vertical="center" wrapText="1"/>
    </xf>
    <xf numFmtId="0" fontId="56" fillId="0" borderId="21" xfId="0" applyFont="1" applyFill="1" applyBorder="1" applyAlignment="1">
      <alignment horizontal="left" vertical="center"/>
    </xf>
    <xf numFmtId="0" fontId="56" fillId="0" borderId="31" xfId="0" applyFont="1" applyFill="1" applyBorder="1" applyAlignment="1">
      <alignment horizontal="left" vertical="center"/>
    </xf>
    <xf numFmtId="0" fontId="56" fillId="0" borderId="21" xfId="0" applyFont="1" applyFill="1" applyBorder="1" applyAlignment="1">
      <alignment horizontal="left" vertical="center" wrapText="1"/>
    </xf>
    <xf numFmtId="0" fontId="56" fillId="0" borderId="31" xfId="0" applyFont="1" applyFill="1" applyBorder="1" applyAlignment="1">
      <alignment horizontal="left" vertical="center" wrapText="1"/>
    </xf>
    <xf numFmtId="0" fontId="56" fillId="0" borderId="54" xfId="0" applyFont="1" applyFill="1" applyBorder="1" applyAlignment="1">
      <alignment horizontal="left" vertical="center" wrapText="1"/>
    </xf>
    <xf numFmtId="0" fontId="56" fillId="0" borderId="55" xfId="0" applyFont="1" applyFill="1" applyBorder="1" applyAlignment="1">
      <alignment horizontal="left" vertical="center" wrapText="1"/>
    </xf>
    <xf numFmtId="0" fontId="56" fillId="0" borderId="62" xfId="0" applyFont="1" applyFill="1" applyBorder="1" applyAlignment="1">
      <alignment horizontal="center" vertical="center" wrapText="1"/>
    </xf>
    <xf numFmtId="0" fontId="39" fillId="0" borderId="30" xfId="0" applyFont="1" applyFill="1" applyBorder="1" applyAlignment="1">
      <alignment horizontal="left" vertical="top" wrapText="1"/>
    </xf>
    <xf numFmtId="0" fontId="39" fillId="0" borderId="21" xfId="0" applyFont="1" applyFill="1" applyBorder="1" applyAlignment="1">
      <alignment horizontal="left" vertical="top" wrapText="1"/>
    </xf>
    <xf numFmtId="0" fontId="39" fillId="0" borderId="31" xfId="0" applyFont="1" applyFill="1" applyBorder="1" applyAlignment="1">
      <alignment horizontal="left" vertical="top" wrapText="1"/>
    </xf>
    <xf numFmtId="0" fontId="39" fillId="0" borderId="30" xfId="0" applyFont="1" applyFill="1" applyBorder="1" applyAlignment="1">
      <alignment vertical="center" wrapText="1"/>
    </xf>
    <xf numFmtId="0" fontId="56" fillId="0" borderId="21" xfId="0" applyFont="1" applyFill="1" applyBorder="1" applyAlignment="1">
      <alignment vertical="center" wrapText="1"/>
    </xf>
    <xf numFmtId="0" fontId="56" fillId="0" borderId="31" xfId="0" applyFont="1" applyFill="1" applyBorder="1" applyAlignment="1">
      <alignment vertical="center" wrapText="1"/>
    </xf>
    <xf numFmtId="0" fontId="56" fillId="0" borderId="35" xfId="0" applyFont="1" applyFill="1" applyBorder="1" applyAlignment="1">
      <alignment vertical="center" wrapText="1"/>
    </xf>
    <xf numFmtId="0" fontId="56" fillId="0" borderId="0" xfId="0" applyFont="1" applyFill="1" applyAlignment="1">
      <alignment vertical="center" wrapText="1"/>
    </xf>
    <xf numFmtId="0" fontId="56" fillId="0" borderId="36" xfId="0" applyFont="1" applyFill="1" applyBorder="1" applyAlignment="1">
      <alignment vertical="center" wrapText="1"/>
    </xf>
    <xf numFmtId="0" fontId="56" fillId="0" borderId="0" xfId="0" applyFont="1" applyFill="1" applyBorder="1" applyAlignment="1">
      <alignment vertical="center" wrapText="1"/>
    </xf>
    <xf numFmtId="0" fontId="39" fillId="0" borderId="30" xfId="0" applyFont="1" applyFill="1" applyBorder="1" applyAlignment="1">
      <alignment horizontal="left" vertical="center" wrapText="1"/>
    </xf>
    <xf numFmtId="0" fontId="56" fillId="0" borderId="35" xfId="0" applyFont="1" applyFill="1" applyBorder="1" applyAlignment="1">
      <alignment horizontal="left" vertical="center" wrapText="1"/>
    </xf>
    <xf numFmtId="0" fontId="56" fillId="0" borderId="0" xfId="0" applyFont="1" applyFill="1" applyAlignment="1">
      <alignment horizontal="left" vertical="center" wrapText="1"/>
    </xf>
    <xf numFmtId="0" fontId="56" fillId="0" borderId="36" xfId="0" applyFont="1" applyFill="1" applyBorder="1" applyAlignment="1">
      <alignment horizontal="left" vertical="center" wrapText="1"/>
    </xf>
    <xf numFmtId="0" fontId="56" fillId="0" borderId="37" xfId="0" applyFont="1" applyFill="1" applyBorder="1" applyAlignment="1">
      <alignment horizontal="left" vertical="center" wrapText="1"/>
    </xf>
    <xf numFmtId="0" fontId="56" fillId="0" borderId="38" xfId="0" applyFont="1" applyFill="1" applyBorder="1" applyAlignment="1">
      <alignment horizontal="left" vertical="center" wrapText="1"/>
    </xf>
    <xf numFmtId="0" fontId="56" fillId="0" borderId="39" xfId="0" applyFont="1" applyFill="1" applyBorder="1" applyAlignment="1">
      <alignment horizontal="left" vertical="center" wrapText="1"/>
    </xf>
    <xf numFmtId="0" fontId="34" fillId="6" borderId="1" xfId="0" applyFont="1" applyFill="1" applyBorder="1" applyAlignment="1" quotePrefix="1">
      <alignment horizontal="center" vertical="center"/>
    </xf>
    <xf numFmtId="0" fontId="34" fillId="6" borderId="1" xfId="0" applyFont="1" applyFill="1" applyBorder="1" applyAlignment="1" quotePrefix="1">
      <alignment horizontal="center" vertical="center" wrapText="1"/>
    </xf>
  </cellXfs>
  <cellStyles count="9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Normal" xfId="50"/>
    <cellStyle name="Normal 115" xfId="51"/>
    <cellStyle name="Normal 40" xfId="52"/>
    <cellStyle name="Normal_HK_IEEXPT_Special" xfId="53"/>
    <cellStyle name="百分比 2" xfId="54"/>
    <cellStyle name="常规 10" xfId="55"/>
    <cellStyle name="常规 10 11" xfId="56"/>
    <cellStyle name="常规 10 2" xfId="57"/>
    <cellStyle name="常规 10 6" xfId="58"/>
    <cellStyle name="常规 11" xfId="59"/>
    <cellStyle name="常规 110 2" xfId="60"/>
    <cellStyle name="常规 124 3" xfId="61"/>
    <cellStyle name="常规 13" xfId="62"/>
    <cellStyle name="常规 133 2" xfId="63"/>
    <cellStyle name="常规 133 3" xfId="64"/>
    <cellStyle name="常规 137" xfId="65"/>
    <cellStyle name="常规 148" xfId="66"/>
    <cellStyle name="常规 18 2 2" xfId="67"/>
    <cellStyle name="常规 18 2 2 3" xfId="68"/>
    <cellStyle name="常规 2" xfId="69"/>
    <cellStyle name="常规 2 10 4" xfId="70"/>
    <cellStyle name="常规 2 2" xfId="71"/>
    <cellStyle name="常规 2 2 3_buylogic快递邮寄优惠价2013-5-17起最新 2" xfId="72"/>
    <cellStyle name="常规 2_2 FBA-发票和装箱单  05-24" xfId="73"/>
    <cellStyle name="常规 3" xfId="74"/>
    <cellStyle name="常规 35" xfId="75"/>
    <cellStyle name="常规 4" xfId="76"/>
    <cellStyle name="常规 5" xfId="77"/>
    <cellStyle name="常规 6" xfId="78"/>
    <cellStyle name="常规 6 2" xfId="79"/>
    <cellStyle name="常规 7" xfId="80"/>
    <cellStyle name="常规 8" xfId="81"/>
    <cellStyle name="常规 9" xfId="82"/>
    <cellStyle name="常规_95账号发票样板" xfId="83"/>
    <cellStyle name="常规_RPX同行价_1_心亚专线-美国晶达丰2月16日09：00执行" xfId="84"/>
    <cellStyle name="常规_Sheet1 4" xfId="85"/>
    <cellStyle name="常规_报关单070523" xfId="86"/>
    <cellStyle name="常规_发票样板_德展同行V价140521" xfId="87"/>
    <cellStyle name="常规_进美0825  1232" xfId="88"/>
    <cellStyle name="超链接 2" xfId="89"/>
    <cellStyle name="常规 129" xfId="90"/>
  </cellStyles>
  <tableStyles count="0" defaultTableStyle="TableStyleMedium2" defaultPivotStyle="PivotStyleLight16"/>
  <colors>
    <mruColors>
      <color rgb="00E2AA00"/>
      <color rgb="00D49B00"/>
      <color rgb="00DEA200"/>
      <color rgb="00F0B500"/>
      <color rgb="00BB6A51"/>
      <color rgb="000677EA"/>
      <color rgb="000000FF"/>
      <color rgb="002BD1D3"/>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sheetMetadata" Target="metadata.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externalLink" Target="externalLinks/externalLink3.xml"/><Relationship Id="rId30" Type="http://schemas.openxmlformats.org/officeDocument/2006/relationships/externalLink" Target="externalLinks/externalLink2.xml"/><Relationship Id="rId3" Type="http://schemas.openxmlformats.org/officeDocument/2006/relationships/worksheet" Target="worksheets/sheet3.xml"/><Relationship Id="rId29" Type="http://schemas.openxmlformats.org/officeDocument/2006/relationships/externalLink" Target="externalLinks/externalLink1.xml"/><Relationship Id="rId28" Type="http://schemas.openxmlformats.org/officeDocument/2006/relationships/customXml" Target="../customXml/item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9525</xdr:rowOff>
    </xdr:from>
    <xdr:to>
      <xdr:col>2</xdr:col>
      <xdr:colOff>1076325</xdr:colOff>
      <xdr:row>1</xdr:row>
      <xdr:rowOff>340995</xdr:rowOff>
    </xdr:to>
    <xdr:pic>
      <xdr:nvPicPr>
        <xdr:cNvPr id="2" name="图片 30" descr="8527c058a51a2f5f3a10f63f3e447ad"/>
        <xdr:cNvPicPr>
          <a:picLocks noChangeAspect="1"/>
        </xdr:cNvPicPr>
      </xdr:nvPicPr>
      <xdr:blipFill>
        <a:blip r:embed="rId1"/>
        <a:stretch>
          <a:fillRect/>
        </a:stretch>
      </xdr:blipFill>
      <xdr:spPr>
        <a:xfrm>
          <a:off x="800735" y="9525"/>
          <a:ext cx="2267585" cy="94107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47625</xdr:colOff>
      <xdr:row>0</xdr:row>
      <xdr:rowOff>9525</xdr:rowOff>
    </xdr:from>
    <xdr:to>
      <xdr:col>2</xdr:col>
      <xdr:colOff>270510</xdr:colOff>
      <xdr:row>0</xdr:row>
      <xdr:rowOff>968375</xdr:rowOff>
    </xdr:to>
    <xdr:pic>
      <xdr:nvPicPr>
        <xdr:cNvPr id="2" name="图片 30" descr="8527c058a51a2f5f3a10f63f3e447ad"/>
        <xdr:cNvPicPr>
          <a:picLocks noChangeAspect="1"/>
        </xdr:cNvPicPr>
      </xdr:nvPicPr>
      <xdr:blipFill>
        <a:blip r:embed="rId1"/>
        <a:stretch>
          <a:fillRect/>
        </a:stretch>
      </xdr:blipFill>
      <xdr:spPr>
        <a:xfrm>
          <a:off x="733425" y="9525"/>
          <a:ext cx="2497455" cy="958850"/>
        </a:xfrm>
        <a:prstGeom prst="rect">
          <a:avLst/>
        </a:prstGeom>
        <a:noFill/>
        <a:ln w="9525">
          <a:noFill/>
        </a:ln>
      </xdr:spPr>
    </xdr:pic>
    <xdr:clientData/>
  </xdr:twoCellAnchor>
  <xdr:twoCellAnchor editAs="oneCell">
    <xdr:from>
      <xdr:col>1</xdr:col>
      <xdr:colOff>47625</xdr:colOff>
      <xdr:row>0</xdr:row>
      <xdr:rowOff>9525</xdr:rowOff>
    </xdr:from>
    <xdr:to>
      <xdr:col>2</xdr:col>
      <xdr:colOff>270510</xdr:colOff>
      <xdr:row>0</xdr:row>
      <xdr:rowOff>968375</xdr:rowOff>
    </xdr:to>
    <xdr:pic>
      <xdr:nvPicPr>
        <xdr:cNvPr id="4" name="图片 30" descr="8527c058a51a2f5f3a10f63f3e447ad"/>
        <xdr:cNvPicPr>
          <a:picLocks noChangeAspect="1"/>
        </xdr:cNvPicPr>
      </xdr:nvPicPr>
      <xdr:blipFill>
        <a:blip r:embed="rId1"/>
        <a:stretch>
          <a:fillRect/>
        </a:stretch>
      </xdr:blipFill>
      <xdr:spPr>
        <a:xfrm>
          <a:off x="733425" y="9525"/>
          <a:ext cx="2497455" cy="958850"/>
        </a:xfrm>
        <a:prstGeom prst="rect">
          <a:avLst/>
        </a:prstGeom>
        <a:noFill/>
        <a:ln w="9525">
          <a:noFill/>
        </a:ln>
      </xdr:spPr>
    </xdr:pic>
    <xdr:clientData/>
  </xdr:twoCellAnchor>
  <xdr:twoCellAnchor editAs="oneCell">
    <xdr:from>
      <xdr:col>1</xdr:col>
      <xdr:colOff>47625</xdr:colOff>
      <xdr:row>0</xdr:row>
      <xdr:rowOff>9525</xdr:rowOff>
    </xdr:from>
    <xdr:to>
      <xdr:col>2</xdr:col>
      <xdr:colOff>270510</xdr:colOff>
      <xdr:row>0</xdr:row>
      <xdr:rowOff>968375</xdr:rowOff>
    </xdr:to>
    <xdr:pic>
      <xdr:nvPicPr>
        <xdr:cNvPr id="5" name="图片 30" descr="8527c058a51a2f5f3a10f63f3e447ad"/>
        <xdr:cNvPicPr>
          <a:picLocks noChangeAspect="1"/>
        </xdr:cNvPicPr>
      </xdr:nvPicPr>
      <xdr:blipFill>
        <a:blip r:embed="rId1"/>
        <a:stretch>
          <a:fillRect/>
        </a:stretch>
      </xdr:blipFill>
      <xdr:spPr>
        <a:xfrm>
          <a:off x="733425" y="9525"/>
          <a:ext cx="2497455" cy="958850"/>
        </a:xfrm>
        <a:prstGeom prst="rect">
          <a:avLst/>
        </a:prstGeom>
        <a:noFill/>
        <a:ln w="9525">
          <a:noFill/>
        </a:ln>
      </xdr:spPr>
    </xdr:pic>
    <xdr:clientData/>
  </xdr:twoCellAnchor>
  <xdr:twoCellAnchor editAs="oneCell">
    <xdr:from>
      <xdr:col>1</xdr:col>
      <xdr:colOff>47625</xdr:colOff>
      <xdr:row>0</xdr:row>
      <xdr:rowOff>9525</xdr:rowOff>
    </xdr:from>
    <xdr:to>
      <xdr:col>2</xdr:col>
      <xdr:colOff>270510</xdr:colOff>
      <xdr:row>0</xdr:row>
      <xdr:rowOff>968375</xdr:rowOff>
    </xdr:to>
    <xdr:pic>
      <xdr:nvPicPr>
        <xdr:cNvPr id="6" name="图片 30" descr="8527c058a51a2f5f3a10f63f3e447ad"/>
        <xdr:cNvPicPr>
          <a:picLocks noChangeAspect="1"/>
        </xdr:cNvPicPr>
      </xdr:nvPicPr>
      <xdr:blipFill>
        <a:blip r:embed="rId1"/>
        <a:stretch>
          <a:fillRect/>
        </a:stretch>
      </xdr:blipFill>
      <xdr:spPr>
        <a:xfrm>
          <a:off x="733425" y="9525"/>
          <a:ext cx="2497455" cy="95885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2505710</xdr:colOff>
      <xdr:row>0</xdr:row>
      <xdr:rowOff>1270</xdr:rowOff>
    </xdr:from>
    <xdr:to>
      <xdr:col>3</xdr:col>
      <xdr:colOff>0</xdr:colOff>
      <xdr:row>3</xdr:row>
      <xdr:rowOff>227330</xdr:rowOff>
    </xdr:to>
    <xdr:pic>
      <xdr:nvPicPr>
        <xdr:cNvPr id="2" name="图片 1"/>
        <xdr:cNvPicPr>
          <a:picLocks noChangeAspect="1"/>
        </xdr:cNvPicPr>
      </xdr:nvPicPr>
      <xdr:blipFill>
        <a:blip r:embed="rId1"/>
        <a:stretch>
          <a:fillRect/>
        </a:stretch>
      </xdr:blipFill>
      <xdr:spPr>
        <a:xfrm>
          <a:off x="2905760" y="1270"/>
          <a:ext cx="1409065" cy="1254760"/>
        </a:xfrm>
        <a:prstGeom prst="rect">
          <a:avLst/>
        </a:prstGeom>
        <a:noFill/>
        <a:ln w="9525">
          <a:noFill/>
        </a:ln>
      </xdr:spPr>
    </xdr:pic>
    <xdr:clientData/>
  </xdr:twoCellAnchor>
  <xdr:twoCellAnchor editAs="oneCell">
    <xdr:from>
      <xdr:col>10</xdr:col>
      <xdr:colOff>57150</xdr:colOff>
      <xdr:row>16</xdr:row>
      <xdr:rowOff>114300</xdr:rowOff>
    </xdr:from>
    <xdr:to>
      <xdr:col>13</xdr:col>
      <xdr:colOff>368935</xdr:colOff>
      <xdr:row>18</xdr:row>
      <xdr:rowOff>464820</xdr:rowOff>
    </xdr:to>
    <xdr:pic>
      <xdr:nvPicPr>
        <xdr:cNvPr id="3" name="图片 2"/>
        <xdr:cNvPicPr>
          <a:picLocks noChangeAspect="1"/>
        </xdr:cNvPicPr>
      </xdr:nvPicPr>
      <xdr:blipFill>
        <a:blip r:embed="rId2"/>
        <a:stretch>
          <a:fillRect/>
        </a:stretch>
      </xdr:blipFill>
      <xdr:spPr>
        <a:xfrm>
          <a:off x="13754735" y="11811000"/>
          <a:ext cx="2548890" cy="187452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2162810</xdr:colOff>
      <xdr:row>0</xdr:row>
      <xdr:rowOff>635</xdr:rowOff>
    </xdr:from>
    <xdr:to>
      <xdr:col>2</xdr:col>
      <xdr:colOff>586740</xdr:colOff>
      <xdr:row>2</xdr:row>
      <xdr:rowOff>798195</xdr:rowOff>
    </xdr:to>
    <xdr:pic>
      <xdr:nvPicPr>
        <xdr:cNvPr id="2" name="图片 1"/>
        <xdr:cNvPicPr>
          <a:picLocks noChangeAspect="1"/>
        </xdr:cNvPicPr>
      </xdr:nvPicPr>
      <xdr:blipFill>
        <a:blip r:embed="rId1"/>
        <a:stretch>
          <a:fillRect/>
        </a:stretch>
      </xdr:blipFill>
      <xdr:spPr>
        <a:xfrm>
          <a:off x="3296285" y="635"/>
          <a:ext cx="1338580" cy="1254760"/>
        </a:xfrm>
        <a:prstGeom prst="rect">
          <a:avLst/>
        </a:prstGeom>
        <a:noFill/>
        <a:ln w="9525">
          <a:noFill/>
        </a:ln>
      </xdr:spPr>
    </xdr:pic>
    <xdr:clientData/>
  </xdr:twoCellAnchor>
  <xdr:twoCellAnchor editAs="oneCell">
    <xdr:from>
      <xdr:col>10</xdr:col>
      <xdr:colOff>114300</xdr:colOff>
      <xdr:row>15</xdr:row>
      <xdr:rowOff>809625</xdr:rowOff>
    </xdr:from>
    <xdr:to>
      <xdr:col>13</xdr:col>
      <xdr:colOff>426085</xdr:colOff>
      <xdr:row>18</xdr:row>
      <xdr:rowOff>55245</xdr:rowOff>
    </xdr:to>
    <xdr:pic>
      <xdr:nvPicPr>
        <xdr:cNvPr id="3" name="图片 2"/>
        <xdr:cNvPicPr>
          <a:picLocks noChangeAspect="1"/>
        </xdr:cNvPicPr>
      </xdr:nvPicPr>
      <xdr:blipFill>
        <a:blip r:embed="rId2"/>
        <a:stretch>
          <a:fillRect/>
        </a:stretch>
      </xdr:blipFill>
      <xdr:spPr>
        <a:xfrm>
          <a:off x="13563600" y="12134850"/>
          <a:ext cx="2548890" cy="187452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114935</xdr:colOff>
      <xdr:row>3</xdr:row>
      <xdr:rowOff>46990</xdr:rowOff>
    </xdr:from>
    <xdr:to>
      <xdr:col>8</xdr:col>
      <xdr:colOff>19050</xdr:colOff>
      <xdr:row>5</xdr:row>
      <xdr:rowOff>371475</xdr:rowOff>
    </xdr:to>
    <xdr:pic>
      <xdr:nvPicPr>
        <xdr:cNvPr id="2" name="图片 2"/>
        <xdr:cNvPicPr>
          <a:picLocks noChangeAspect="1"/>
        </xdr:cNvPicPr>
      </xdr:nvPicPr>
      <xdr:blipFill>
        <a:blip r:embed="rId1"/>
        <a:stretch>
          <a:fillRect/>
        </a:stretch>
      </xdr:blipFill>
      <xdr:spPr>
        <a:xfrm>
          <a:off x="5963285" y="997585"/>
          <a:ext cx="2828925" cy="958215"/>
        </a:xfrm>
        <a:prstGeom prst="rect">
          <a:avLst/>
        </a:prstGeom>
        <a:noFill/>
        <a:ln w="9525">
          <a:noFill/>
        </a:ln>
      </xdr:spPr>
    </xdr:pic>
    <xdr:clientData/>
  </xdr:twoCellAnchor>
  <xdr:twoCellAnchor editAs="oneCell">
    <xdr:from>
      <xdr:col>4</xdr:col>
      <xdr:colOff>85725</xdr:colOff>
      <xdr:row>0</xdr:row>
      <xdr:rowOff>0</xdr:rowOff>
    </xdr:from>
    <xdr:to>
      <xdr:col>8</xdr:col>
      <xdr:colOff>228600</xdr:colOff>
      <xdr:row>3</xdr:row>
      <xdr:rowOff>0</xdr:rowOff>
    </xdr:to>
    <xdr:pic>
      <xdr:nvPicPr>
        <xdr:cNvPr id="3" name="图片 3"/>
        <xdr:cNvPicPr>
          <a:picLocks noChangeAspect="1"/>
        </xdr:cNvPicPr>
      </xdr:nvPicPr>
      <xdr:blipFill>
        <a:blip r:embed="rId2"/>
        <a:stretch>
          <a:fillRect/>
        </a:stretch>
      </xdr:blipFill>
      <xdr:spPr>
        <a:xfrm>
          <a:off x="5000625" y="0"/>
          <a:ext cx="4001135" cy="950595"/>
        </a:xfrm>
        <a:prstGeom prst="rect">
          <a:avLst/>
        </a:prstGeom>
        <a:noFill/>
        <a:ln w="9525">
          <a:noFill/>
        </a:ln>
      </xdr:spPr>
    </xdr:pic>
    <xdr:clientData/>
  </xdr:twoCellAnchor>
  <xdr:twoCellAnchor editAs="oneCell">
    <xdr:from>
      <xdr:col>4</xdr:col>
      <xdr:colOff>19050</xdr:colOff>
      <xdr:row>6</xdr:row>
      <xdr:rowOff>28575</xdr:rowOff>
    </xdr:from>
    <xdr:to>
      <xdr:col>7</xdr:col>
      <xdr:colOff>438150</xdr:colOff>
      <xdr:row>12</xdr:row>
      <xdr:rowOff>76835</xdr:rowOff>
    </xdr:to>
    <xdr:pic>
      <xdr:nvPicPr>
        <xdr:cNvPr id="4" name="图片 1"/>
        <xdr:cNvPicPr>
          <a:picLocks noChangeAspect="1"/>
        </xdr:cNvPicPr>
      </xdr:nvPicPr>
      <xdr:blipFill>
        <a:blip r:embed="rId3"/>
        <a:stretch>
          <a:fillRect/>
        </a:stretch>
      </xdr:blipFill>
      <xdr:spPr>
        <a:xfrm>
          <a:off x="4933950" y="2211070"/>
          <a:ext cx="3248025" cy="1949450"/>
        </a:xfrm>
        <a:prstGeom prst="rect">
          <a:avLst/>
        </a:prstGeom>
        <a:noFill/>
        <a:ln w="9525">
          <a:noFill/>
        </a:ln>
      </xdr:spPr>
    </xdr:pic>
    <xdr:clientData/>
  </xdr:twoCellAnchor>
  <xdr:twoCellAnchor editAs="oneCell">
    <xdr:from>
      <xdr:col>16</xdr:col>
      <xdr:colOff>161290</xdr:colOff>
      <xdr:row>18</xdr:row>
      <xdr:rowOff>46990</xdr:rowOff>
    </xdr:from>
    <xdr:to>
      <xdr:col>16</xdr:col>
      <xdr:colOff>762000</xdr:colOff>
      <xdr:row>18</xdr:row>
      <xdr:rowOff>273685</xdr:rowOff>
    </xdr:to>
    <xdr:pic>
      <xdr:nvPicPr>
        <xdr:cNvPr id="5" name="图片 1"/>
        <xdr:cNvPicPr>
          <a:picLocks noChangeAspect="1"/>
        </xdr:cNvPicPr>
      </xdr:nvPicPr>
      <xdr:blipFill>
        <a:blip r:embed="rId4"/>
        <a:stretch>
          <a:fillRect/>
        </a:stretch>
      </xdr:blipFill>
      <xdr:spPr>
        <a:xfrm>
          <a:off x="15792450" y="6160135"/>
          <a:ext cx="600710" cy="226695"/>
        </a:xfrm>
        <a:prstGeom prst="rect">
          <a:avLst/>
        </a:prstGeom>
        <a:noFill/>
        <a:ln w="9525">
          <a:noFill/>
        </a:ln>
      </xdr:spPr>
    </xdr:pic>
    <xdr:clientData/>
  </xdr:twoCellAnchor>
  <xdr:twoCellAnchor editAs="oneCell">
    <xdr:from>
      <xdr:col>16</xdr:col>
      <xdr:colOff>123825</xdr:colOff>
      <xdr:row>19</xdr:row>
      <xdr:rowOff>50800</xdr:rowOff>
    </xdr:from>
    <xdr:to>
      <xdr:col>16</xdr:col>
      <xdr:colOff>838200</xdr:colOff>
      <xdr:row>19</xdr:row>
      <xdr:rowOff>273685</xdr:rowOff>
    </xdr:to>
    <xdr:pic>
      <xdr:nvPicPr>
        <xdr:cNvPr id="6" name="图片 2"/>
        <xdr:cNvPicPr>
          <a:picLocks noChangeAspect="1"/>
        </xdr:cNvPicPr>
      </xdr:nvPicPr>
      <xdr:blipFill>
        <a:blip r:embed="rId5"/>
        <a:stretch>
          <a:fillRect/>
        </a:stretch>
      </xdr:blipFill>
      <xdr:spPr>
        <a:xfrm>
          <a:off x="15754985" y="6480810"/>
          <a:ext cx="714375" cy="22288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26700;&#38754;&#24037;&#20316;&#36164;&#26009;\&#22825;&#25299;&#19979;&#21333;&#27169;&#26495;\&#22825;&#25299;&#19979;&#21333;&#27169;&#26495;-&#21516;&#348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21457;&#31080;&#27169;&#26495;&#12289;&#20132;&#25509;&#21333;&#12289;&#19979;&#21333;&#27493;&#39588;\&#21333;&#31080;-&#21830;&#36895;&#33322;&#32654;&#22269;&#21457;&#31080;&#27169;&#29256;2025.5.13&#26356;&#2603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eo/Desktop/&#25104;&#26412;&#20215;&#26684;&#26356;&#26032;/Mac/Users/leo/Desktop/&#20975;&#29734;&#39033;&#30446;/&#28023;&#27966;/RecoveredExternalLink3"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模板"/>
      <sheetName val="亚马逊地址库"/>
    </sheetNames>
    <sheetDataSet>
      <sheetData sheetId="0"/>
      <sheetData sheetId="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模板"/>
      <sheetName val="美国FBA地址库"/>
      <sheetName val="下单服务渠道名称"/>
    </sheetNames>
    <sheetDataSet>
      <sheetData sheetId="0"/>
      <sheetData sheetId="1">
        <row r="1">
          <cell r="A1" t="str">
            <v>地址简称*</v>
          </cell>
          <cell r="B1" t="str">
            <v>地址编码*</v>
          </cell>
          <cell r="C1" t="str">
            <v>映射代码</v>
          </cell>
          <cell r="D1" t="str">
            <v>FBA仓库代码</v>
          </cell>
          <cell r="E1" t="str">
            <v>联系人*</v>
          </cell>
          <cell r="F1" t="str">
            <v>公司名</v>
          </cell>
          <cell r="G1" t="str">
            <v>联系电话</v>
          </cell>
          <cell r="H1" t="str">
            <v>联系手机</v>
          </cell>
          <cell r="I1" t="str">
            <v>地址一*</v>
          </cell>
          <cell r="J1" t="str">
            <v>地址二</v>
          </cell>
          <cell r="K1" t="str">
            <v>地址三</v>
          </cell>
          <cell r="L1" t="str">
            <v>城市*</v>
          </cell>
          <cell r="M1" t="str">
            <v>省/洲</v>
          </cell>
          <cell r="N1" t="str">
            <v>国家*</v>
          </cell>
          <cell r="O1" t="str">
            <v>邮编*</v>
          </cell>
        </row>
        <row r="2">
          <cell r="A2" t="str">
            <v>RMN3-FEDEX</v>
          </cell>
          <cell r="B2" t="str">
            <v>RMN3-FEDEX</v>
          </cell>
        </row>
        <row r="2">
          <cell r="D2" t="str">
            <v>RMN3-FEDEX</v>
          </cell>
          <cell r="E2" t="str">
            <v>RMN3</v>
          </cell>
          <cell r="F2" t="str">
            <v>AMAZON</v>
          </cell>
          <cell r="G2" t="str">
            <v>0000000000</v>
          </cell>
        </row>
        <row r="2">
          <cell r="I2" t="str">
            <v>220 Centreport Parkway</v>
          </cell>
        </row>
        <row r="2">
          <cell r="L2" t="str">
            <v>FREDERICKSBURG</v>
          </cell>
          <cell r="M2" t="str">
            <v>VA</v>
          </cell>
          <cell r="N2" t="str">
            <v>US</v>
          </cell>
          <cell r="O2" t="str">
            <v>22406</v>
          </cell>
        </row>
        <row r="3">
          <cell r="A3" t="str">
            <v>RMN3-UPS</v>
          </cell>
          <cell r="B3" t="str">
            <v>RMN3-UPS</v>
          </cell>
        </row>
        <row r="3">
          <cell r="D3" t="str">
            <v>RMN3-UPS</v>
          </cell>
          <cell r="E3" t="str">
            <v>RMN3</v>
          </cell>
          <cell r="F3" t="str">
            <v>AMAZON</v>
          </cell>
          <cell r="G3" t="str">
            <v>0000000000</v>
          </cell>
        </row>
        <row r="3">
          <cell r="I3" t="str">
            <v>2112 N Union Street</v>
          </cell>
        </row>
        <row r="3">
          <cell r="L3" t="str">
            <v>Middletown</v>
          </cell>
          <cell r="M3" t="str">
            <v>PA</v>
          </cell>
          <cell r="N3" t="str">
            <v>US</v>
          </cell>
          <cell r="O3" t="str">
            <v>17057</v>
          </cell>
        </row>
        <row r="4">
          <cell r="A4" t="str">
            <v>BNA6-FEDEX</v>
          </cell>
          <cell r="B4" t="str">
            <v>BNA6-FEDEX</v>
          </cell>
        </row>
        <row r="4">
          <cell r="D4" t="str">
            <v>BNA6-FEDEX</v>
          </cell>
          <cell r="E4" t="str">
            <v>BNA6</v>
          </cell>
          <cell r="F4" t="str">
            <v>AMAZON</v>
          </cell>
          <cell r="G4" t="str">
            <v>0000000000</v>
          </cell>
        </row>
        <row r="4">
          <cell r="I4" t="str">
            <v>3875 Guthrie Hwy</v>
          </cell>
        </row>
        <row r="4">
          <cell r="L4" t="str">
            <v>Clarksville</v>
          </cell>
          <cell r="M4" t="str">
            <v>TN</v>
          </cell>
          <cell r="N4" t="str">
            <v>US</v>
          </cell>
          <cell r="O4" t="str">
            <v>37040</v>
          </cell>
        </row>
        <row r="5">
          <cell r="A5" t="str">
            <v>LAN2-FEDEX</v>
          </cell>
          <cell r="B5" t="str">
            <v>LAN2-FEDEX</v>
          </cell>
        </row>
        <row r="5">
          <cell r="D5" t="str">
            <v>LAN2-FEDEX</v>
          </cell>
          <cell r="E5" t="str">
            <v>LAN2</v>
          </cell>
          <cell r="F5" t="str">
            <v>Amazon</v>
          </cell>
          <cell r="G5" t="str">
            <v>0000000000</v>
          </cell>
        </row>
        <row r="5">
          <cell r="I5" t="str">
            <v>6500 W Mt Hope Hwy</v>
          </cell>
        </row>
        <row r="5">
          <cell r="L5" t="str">
            <v>LANSING</v>
          </cell>
          <cell r="M5" t="str">
            <v>MI</v>
          </cell>
          <cell r="N5" t="str">
            <v>US</v>
          </cell>
          <cell r="O5" t="str">
            <v>48917</v>
          </cell>
        </row>
        <row r="6">
          <cell r="A6" t="str">
            <v>LAN2-UPS</v>
          </cell>
          <cell r="B6" t="str">
            <v>LAN2-UPS</v>
          </cell>
        </row>
        <row r="6">
          <cell r="D6" t="str">
            <v>LAN2-UPS</v>
          </cell>
          <cell r="E6" t="str">
            <v>LAN2</v>
          </cell>
          <cell r="F6" t="str">
            <v>AMAZON</v>
          </cell>
          <cell r="G6" t="str">
            <v>0000000000</v>
          </cell>
        </row>
        <row r="6">
          <cell r="I6" t="str">
            <v>5801 Clyde Park Ave SW</v>
          </cell>
        </row>
        <row r="6">
          <cell r="L6" t="str">
            <v>Wyoming</v>
          </cell>
          <cell r="M6" t="str">
            <v>MI</v>
          </cell>
          <cell r="N6" t="str">
            <v>US</v>
          </cell>
          <cell r="O6" t="str">
            <v>49509</v>
          </cell>
        </row>
        <row r="7">
          <cell r="A7" t="str">
            <v>BNA6-UPS</v>
          </cell>
          <cell r="B7" t="str">
            <v>BNA6-UPS</v>
          </cell>
        </row>
        <row r="7">
          <cell r="D7" t="str">
            <v>BNA6-UPS</v>
          </cell>
          <cell r="E7" t="str">
            <v>BNA6</v>
          </cell>
          <cell r="F7" t="str">
            <v>AMAZON</v>
          </cell>
          <cell r="G7" t="str">
            <v>0000000000</v>
          </cell>
        </row>
        <row r="7">
          <cell r="I7" t="str">
            <v>3207 Whites Creek Pike</v>
          </cell>
        </row>
        <row r="7">
          <cell r="L7" t="str">
            <v>Nashville</v>
          </cell>
          <cell r="M7" t="str">
            <v>TN</v>
          </cell>
          <cell r="N7" t="str">
            <v>US</v>
          </cell>
          <cell r="O7" t="str">
            <v>37207</v>
          </cell>
        </row>
        <row r="8">
          <cell r="A8" t="str">
            <v>SCK1</v>
          </cell>
          <cell r="B8" t="str">
            <v>SCK1</v>
          </cell>
        </row>
        <row r="8">
          <cell r="D8" t="str">
            <v>SCK1</v>
          </cell>
          <cell r="E8" t="str">
            <v>SCK1</v>
          </cell>
          <cell r="F8" t="str">
            <v>AMAZON</v>
          </cell>
          <cell r="G8" t="str">
            <v>0000000000</v>
          </cell>
        </row>
        <row r="8">
          <cell r="I8" t="str">
            <v>4532 NEWCASTLE RD</v>
          </cell>
        </row>
        <row r="8">
          <cell r="L8" t="str">
            <v>STOCKTON</v>
          </cell>
          <cell r="M8" t="str">
            <v>CA</v>
          </cell>
          <cell r="N8" t="str">
            <v>US</v>
          </cell>
          <cell r="O8" t="str">
            <v>95215</v>
          </cell>
        </row>
        <row r="9">
          <cell r="A9" t="str">
            <v>GYR2</v>
          </cell>
          <cell r="B9" t="str">
            <v>GYR2</v>
          </cell>
        </row>
        <row r="9">
          <cell r="D9" t="str">
            <v>GYR2</v>
          </cell>
          <cell r="E9" t="str">
            <v>GYR2</v>
          </cell>
          <cell r="F9" t="str">
            <v>AMAZON</v>
          </cell>
          <cell r="G9" t="str">
            <v>0000000000</v>
          </cell>
        </row>
        <row r="9">
          <cell r="I9" t="str">
            <v>17341 W MINNEZONA AVE</v>
          </cell>
        </row>
        <row r="9">
          <cell r="L9" t="str">
            <v>GOODYEAR</v>
          </cell>
          <cell r="M9" t="str">
            <v>AZ</v>
          </cell>
          <cell r="N9" t="str">
            <v>US</v>
          </cell>
          <cell r="O9" t="str">
            <v>85395</v>
          </cell>
        </row>
        <row r="10">
          <cell r="A10" t="str">
            <v>GYR3</v>
          </cell>
          <cell r="B10" t="str">
            <v>GYR3</v>
          </cell>
        </row>
        <row r="10">
          <cell r="D10" t="str">
            <v>GYR3</v>
          </cell>
          <cell r="E10" t="str">
            <v>GYR3</v>
          </cell>
          <cell r="F10" t="str">
            <v>AMAZON</v>
          </cell>
          <cell r="G10" t="str">
            <v>0000000000</v>
          </cell>
        </row>
        <row r="10">
          <cell r="I10" t="str">
            <v>8181 W ROOSEVELT ST</v>
          </cell>
        </row>
        <row r="10">
          <cell r="L10" t="str">
            <v>PHOENIX</v>
          </cell>
          <cell r="M10" t="str">
            <v>AZ</v>
          </cell>
          <cell r="N10" t="str">
            <v>US</v>
          </cell>
          <cell r="O10" t="str">
            <v>85043</v>
          </cell>
        </row>
        <row r="11">
          <cell r="A11" t="str">
            <v>LAS1</v>
          </cell>
          <cell r="B11" t="str">
            <v>LAS1</v>
          </cell>
        </row>
        <row r="11">
          <cell r="D11" t="str">
            <v>LAS1</v>
          </cell>
          <cell r="E11" t="str">
            <v>LAS1</v>
          </cell>
          <cell r="F11" t="str">
            <v>AMAZON</v>
          </cell>
          <cell r="G11" t="str">
            <v>0000000000</v>
          </cell>
        </row>
        <row r="11">
          <cell r="I11" t="str">
            <v>12300 Bermuda Road</v>
          </cell>
        </row>
        <row r="11">
          <cell r="L11" t="str">
            <v>HENDERSON</v>
          </cell>
          <cell r="M11" t="str">
            <v>NV</v>
          </cell>
          <cell r="N11" t="str">
            <v>US</v>
          </cell>
          <cell r="O11" t="str">
            <v>89044</v>
          </cell>
        </row>
        <row r="12">
          <cell r="A12" t="str">
            <v>LAX9</v>
          </cell>
          <cell r="B12" t="str">
            <v>LAX9</v>
          </cell>
        </row>
        <row r="12">
          <cell r="D12" t="str">
            <v>LAX9</v>
          </cell>
          <cell r="E12" t="str">
            <v>LAX9</v>
          </cell>
          <cell r="F12" t="str">
            <v>AMAZON</v>
          </cell>
          <cell r="G12" t="str">
            <v>0000000000</v>
          </cell>
        </row>
        <row r="12">
          <cell r="I12" t="str">
            <v>11263 Oleander Ave</v>
          </cell>
        </row>
        <row r="12">
          <cell r="L12" t="str">
            <v>FONTANA</v>
          </cell>
          <cell r="M12" t="str">
            <v>CA</v>
          </cell>
          <cell r="N12" t="str">
            <v>US</v>
          </cell>
          <cell r="O12" t="str">
            <v>92337</v>
          </cell>
        </row>
        <row r="13">
          <cell r="A13" t="str">
            <v>LGB8</v>
          </cell>
          <cell r="B13" t="str">
            <v>LGB8</v>
          </cell>
        </row>
        <row r="13">
          <cell r="D13" t="str">
            <v>LGB8</v>
          </cell>
          <cell r="E13" t="str">
            <v>LGB8</v>
          </cell>
          <cell r="F13" t="str">
            <v>AMAZON</v>
          </cell>
          <cell r="G13" t="str">
            <v>0000000000</v>
          </cell>
        </row>
        <row r="13">
          <cell r="I13" t="str">
            <v>1568 N Linden Ave</v>
          </cell>
        </row>
        <row r="13">
          <cell r="L13" t="str">
            <v>Rialto</v>
          </cell>
          <cell r="M13" t="str">
            <v>CA</v>
          </cell>
          <cell r="N13" t="str">
            <v>US</v>
          </cell>
          <cell r="O13" t="str">
            <v>92376</v>
          </cell>
        </row>
        <row r="14">
          <cell r="A14" t="str">
            <v>ONT8</v>
          </cell>
          <cell r="B14" t="str">
            <v>ONT8</v>
          </cell>
        </row>
        <row r="14">
          <cell r="D14" t="str">
            <v>ONT8</v>
          </cell>
          <cell r="E14" t="str">
            <v>ONT8</v>
          </cell>
          <cell r="F14" t="str">
            <v>AMAZON</v>
          </cell>
          <cell r="G14" t="str">
            <v>0000000000</v>
          </cell>
        </row>
        <row r="14">
          <cell r="I14" t="str">
            <v>24300 Nandina Ave</v>
          </cell>
        </row>
        <row r="14">
          <cell r="L14" t="str">
            <v>Moreno Valley</v>
          </cell>
          <cell r="M14" t="str">
            <v>CA</v>
          </cell>
          <cell r="N14" t="str">
            <v>US</v>
          </cell>
          <cell r="O14" t="str">
            <v>92551</v>
          </cell>
        </row>
        <row r="15">
          <cell r="A15" t="str">
            <v>SBD1</v>
          </cell>
          <cell r="B15" t="str">
            <v>SBD1</v>
          </cell>
        </row>
        <row r="15">
          <cell r="D15" t="str">
            <v>SBD1</v>
          </cell>
          <cell r="E15" t="str">
            <v>SBD1</v>
          </cell>
          <cell r="F15" t="str">
            <v>AMAZON</v>
          </cell>
          <cell r="G15" t="str">
            <v>0000000000</v>
          </cell>
        </row>
        <row r="15">
          <cell r="I15" t="str">
            <v>3388 S Cactus Ave</v>
          </cell>
        </row>
        <row r="15">
          <cell r="L15" t="str">
            <v>BLOOMINGTON</v>
          </cell>
          <cell r="M15" t="str">
            <v>CA</v>
          </cell>
          <cell r="N15" t="str">
            <v>US</v>
          </cell>
          <cell r="O15" t="str">
            <v>92316</v>
          </cell>
        </row>
        <row r="16">
          <cell r="A16" t="str">
            <v>SMF3</v>
          </cell>
          <cell r="B16" t="str">
            <v>SMF3</v>
          </cell>
        </row>
        <row r="16">
          <cell r="D16" t="str">
            <v>SMF3</v>
          </cell>
          <cell r="E16" t="str">
            <v>SMF3</v>
          </cell>
          <cell r="F16" t="str">
            <v>AMAZON</v>
          </cell>
          <cell r="G16" t="str">
            <v>0000000000</v>
          </cell>
        </row>
        <row r="16">
          <cell r="I16" t="str">
            <v>3923 S B ST</v>
          </cell>
        </row>
        <row r="16">
          <cell r="L16" t="str">
            <v>Stockton</v>
          </cell>
          <cell r="M16" t="str">
            <v>CA</v>
          </cell>
          <cell r="N16" t="str">
            <v>US</v>
          </cell>
          <cell r="O16" t="str">
            <v>95206</v>
          </cell>
        </row>
        <row r="17">
          <cell r="A17" t="str">
            <v>SCK4</v>
          </cell>
          <cell r="B17" t="str">
            <v>SCK4</v>
          </cell>
        </row>
        <row r="17">
          <cell r="D17" t="str">
            <v>SCK4</v>
          </cell>
          <cell r="E17" t="str">
            <v>SCK4</v>
          </cell>
          <cell r="F17" t="str">
            <v>AMAZON</v>
          </cell>
          <cell r="G17" t="str">
            <v>0000000000</v>
          </cell>
        </row>
        <row r="17">
          <cell r="I17" t="str">
            <v>6001 S AUSTIN RD</v>
          </cell>
        </row>
        <row r="17">
          <cell r="L17" t="str">
            <v>STOCKTON</v>
          </cell>
          <cell r="M17" t="str">
            <v>CA</v>
          </cell>
          <cell r="N17" t="str">
            <v>US</v>
          </cell>
          <cell r="O17" t="str">
            <v>95215</v>
          </cell>
        </row>
        <row r="18">
          <cell r="A18" t="str">
            <v>VGT2-UPS</v>
          </cell>
          <cell r="B18" t="str">
            <v>VGT2-UPS</v>
          </cell>
        </row>
        <row r="18">
          <cell r="D18" t="str">
            <v>VGT2-UPS</v>
          </cell>
          <cell r="E18" t="str">
            <v>VGT2-92518</v>
          </cell>
          <cell r="F18" t="str">
            <v>AMAZON</v>
          </cell>
          <cell r="G18" t="str">
            <v>0000000000</v>
          </cell>
        </row>
        <row r="18">
          <cell r="I18" t="str">
            <v>20701 Krameria Avenue</v>
          </cell>
        </row>
        <row r="18">
          <cell r="L18" t="str">
            <v>March Air Reserve Base</v>
          </cell>
          <cell r="M18" t="str">
            <v>CA</v>
          </cell>
          <cell r="N18" t="str">
            <v>US</v>
          </cell>
          <cell r="O18" t="str">
            <v>92518</v>
          </cell>
        </row>
        <row r="19">
          <cell r="A19" t="str">
            <v>VGT2-FEDEX</v>
          </cell>
          <cell r="B19" t="str">
            <v>VGT2-FEDEX</v>
          </cell>
        </row>
        <row r="19">
          <cell r="D19" t="str">
            <v>VGT2-FEDEX</v>
          </cell>
          <cell r="E19" t="str">
            <v>VGT2-89115</v>
          </cell>
          <cell r="F19" t="str">
            <v>Amazon</v>
          </cell>
          <cell r="G19" t="str">
            <v>0000000000</v>
          </cell>
        </row>
        <row r="19">
          <cell r="I19" t="str">
            <v>6401 Howdy Wells Ave</v>
          </cell>
        </row>
        <row r="19">
          <cell r="L19" t="str">
            <v>Las Vegas</v>
          </cell>
          <cell r="M19" t="str">
            <v>NV</v>
          </cell>
          <cell r="N19" t="str">
            <v>US</v>
          </cell>
          <cell r="O19" t="str">
            <v>89115</v>
          </cell>
        </row>
        <row r="20">
          <cell r="A20" t="str">
            <v>BFL2</v>
          </cell>
          <cell r="B20" t="str">
            <v>BFL2</v>
          </cell>
        </row>
        <row r="20">
          <cell r="D20" t="str">
            <v>BFL2</v>
          </cell>
          <cell r="E20" t="str">
            <v>BFL2</v>
          </cell>
          <cell r="F20" t="str">
            <v>AMAZON</v>
          </cell>
          <cell r="G20" t="str">
            <v>0000000000</v>
          </cell>
        </row>
        <row r="20">
          <cell r="I20" t="str">
            <v>4500 EXPRESSAVE</v>
          </cell>
        </row>
        <row r="20">
          <cell r="L20" t="str">
            <v>SHAFTER</v>
          </cell>
          <cell r="M20" t="str">
            <v>CA</v>
          </cell>
          <cell r="N20" t="str">
            <v>US</v>
          </cell>
          <cell r="O20" t="str">
            <v>93263</v>
          </cell>
        </row>
        <row r="21">
          <cell r="A21" t="str">
            <v>MIT2-FEDEX</v>
          </cell>
          <cell r="B21" t="str">
            <v>MIT2-FEDEX</v>
          </cell>
        </row>
        <row r="21">
          <cell r="D21" t="str">
            <v>MIT2-FEDEX</v>
          </cell>
          <cell r="E21" t="str">
            <v>MIT2</v>
          </cell>
          <cell r="F21" t="str">
            <v>AMAZON</v>
          </cell>
          <cell r="G21" t="str">
            <v>0000000000</v>
          </cell>
        </row>
        <row r="21">
          <cell r="I21" t="str">
            <v>5408 Express Avenue</v>
          </cell>
        </row>
        <row r="21">
          <cell r="L21" t="str">
            <v>SHAFTER</v>
          </cell>
          <cell r="M21" t="str">
            <v>CA</v>
          </cell>
          <cell r="N21" t="str">
            <v>US</v>
          </cell>
          <cell r="O21" t="str">
            <v>93263</v>
          </cell>
        </row>
        <row r="22">
          <cell r="A22" t="str">
            <v>MIT2-UPS</v>
          </cell>
          <cell r="B22" t="str">
            <v>MIT2-UPS</v>
          </cell>
        </row>
        <row r="22">
          <cell r="D22" t="str">
            <v>MIT2-UPS</v>
          </cell>
          <cell r="E22" t="str">
            <v>MIT2-UPS</v>
          </cell>
          <cell r="F22" t="str">
            <v>AMAZON</v>
          </cell>
          <cell r="G22" t="str">
            <v>0000000000</v>
          </cell>
        </row>
        <row r="22">
          <cell r="I22" t="str">
            <v>3256 N Plaza Dr</v>
          </cell>
        </row>
        <row r="22">
          <cell r="L22" t="str">
            <v>Visalia</v>
          </cell>
          <cell r="M22" t="str">
            <v>CA</v>
          </cell>
          <cell r="N22" t="str">
            <v>US</v>
          </cell>
          <cell r="O22" t="str">
            <v>93291</v>
          </cell>
        </row>
        <row r="23">
          <cell r="A23" t="str">
            <v>LGB4</v>
          </cell>
          <cell r="B23" t="str">
            <v>LGB4</v>
          </cell>
        </row>
        <row r="23">
          <cell r="D23" t="str">
            <v>LGB4</v>
          </cell>
          <cell r="E23" t="str">
            <v>LGB4</v>
          </cell>
          <cell r="F23" t="str">
            <v>AMAZON</v>
          </cell>
          <cell r="G23" t="str">
            <v>0000000000</v>
          </cell>
        </row>
        <row r="23">
          <cell r="I23" t="str">
            <v>27517 Pioneer Avenue</v>
          </cell>
        </row>
        <row r="23">
          <cell r="L23" t="str">
            <v>Redlands</v>
          </cell>
          <cell r="M23" t="str">
            <v>CA</v>
          </cell>
          <cell r="N23" t="str">
            <v>US</v>
          </cell>
          <cell r="O23" t="str">
            <v>92374</v>
          </cell>
        </row>
        <row r="24">
          <cell r="A24" t="str">
            <v>LGB6</v>
          </cell>
          <cell r="B24" t="str">
            <v>LGB6</v>
          </cell>
        </row>
        <row r="24">
          <cell r="D24" t="str">
            <v>LGB6</v>
          </cell>
          <cell r="E24" t="str">
            <v>LGB6</v>
          </cell>
          <cell r="F24" t="str">
            <v>AMAZON</v>
          </cell>
          <cell r="G24" t="str">
            <v>0000000000</v>
          </cell>
        </row>
        <row r="24">
          <cell r="I24" t="str">
            <v>20901 Krameria Ave</v>
          </cell>
        </row>
        <row r="24">
          <cell r="L24" t="str">
            <v>Riverside</v>
          </cell>
          <cell r="M24" t="str">
            <v>CA</v>
          </cell>
          <cell r="N24" t="str">
            <v>US</v>
          </cell>
          <cell r="O24" t="str">
            <v>92518</v>
          </cell>
        </row>
        <row r="25">
          <cell r="A25" t="str">
            <v>LAX2T-Walmart</v>
          </cell>
          <cell r="B25" t="str">
            <v>LAX2T-WALMART</v>
          </cell>
        </row>
        <row r="25">
          <cell r="D25" t="str">
            <v>LAX2T-WALMART</v>
          </cell>
          <cell r="E25" t="str">
            <v>LAX2T</v>
          </cell>
          <cell r="F25" t="str">
            <v>Walmart</v>
          </cell>
          <cell r="G25" t="str">
            <v>0000000000</v>
          </cell>
        </row>
        <row r="25">
          <cell r="I25" t="str">
            <v>6730 Kimball Ave</v>
          </cell>
        </row>
        <row r="25">
          <cell r="L25" t="str">
            <v>Chino</v>
          </cell>
          <cell r="M25" t="str">
            <v>CA</v>
          </cell>
          <cell r="N25" t="str">
            <v>US</v>
          </cell>
          <cell r="O25" t="str">
            <v>91708</v>
          </cell>
        </row>
        <row r="26">
          <cell r="A26" t="str">
            <v>IUSJ</v>
          </cell>
          <cell r="B26" t="str">
            <v>IUSJ</v>
          </cell>
        </row>
        <row r="26">
          <cell r="D26" t="str">
            <v>IUSJ</v>
          </cell>
          <cell r="E26" t="str">
            <v>IUSJ</v>
          </cell>
          <cell r="F26" t="str">
            <v>Amazon</v>
          </cell>
        </row>
        <row r="26">
          <cell r="I26" t="str">
            <v>36900 West 4th Street</v>
          </cell>
        </row>
        <row r="26">
          <cell r="L26" t="str">
            <v>BEAUMONT</v>
          </cell>
          <cell r="M26" t="str">
            <v>CA</v>
          </cell>
          <cell r="N26" t="str">
            <v>US</v>
          </cell>
          <cell r="O26" t="str">
            <v>92223</v>
          </cell>
        </row>
        <row r="27">
          <cell r="A27" t="str">
            <v>ABQ2-FEDEX</v>
          </cell>
          <cell r="B27" t="str">
            <v>ABQ2-FEDEX</v>
          </cell>
        </row>
        <row r="27">
          <cell r="D27" t="str">
            <v>ABQ2-FEDEX</v>
          </cell>
          <cell r="E27" t="str">
            <v>ABQ2</v>
          </cell>
          <cell r="F27" t="str">
            <v>AMAZON</v>
          </cell>
          <cell r="G27" t="str">
            <v>0000000000</v>
          </cell>
        </row>
        <row r="27">
          <cell r="I27" t="str">
            <v>6251 Pioneer Trail NW</v>
          </cell>
        </row>
        <row r="27">
          <cell r="L27" t="str">
            <v>LOS LUNAS</v>
          </cell>
          <cell r="M27" t="str">
            <v>NM</v>
          </cell>
          <cell r="N27" t="str">
            <v>US</v>
          </cell>
          <cell r="O27" t="str">
            <v>87031</v>
          </cell>
        </row>
        <row r="28">
          <cell r="A28" t="str">
            <v>ABQ2-UPS</v>
          </cell>
          <cell r="B28" t="str">
            <v>ABQ2-UPS</v>
          </cell>
        </row>
        <row r="28">
          <cell r="D28" t="str">
            <v>ABQ2-UPS</v>
          </cell>
          <cell r="E28" t="str">
            <v>ABQ2</v>
          </cell>
          <cell r="F28" t="str">
            <v>AMAZON</v>
          </cell>
          <cell r="G28" t="str">
            <v>0000000000</v>
          </cell>
        </row>
        <row r="28">
          <cell r="I28" t="str">
            <v>16601 W. SELLS DRIVE</v>
          </cell>
        </row>
        <row r="28">
          <cell r="L28" t="str">
            <v>GOODYEAR</v>
          </cell>
          <cell r="M28" t="str">
            <v>AZ</v>
          </cell>
          <cell r="N28" t="str">
            <v>US</v>
          </cell>
          <cell r="O28" t="str">
            <v>85395</v>
          </cell>
        </row>
        <row r="29">
          <cell r="A29" t="str">
            <v>LAX1-Walmart</v>
          </cell>
          <cell r="B29" t="str">
            <v>LAX1-WALMART</v>
          </cell>
        </row>
        <row r="29">
          <cell r="D29" t="str">
            <v>LAX1-WALMART</v>
          </cell>
          <cell r="E29" t="str">
            <v>LAX1</v>
          </cell>
          <cell r="F29" t="str">
            <v>Walmart</v>
          </cell>
          <cell r="G29" t="str">
            <v>0000000000</v>
          </cell>
        </row>
        <row r="29">
          <cell r="I29" t="str">
            <v>6750 Kimball Ave</v>
          </cell>
        </row>
        <row r="29">
          <cell r="L29" t="str">
            <v>Chino</v>
          </cell>
          <cell r="M29" t="str">
            <v>CA</v>
          </cell>
          <cell r="N29" t="str">
            <v>US</v>
          </cell>
          <cell r="O29" t="str">
            <v>91708</v>
          </cell>
        </row>
        <row r="30">
          <cell r="A30" t="str">
            <v>LAX2N-Walmart</v>
          </cell>
          <cell r="B30" t="str">
            <v>LAX2N-WALMART</v>
          </cell>
        </row>
        <row r="30">
          <cell r="D30" t="str">
            <v>LAX2N-WALMART</v>
          </cell>
          <cell r="E30" t="str">
            <v>LAX2N</v>
          </cell>
          <cell r="F30" t="str">
            <v>Walmart</v>
          </cell>
          <cell r="G30" t="str">
            <v>0000000000</v>
          </cell>
        </row>
        <row r="30">
          <cell r="I30" t="str">
            <v>6720 Kimball Ave</v>
          </cell>
        </row>
        <row r="30">
          <cell r="L30" t="str">
            <v>Chino</v>
          </cell>
          <cell r="M30" t="str">
            <v>CA</v>
          </cell>
          <cell r="N30" t="str">
            <v>US</v>
          </cell>
          <cell r="O30" t="str">
            <v>91708</v>
          </cell>
        </row>
        <row r="31">
          <cell r="A31" t="str">
            <v>IUSQ</v>
          </cell>
          <cell r="B31" t="str">
            <v>IUSQ</v>
          </cell>
        </row>
        <row r="31">
          <cell r="D31" t="str">
            <v>IUSQ</v>
          </cell>
          <cell r="E31" t="str">
            <v>IUSQ</v>
          </cell>
          <cell r="F31" t="str">
            <v>Amazon</v>
          </cell>
          <cell r="G31" t="str">
            <v>0000000000</v>
          </cell>
        </row>
        <row r="31">
          <cell r="I31" t="str">
            <v>2125 W San Bernardino Ave</v>
          </cell>
        </row>
        <row r="31">
          <cell r="L31" t="str">
            <v>REDLANDS</v>
          </cell>
          <cell r="M31" t="str">
            <v>CA</v>
          </cell>
          <cell r="N31" t="str">
            <v>US</v>
          </cell>
          <cell r="O31" t="str">
            <v>92374</v>
          </cell>
        </row>
        <row r="32">
          <cell r="A32" t="str">
            <v>GEU3</v>
          </cell>
          <cell r="B32" t="str">
            <v>GEU3</v>
          </cell>
        </row>
        <row r="32">
          <cell r="D32" t="str">
            <v>GEU3</v>
          </cell>
          <cell r="E32" t="str">
            <v>GEU3</v>
          </cell>
          <cell r="F32" t="str">
            <v>Amazon</v>
          </cell>
          <cell r="G32" t="str">
            <v>0000000000</v>
          </cell>
        </row>
        <row r="32">
          <cell r="I32" t="str">
            <v>18900 W McDowell Rd</v>
          </cell>
        </row>
        <row r="32">
          <cell r="L32" t="str">
            <v>Buckeye</v>
          </cell>
          <cell r="M32" t="str">
            <v>AZ</v>
          </cell>
          <cell r="N32" t="str">
            <v>US</v>
          </cell>
          <cell r="O32">
            <v>85396</v>
          </cell>
        </row>
        <row r="33">
          <cell r="A33" t="str">
            <v>JOT1</v>
          </cell>
          <cell r="B33" t="str">
            <v>JOT1</v>
          </cell>
        </row>
        <row r="33">
          <cell r="D33" t="str">
            <v>JOT1</v>
          </cell>
          <cell r="E33" t="str">
            <v>JOT1</v>
          </cell>
          <cell r="F33" t="str">
            <v>Amazon</v>
          </cell>
          <cell r="G33" t="str">
            <v>0000000000</v>
          </cell>
        </row>
        <row r="33">
          <cell r="I33" t="str">
            <v>1494 S WATERMAN AVE</v>
          </cell>
        </row>
        <row r="33">
          <cell r="L33" t="str">
            <v>SAN BERNARDINO</v>
          </cell>
          <cell r="M33" t="str">
            <v>CA</v>
          </cell>
          <cell r="N33" t="str">
            <v>US</v>
          </cell>
          <cell r="O33" t="str">
            <v>92408</v>
          </cell>
        </row>
        <row r="34">
          <cell r="A34" t="str">
            <v>QXY5</v>
          </cell>
          <cell r="B34" t="str">
            <v>QXY5</v>
          </cell>
        </row>
        <row r="34">
          <cell r="D34" t="str">
            <v>QXY5</v>
          </cell>
          <cell r="E34" t="str">
            <v>QXY5</v>
          </cell>
          <cell r="F34" t="str">
            <v>Amazon</v>
          </cell>
          <cell r="G34" t="str">
            <v>0000000000</v>
          </cell>
        </row>
        <row r="34">
          <cell r="I34" t="str">
            <v>4532 NEWCASTLE RD</v>
          </cell>
        </row>
        <row r="34">
          <cell r="L34" t="str">
            <v>STOCKTON</v>
          </cell>
          <cell r="M34" t="str">
            <v>CA</v>
          </cell>
          <cell r="N34" t="str">
            <v>US</v>
          </cell>
          <cell r="O34" t="str">
            <v>95215</v>
          </cell>
        </row>
        <row r="35">
          <cell r="A35" t="str">
            <v>GEU5</v>
          </cell>
          <cell r="B35" t="str">
            <v>GEU5</v>
          </cell>
        </row>
        <row r="35">
          <cell r="D35" t="str">
            <v>GEU5</v>
          </cell>
          <cell r="E35" t="str">
            <v>GEU5</v>
          </cell>
          <cell r="F35" t="str">
            <v>AMAZON</v>
          </cell>
          <cell r="G35" t="str">
            <v>0000000000</v>
          </cell>
        </row>
        <row r="35">
          <cell r="I35" t="str">
            <v>4660 North Cotton Lane</v>
          </cell>
        </row>
        <row r="35">
          <cell r="L35" t="str">
            <v>GOODYEAR</v>
          </cell>
          <cell r="M35" t="str">
            <v>AZ</v>
          </cell>
          <cell r="N35" t="str">
            <v>US</v>
          </cell>
          <cell r="O35" t="str">
            <v>85395</v>
          </cell>
        </row>
        <row r="36">
          <cell r="A36" t="str">
            <v>GEU2</v>
          </cell>
          <cell r="B36" t="str">
            <v>GEU2</v>
          </cell>
        </row>
        <row r="36">
          <cell r="D36" t="str">
            <v>GEU2</v>
          </cell>
          <cell r="E36" t="str">
            <v>GEU2</v>
          </cell>
          <cell r="F36" t="str">
            <v>AMAZON</v>
          </cell>
          <cell r="G36" t="str">
            <v>0000000000</v>
          </cell>
        </row>
        <row r="36">
          <cell r="I36" t="str">
            <v>15301 West Northern Avenue</v>
          </cell>
        </row>
        <row r="36">
          <cell r="L36" t="str">
            <v>Glendale</v>
          </cell>
          <cell r="M36" t="str">
            <v>AZ</v>
          </cell>
          <cell r="N36" t="str">
            <v>US</v>
          </cell>
          <cell r="O36" t="str">
            <v>85307</v>
          </cell>
        </row>
        <row r="37">
          <cell r="A37" t="str">
            <v>IUSP</v>
          </cell>
          <cell r="B37" t="str">
            <v>IUSP</v>
          </cell>
        </row>
        <row r="37">
          <cell r="D37" t="str">
            <v>IUSP</v>
          </cell>
          <cell r="E37" t="str">
            <v>IUSP</v>
          </cell>
          <cell r="F37" t="str">
            <v>Amazon</v>
          </cell>
          <cell r="G37" t="str">
            <v>0000000000</v>
          </cell>
        </row>
        <row r="37">
          <cell r="I37" t="str">
            <v>8140 Caliente Rd</v>
          </cell>
        </row>
        <row r="37">
          <cell r="L37" t="str">
            <v>Hesperia</v>
          </cell>
          <cell r="M37" t="str">
            <v>CA</v>
          </cell>
          <cell r="N37" t="str">
            <v>US</v>
          </cell>
          <cell r="O37" t="str">
            <v>92344</v>
          </cell>
        </row>
        <row r="38">
          <cell r="A38" t="str">
            <v>DFW6</v>
          </cell>
          <cell r="B38" t="str">
            <v>DFW6</v>
          </cell>
        </row>
        <row r="38">
          <cell r="D38" t="str">
            <v>DFW6</v>
          </cell>
          <cell r="E38" t="str">
            <v>DFW6</v>
          </cell>
          <cell r="F38" t="str">
            <v>AMAZON</v>
          </cell>
          <cell r="G38" t="str">
            <v>0000000000</v>
          </cell>
        </row>
        <row r="38">
          <cell r="I38" t="str">
            <v>940 W Bethel Road</v>
          </cell>
        </row>
        <row r="38">
          <cell r="L38" t="str">
            <v>Coppell</v>
          </cell>
          <cell r="M38" t="str">
            <v>TX</v>
          </cell>
          <cell r="N38" t="str">
            <v>US</v>
          </cell>
          <cell r="O38" t="str">
            <v>75019</v>
          </cell>
        </row>
        <row r="39">
          <cell r="A39" t="str">
            <v>FTW1</v>
          </cell>
          <cell r="B39" t="str">
            <v>FTW1</v>
          </cell>
        </row>
        <row r="39">
          <cell r="D39" t="str">
            <v>FTW1</v>
          </cell>
          <cell r="E39" t="str">
            <v>FTW1</v>
          </cell>
          <cell r="F39" t="str">
            <v>AMAZON</v>
          </cell>
          <cell r="G39" t="str">
            <v>0000000000</v>
          </cell>
        </row>
        <row r="39">
          <cell r="I39" t="str">
            <v>33333 LBJ FWY</v>
          </cell>
        </row>
        <row r="39">
          <cell r="L39" t="str">
            <v>Dallas</v>
          </cell>
          <cell r="M39" t="str">
            <v>TX</v>
          </cell>
          <cell r="N39" t="str">
            <v>US</v>
          </cell>
          <cell r="O39" t="str">
            <v>75241</v>
          </cell>
        </row>
        <row r="40">
          <cell r="A40" t="str">
            <v>MQJ1</v>
          </cell>
          <cell r="B40" t="str">
            <v>MQJ1</v>
          </cell>
        </row>
        <row r="40">
          <cell r="D40" t="str">
            <v>MQJ1</v>
          </cell>
          <cell r="E40" t="str">
            <v>MQJ1</v>
          </cell>
          <cell r="F40" t="str">
            <v>AMAZON</v>
          </cell>
          <cell r="G40" t="str">
            <v>0000000000</v>
          </cell>
        </row>
        <row r="40">
          <cell r="I40" t="str">
            <v>4412 W 300 N</v>
          </cell>
        </row>
        <row r="40">
          <cell r="L40" t="str">
            <v>GREENFIELD</v>
          </cell>
          <cell r="M40" t="str">
            <v>IN</v>
          </cell>
          <cell r="N40" t="str">
            <v>US</v>
          </cell>
          <cell r="O40" t="str">
            <v>46140</v>
          </cell>
        </row>
        <row r="41">
          <cell r="A41" t="str">
            <v>SAT1</v>
          </cell>
          <cell r="B41" t="str">
            <v>SAT1</v>
          </cell>
        </row>
        <row r="41">
          <cell r="D41" t="str">
            <v>SAT1</v>
          </cell>
          <cell r="E41" t="str">
            <v>SAT1</v>
          </cell>
          <cell r="F41" t="str">
            <v>AMAZON</v>
          </cell>
          <cell r="G41" t="str">
            <v>0000000000</v>
          </cell>
        </row>
        <row r="41">
          <cell r="I41" t="str">
            <v>6000 Enterprise Avenue</v>
          </cell>
        </row>
        <row r="41">
          <cell r="L41" t="str">
            <v>Schertz</v>
          </cell>
          <cell r="M41" t="str">
            <v>TX</v>
          </cell>
          <cell r="N41" t="str">
            <v>US</v>
          </cell>
          <cell r="O41" t="str">
            <v>78154</v>
          </cell>
        </row>
        <row r="42">
          <cell r="A42" t="str">
            <v>IAH3</v>
          </cell>
          <cell r="B42" t="str">
            <v>IAH3</v>
          </cell>
        </row>
        <row r="42">
          <cell r="D42" t="str">
            <v>IAH3</v>
          </cell>
          <cell r="E42" t="str">
            <v>IAH3</v>
          </cell>
          <cell r="F42" t="str">
            <v>Amazon</v>
          </cell>
          <cell r="G42" t="str">
            <v>0000000000</v>
          </cell>
        </row>
        <row r="42">
          <cell r="I42" t="str">
            <v>15525 Milner Road</v>
          </cell>
        </row>
        <row r="42">
          <cell r="L42" t="str">
            <v>HOUSTON</v>
          </cell>
          <cell r="M42" t="str">
            <v>TX</v>
          </cell>
          <cell r="N42" t="str">
            <v>US</v>
          </cell>
          <cell r="O42" t="str">
            <v>77032</v>
          </cell>
        </row>
        <row r="43">
          <cell r="A43" t="str">
            <v>PSC2-FEDEX</v>
          </cell>
          <cell r="B43" t="str">
            <v>PSC2-FEDEX</v>
          </cell>
        </row>
        <row r="43">
          <cell r="D43" t="str">
            <v>PSC2-FEDEX</v>
          </cell>
          <cell r="E43" t="str">
            <v>PSC2</v>
          </cell>
          <cell r="F43" t="str">
            <v>Amazon</v>
          </cell>
          <cell r="G43" t="str">
            <v>0000000000</v>
          </cell>
        </row>
        <row r="43">
          <cell r="I43" t="str">
            <v>1351 S Road 40 E</v>
          </cell>
        </row>
        <row r="43">
          <cell r="L43" t="str">
            <v>PASCO</v>
          </cell>
          <cell r="M43" t="str">
            <v>WA</v>
          </cell>
          <cell r="N43" t="str">
            <v>US</v>
          </cell>
          <cell r="O43" t="str">
            <v>99301</v>
          </cell>
        </row>
        <row r="44">
          <cell r="A44" t="str">
            <v>PSC2-UPS</v>
          </cell>
          <cell r="B44" t="str">
            <v>PSC2-UPS</v>
          </cell>
        </row>
        <row r="44">
          <cell r="D44" t="str">
            <v>PSC2-UPS</v>
          </cell>
          <cell r="E44" t="str">
            <v>PSC2</v>
          </cell>
          <cell r="F44" t="str">
            <v>AMAZON</v>
          </cell>
          <cell r="G44" t="str">
            <v>0000000000</v>
          </cell>
        </row>
        <row r="44">
          <cell r="I44" t="str">
            <v>9930 NE Alderwood Rd</v>
          </cell>
        </row>
        <row r="44">
          <cell r="L44" t="str">
            <v>Porland</v>
          </cell>
          <cell r="M44" t="str">
            <v>OR</v>
          </cell>
          <cell r="N44" t="str">
            <v>US</v>
          </cell>
          <cell r="O44" t="str">
            <v>97242</v>
          </cell>
        </row>
        <row r="45">
          <cell r="A45" t="str">
            <v>IND9</v>
          </cell>
          <cell r="B45" t="str">
            <v>IND9</v>
          </cell>
        </row>
        <row r="45">
          <cell r="D45" t="str">
            <v>IND9</v>
          </cell>
          <cell r="E45" t="str">
            <v>IND9</v>
          </cell>
          <cell r="F45" t="str">
            <v>AMAZON</v>
          </cell>
          <cell r="G45" t="str">
            <v>0000000000</v>
          </cell>
        </row>
        <row r="45">
          <cell r="I45" t="str">
            <v>1151 S GRAHAM RD</v>
          </cell>
        </row>
        <row r="45">
          <cell r="L45" t="str">
            <v>GREENWOOD</v>
          </cell>
          <cell r="M45" t="str">
            <v>IN</v>
          </cell>
          <cell r="N45" t="str">
            <v>US</v>
          </cell>
          <cell r="O45" t="str">
            <v>46143</v>
          </cell>
        </row>
        <row r="46">
          <cell r="A46" t="str">
            <v>MDW2</v>
          </cell>
          <cell r="B46" t="str">
            <v>MDW2</v>
          </cell>
        </row>
        <row r="46">
          <cell r="D46" t="str">
            <v>MDW2</v>
          </cell>
          <cell r="E46" t="str">
            <v>MDW2</v>
          </cell>
          <cell r="F46" t="str">
            <v>AMAZON</v>
          </cell>
          <cell r="G46" t="str">
            <v>0000000000</v>
          </cell>
        </row>
        <row r="46">
          <cell r="I46" t="str">
            <v>250 Emerald DR</v>
          </cell>
        </row>
        <row r="46">
          <cell r="L46" t="str">
            <v>Joliet</v>
          </cell>
          <cell r="M46" t="str">
            <v>IL</v>
          </cell>
          <cell r="N46" t="str">
            <v>US</v>
          </cell>
          <cell r="O46" t="str">
            <v>60433</v>
          </cell>
        </row>
        <row r="47">
          <cell r="A47" t="str">
            <v>FWA4</v>
          </cell>
          <cell r="B47" t="str">
            <v>FWA4</v>
          </cell>
        </row>
        <row r="47">
          <cell r="D47" t="str">
            <v>FWA4</v>
          </cell>
          <cell r="E47" t="str">
            <v>FWA4</v>
          </cell>
          <cell r="F47" t="str">
            <v>AMAZON</v>
          </cell>
          <cell r="G47" t="str">
            <v>0000000000</v>
          </cell>
        </row>
        <row r="47">
          <cell r="I47" t="str">
            <v>9798 Smith Road</v>
          </cell>
        </row>
        <row r="47">
          <cell r="L47" t="str">
            <v>FORT WAYNE</v>
          </cell>
          <cell r="M47" t="str">
            <v>IN</v>
          </cell>
          <cell r="N47" t="str">
            <v>US</v>
          </cell>
          <cell r="O47" t="str">
            <v>46809</v>
          </cell>
        </row>
        <row r="48">
          <cell r="A48" t="str">
            <v>ABE5</v>
          </cell>
          <cell r="B48" t="str">
            <v>ABE5</v>
          </cell>
        </row>
        <row r="48">
          <cell r="D48" t="str">
            <v>ABE5</v>
          </cell>
          <cell r="E48" t="str">
            <v>ABE5</v>
          </cell>
          <cell r="F48" t="str">
            <v>AMAZON</v>
          </cell>
          <cell r="G48" t="str">
            <v>0000000000</v>
          </cell>
        </row>
        <row r="48">
          <cell r="I48" t="str">
            <v>6455 Allentown Boulevard</v>
          </cell>
        </row>
        <row r="48">
          <cell r="L48" t="str">
            <v>Harrisburg</v>
          </cell>
          <cell r="M48" t="str">
            <v>PA</v>
          </cell>
          <cell r="N48" t="str">
            <v>US</v>
          </cell>
          <cell r="O48" t="str">
            <v>17112</v>
          </cell>
        </row>
        <row r="49">
          <cell r="A49" t="str">
            <v>AKC1</v>
          </cell>
          <cell r="B49" t="str">
            <v>AKC1</v>
          </cell>
        </row>
        <row r="49">
          <cell r="D49" t="str">
            <v>AKC1</v>
          </cell>
          <cell r="E49" t="str">
            <v>AKC1</v>
          </cell>
          <cell r="F49" t="str">
            <v>AMAZON</v>
          </cell>
          <cell r="G49" t="str">
            <v>0000000000</v>
          </cell>
        </row>
        <row r="49">
          <cell r="I49" t="str">
            <v>2450 ROMIG RD</v>
          </cell>
        </row>
        <row r="49">
          <cell r="L49" t="str">
            <v>AKRON</v>
          </cell>
          <cell r="M49" t="str">
            <v>OH</v>
          </cell>
          <cell r="N49" t="str">
            <v>US</v>
          </cell>
          <cell r="O49" t="str">
            <v>44320</v>
          </cell>
        </row>
        <row r="50">
          <cell r="A50" t="str">
            <v>ATL6</v>
          </cell>
          <cell r="B50" t="str">
            <v>ATL6</v>
          </cell>
        </row>
        <row r="50">
          <cell r="D50" t="str">
            <v>ATL6</v>
          </cell>
          <cell r="E50" t="str">
            <v>ATL6</v>
          </cell>
          <cell r="F50" t="str">
            <v>AMAZON</v>
          </cell>
          <cell r="G50" t="str">
            <v>0000000000</v>
          </cell>
        </row>
        <row r="50">
          <cell r="I50" t="str">
            <v>4200 North Commerce</v>
          </cell>
        </row>
        <row r="50">
          <cell r="L50" t="str">
            <v>East Point</v>
          </cell>
          <cell r="M50" t="str">
            <v>GA</v>
          </cell>
          <cell r="N50" t="str">
            <v>US</v>
          </cell>
          <cell r="O50" t="str">
            <v>30344</v>
          </cell>
        </row>
        <row r="51">
          <cell r="A51" t="str">
            <v>ATL7</v>
          </cell>
          <cell r="B51" t="str">
            <v>ATL7</v>
          </cell>
        </row>
        <row r="51">
          <cell r="D51" t="str">
            <v>ATL7</v>
          </cell>
          <cell r="E51" t="str">
            <v>ATL7</v>
          </cell>
          <cell r="F51" t="str">
            <v>AMAZON</v>
          </cell>
          <cell r="G51" t="str">
            <v>0000000000</v>
          </cell>
        </row>
        <row r="51">
          <cell r="I51" t="str">
            <v>6855 Shannon Pkwy S</v>
          </cell>
        </row>
        <row r="51">
          <cell r="L51" t="str">
            <v>UNION CITY</v>
          </cell>
          <cell r="M51" t="str">
            <v>GA</v>
          </cell>
          <cell r="N51" t="str">
            <v>US</v>
          </cell>
          <cell r="O51" t="str">
            <v>30291</v>
          </cell>
        </row>
        <row r="52">
          <cell r="A52" t="str">
            <v>AZA4</v>
          </cell>
          <cell r="B52" t="str">
            <v>AZA4</v>
          </cell>
        </row>
        <row r="52">
          <cell r="D52" t="str">
            <v>AZA4</v>
          </cell>
          <cell r="E52" t="str">
            <v>AZA4</v>
          </cell>
          <cell r="F52" t="str">
            <v>AMAZON</v>
          </cell>
          <cell r="G52" t="str">
            <v>0000000000</v>
          </cell>
        </row>
        <row r="52">
          <cell r="I52" t="str">
            <v>3333 59th Ave</v>
          </cell>
        </row>
        <row r="52">
          <cell r="L52" t="str">
            <v>PHOENIX</v>
          </cell>
          <cell r="M52" t="str">
            <v>AZ</v>
          </cell>
          <cell r="N52" t="str">
            <v>US</v>
          </cell>
          <cell r="O52" t="str">
            <v>85043</v>
          </cell>
        </row>
        <row r="53">
          <cell r="A53" t="str">
            <v>BFI1</v>
          </cell>
          <cell r="B53" t="str">
            <v>BFI1</v>
          </cell>
        </row>
        <row r="53">
          <cell r="D53" t="str">
            <v>BFI1</v>
          </cell>
          <cell r="E53" t="str">
            <v>BFI1</v>
          </cell>
          <cell r="F53" t="str">
            <v>AMAZON</v>
          </cell>
          <cell r="G53" t="str">
            <v>0000000000</v>
          </cell>
        </row>
        <row r="53">
          <cell r="I53" t="str">
            <v>1800 140th Avenue E.</v>
          </cell>
        </row>
        <row r="53">
          <cell r="L53" t="str">
            <v>Sumner</v>
          </cell>
          <cell r="M53" t="str">
            <v>WA</v>
          </cell>
          <cell r="N53" t="str">
            <v>US</v>
          </cell>
          <cell r="O53" t="str">
            <v>98390</v>
          </cell>
        </row>
        <row r="54">
          <cell r="A54" t="str">
            <v>BFI3</v>
          </cell>
          <cell r="B54" t="str">
            <v>BFI3</v>
          </cell>
        </row>
        <row r="54">
          <cell r="D54" t="str">
            <v>BFI3</v>
          </cell>
          <cell r="E54" t="str">
            <v>BFI3</v>
          </cell>
          <cell r="F54" t="str">
            <v>AMAZON</v>
          </cell>
          <cell r="G54" t="str">
            <v>0000000000</v>
          </cell>
        </row>
        <row r="54">
          <cell r="I54" t="str">
            <v>2700 Center Drive</v>
          </cell>
        </row>
        <row r="54">
          <cell r="L54" t="str">
            <v>Dupont</v>
          </cell>
          <cell r="M54" t="str">
            <v>WA</v>
          </cell>
          <cell r="N54" t="str">
            <v>US</v>
          </cell>
          <cell r="O54" t="str">
            <v>98327</v>
          </cell>
        </row>
        <row r="55">
          <cell r="A55" t="str">
            <v>BFI4</v>
          </cell>
          <cell r="B55" t="str">
            <v>BFI4</v>
          </cell>
        </row>
        <row r="55">
          <cell r="D55" t="str">
            <v>BFI4</v>
          </cell>
          <cell r="E55" t="str">
            <v>BFI4</v>
          </cell>
          <cell r="F55" t="str">
            <v>AMAZON</v>
          </cell>
          <cell r="G55" t="str">
            <v>0000000000</v>
          </cell>
        </row>
        <row r="55">
          <cell r="I55" t="str">
            <v>20529 59th Place South</v>
          </cell>
        </row>
        <row r="55">
          <cell r="L55" t="str">
            <v>Kent</v>
          </cell>
          <cell r="M55" t="str">
            <v>WA</v>
          </cell>
          <cell r="N55" t="str">
            <v>US</v>
          </cell>
          <cell r="O55" t="str">
            <v>98032</v>
          </cell>
        </row>
        <row r="56">
          <cell r="A56" t="str">
            <v>BFI5</v>
          </cell>
          <cell r="B56" t="str">
            <v>BFI5</v>
          </cell>
        </row>
        <row r="56">
          <cell r="D56" t="str">
            <v>BFI5</v>
          </cell>
          <cell r="E56" t="str">
            <v>BFI5</v>
          </cell>
          <cell r="F56" t="str">
            <v>AMAZON</v>
          </cell>
          <cell r="G56" t="str">
            <v>0000000000</v>
          </cell>
        </row>
        <row r="56">
          <cell r="I56" t="str">
            <v>20526 59th Place South</v>
          </cell>
        </row>
        <row r="56">
          <cell r="L56" t="str">
            <v>Kent</v>
          </cell>
          <cell r="M56" t="str">
            <v>WA</v>
          </cell>
          <cell r="N56" t="str">
            <v>US</v>
          </cell>
          <cell r="O56" t="str">
            <v>98032</v>
          </cell>
        </row>
        <row r="57">
          <cell r="A57" t="str">
            <v>BFI7</v>
          </cell>
          <cell r="B57" t="str">
            <v>BFI7</v>
          </cell>
        </row>
        <row r="57">
          <cell r="D57" t="str">
            <v>BFI7</v>
          </cell>
          <cell r="E57" t="str">
            <v>BFI7</v>
          </cell>
          <cell r="F57" t="str">
            <v>AMAZON</v>
          </cell>
          <cell r="G57" t="str">
            <v>0000000000</v>
          </cell>
        </row>
        <row r="57">
          <cell r="I57" t="str">
            <v>1901 140th Ave E</v>
          </cell>
        </row>
        <row r="57">
          <cell r="L57" t="str">
            <v>Sumner</v>
          </cell>
          <cell r="M57" t="str">
            <v>WA</v>
          </cell>
          <cell r="N57" t="str">
            <v>US</v>
          </cell>
          <cell r="O57" t="str">
            <v>98390</v>
          </cell>
        </row>
        <row r="58">
          <cell r="A58" t="str">
            <v>BFL1</v>
          </cell>
          <cell r="B58" t="str">
            <v>BFL1</v>
          </cell>
        </row>
        <row r="58">
          <cell r="D58" t="str">
            <v>BFL1</v>
          </cell>
          <cell r="E58" t="str">
            <v>BFL1</v>
          </cell>
          <cell r="F58" t="str">
            <v>AMAZON</v>
          </cell>
          <cell r="G58" t="str">
            <v>0000000000</v>
          </cell>
        </row>
        <row r="58">
          <cell r="I58" t="str">
            <v>1601 Petrol Road</v>
          </cell>
        </row>
        <row r="58">
          <cell r="L58" t="str">
            <v>BAKERSFIELD</v>
          </cell>
          <cell r="M58" t="str">
            <v>CA</v>
          </cell>
          <cell r="N58" t="str">
            <v>US</v>
          </cell>
          <cell r="O58" t="str">
            <v>93308</v>
          </cell>
        </row>
        <row r="59">
          <cell r="A59" t="str">
            <v>BHM1</v>
          </cell>
          <cell r="B59" t="str">
            <v>BHM1</v>
          </cell>
        </row>
        <row r="59">
          <cell r="D59" t="str">
            <v>BHM1</v>
          </cell>
          <cell r="E59" t="str">
            <v>BHM1</v>
          </cell>
          <cell r="F59" t="str">
            <v>AMAZON</v>
          </cell>
          <cell r="G59" t="str">
            <v>0000000000</v>
          </cell>
        </row>
        <row r="59">
          <cell r="I59" t="str">
            <v>975 Powder Plant Rd</v>
          </cell>
        </row>
        <row r="59">
          <cell r="L59" t="str">
            <v>BESSEMER</v>
          </cell>
          <cell r="M59" t="str">
            <v>AL</v>
          </cell>
          <cell r="N59" t="str">
            <v>US</v>
          </cell>
          <cell r="O59" t="str">
            <v>35022</v>
          </cell>
        </row>
        <row r="60">
          <cell r="A60" t="str">
            <v>BNA1</v>
          </cell>
          <cell r="B60" t="str">
            <v>BNA1</v>
          </cell>
        </row>
        <row r="60">
          <cell r="D60" t="str">
            <v>BNA1</v>
          </cell>
          <cell r="E60" t="str">
            <v>BNA1</v>
          </cell>
          <cell r="F60" t="str">
            <v>AMAZON</v>
          </cell>
          <cell r="G60" t="str">
            <v>0000000000</v>
          </cell>
        </row>
        <row r="60">
          <cell r="I60" t="str">
            <v>14840 Central Pike Suite 190</v>
          </cell>
        </row>
        <row r="60">
          <cell r="L60" t="str">
            <v>Lebanon</v>
          </cell>
          <cell r="M60" t="str">
            <v>TN</v>
          </cell>
          <cell r="N60" t="str">
            <v>US</v>
          </cell>
          <cell r="O60" t="str">
            <v>37090</v>
          </cell>
        </row>
        <row r="61">
          <cell r="A61" t="str">
            <v>BNA3</v>
          </cell>
          <cell r="B61" t="str">
            <v>BNA3</v>
          </cell>
        </row>
        <row r="61">
          <cell r="D61" t="str">
            <v>BNA3</v>
          </cell>
          <cell r="E61" t="str">
            <v>BNA3</v>
          </cell>
          <cell r="F61" t="str">
            <v>AMAZON</v>
          </cell>
          <cell r="G61" t="str">
            <v>0000000000</v>
          </cell>
        </row>
        <row r="61">
          <cell r="I61" t="str">
            <v>2020 Joe B Jackson Pkwy</v>
          </cell>
        </row>
        <row r="61">
          <cell r="L61" t="str">
            <v>Murfreesboro</v>
          </cell>
          <cell r="M61" t="str">
            <v>TN</v>
          </cell>
          <cell r="N61" t="str">
            <v>US</v>
          </cell>
          <cell r="O61" t="str">
            <v>37127</v>
          </cell>
        </row>
        <row r="62">
          <cell r="A62" t="str">
            <v>BNA4</v>
          </cell>
          <cell r="B62" t="str">
            <v>BNA4</v>
          </cell>
        </row>
        <row r="62">
          <cell r="D62" t="str">
            <v>BNA4</v>
          </cell>
          <cell r="E62" t="str">
            <v>BNA4</v>
          </cell>
          <cell r="F62" t="str">
            <v>AMAZON</v>
          </cell>
          <cell r="G62" t="str">
            <v>0000000000</v>
          </cell>
        </row>
        <row r="62">
          <cell r="I62" t="str">
            <v>50 airways Blvd</v>
          </cell>
        </row>
        <row r="62">
          <cell r="L62" t="str">
            <v>Nashville</v>
          </cell>
          <cell r="M62" t="str">
            <v>TN</v>
          </cell>
          <cell r="N62" t="str">
            <v>US</v>
          </cell>
          <cell r="O62" t="str">
            <v>37217</v>
          </cell>
        </row>
        <row r="63">
          <cell r="A63" t="str">
            <v>BOI2</v>
          </cell>
          <cell r="B63" t="str">
            <v>BOI2</v>
          </cell>
        </row>
        <row r="63">
          <cell r="D63" t="str">
            <v>BOI2</v>
          </cell>
          <cell r="E63" t="str">
            <v>BOI2</v>
          </cell>
          <cell r="F63" t="str">
            <v>AMAZON</v>
          </cell>
          <cell r="G63" t="str">
            <v>0000000000</v>
          </cell>
        </row>
        <row r="63">
          <cell r="I63" t="str">
            <v>5295 E Franklin Rd Suite N057</v>
          </cell>
        </row>
        <row r="63">
          <cell r="L63" t="str">
            <v>Nampa</v>
          </cell>
          <cell r="M63" t="str">
            <v>ID</v>
          </cell>
          <cell r="N63" t="str">
            <v>US</v>
          </cell>
          <cell r="O63" t="str">
            <v>83687</v>
          </cell>
        </row>
        <row r="64">
          <cell r="A64" t="str">
            <v>BOS1</v>
          </cell>
          <cell r="B64" t="str">
            <v>BOS1</v>
          </cell>
        </row>
        <row r="64">
          <cell r="D64" t="str">
            <v>BOS1</v>
          </cell>
          <cell r="E64" t="str">
            <v>BOS1</v>
          </cell>
          <cell r="F64" t="str">
            <v>AMAZON</v>
          </cell>
          <cell r="G64" t="str">
            <v>0000000000</v>
          </cell>
        </row>
        <row r="64">
          <cell r="I64" t="str">
            <v>10 State St.</v>
          </cell>
        </row>
        <row r="64">
          <cell r="L64" t="str">
            <v>Nashua</v>
          </cell>
          <cell r="M64" t="str">
            <v>NH</v>
          </cell>
          <cell r="N64" t="str">
            <v>US</v>
          </cell>
          <cell r="O64" t="str">
            <v>03063</v>
          </cell>
        </row>
        <row r="65">
          <cell r="A65" t="str">
            <v>BOS2</v>
          </cell>
          <cell r="B65" t="str">
            <v>BOS2</v>
          </cell>
        </row>
        <row r="65">
          <cell r="D65" t="str">
            <v>BOS2</v>
          </cell>
          <cell r="E65" t="str">
            <v>BOS2</v>
          </cell>
          <cell r="F65" t="str">
            <v>AMAZON</v>
          </cell>
          <cell r="G65" t="str">
            <v>0000000000</v>
          </cell>
        </row>
        <row r="65">
          <cell r="I65" t="str">
            <v>1000 Tech Centre</v>
          </cell>
        </row>
        <row r="65">
          <cell r="L65" t="str">
            <v>Drive Stoughton</v>
          </cell>
          <cell r="M65" t="str">
            <v>MA</v>
          </cell>
          <cell r="N65" t="str">
            <v>US</v>
          </cell>
          <cell r="O65" t="str">
            <v>02072</v>
          </cell>
        </row>
        <row r="66">
          <cell r="A66" t="str">
            <v>BOS5</v>
          </cell>
          <cell r="B66" t="str">
            <v>BOS5</v>
          </cell>
        </row>
        <row r="66">
          <cell r="D66" t="str">
            <v>BOS5</v>
          </cell>
          <cell r="E66" t="str">
            <v>BOS5</v>
          </cell>
          <cell r="F66" t="str">
            <v>AMAZON</v>
          </cell>
          <cell r="G66" t="str">
            <v>0000000000</v>
          </cell>
        </row>
        <row r="66">
          <cell r="I66" t="str">
            <v>1000 Technology Center Dr</v>
          </cell>
        </row>
        <row r="66">
          <cell r="L66" t="str">
            <v>Stoughton</v>
          </cell>
          <cell r="M66" t="str">
            <v>MA</v>
          </cell>
          <cell r="N66" t="str">
            <v>US</v>
          </cell>
          <cell r="O66" t="str">
            <v>02072</v>
          </cell>
        </row>
        <row r="67">
          <cell r="A67" t="str">
            <v>BWI2</v>
          </cell>
          <cell r="B67" t="str">
            <v>BWI2</v>
          </cell>
        </row>
        <row r="67">
          <cell r="D67" t="str">
            <v>BWI2</v>
          </cell>
          <cell r="E67" t="str">
            <v>BWI2</v>
          </cell>
          <cell r="F67" t="str">
            <v>AMAZON</v>
          </cell>
          <cell r="G67" t="str">
            <v>0000000000</v>
          </cell>
        </row>
        <row r="67">
          <cell r="I67" t="str">
            <v>2010 Broening Hwy</v>
          </cell>
        </row>
        <row r="67">
          <cell r="L67" t="str">
            <v>Baltimore</v>
          </cell>
          <cell r="M67" t="str">
            <v>MD</v>
          </cell>
          <cell r="N67" t="str">
            <v>US</v>
          </cell>
          <cell r="O67" t="str">
            <v>21224</v>
          </cell>
        </row>
        <row r="68">
          <cell r="A68" t="str">
            <v>CAE1</v>
          </cell>
          <cell r="B68" t="str">
            <v>CAE1</v>
          </cell>
        </row>
        <row r="68">
          <cell r="D68" t="str">
            <v>CAE1</v>
          </cell>
          <cell r="E68" t="str">
            <v>CAE1</v>
          </cell>
          <cell r="F68" t="str">
            <v>AMAZON</v>
          </cell>
          <cell r="G68" t="str">
            <v>0000000000</v>
          </cell>
        </row>
        <row r="68">
          <cell r="I68" t="str">
            <v>4400 12 Street Extension</v>
          </cell>
        </row>
        <row r="68">
          <cell r="L68" t="str">
            <v>West Columbia</v>
          </cell>
          <cell r="M68" t="str">
            <v>SC</v>
          </cell>
          <cell r="N68" t="str">
            <v>US</v>
          </cell>
          <cell r="O68" t="str">
            <v>29172</v>
          </cell>
        </row>
        <row r="69">
          <cell r="A69" t="str">
            <v>CLE2</v>
          </cell>
          <cell r="B69" t="str">
            <v>CLE2</v>
          </cell>
        </row>
        <row r="69">
          <cell r="D69" t="str">
            <v>CLE2</v>
          </cell>
          <cell r="E69" t="str">
            <v>CLE2</v>
          </cell>
          <cell r="F69" t="str">
            <v>AMAZON</v>
          </cell>
          <cell r="G69" t="str">
            <v>0000000000</v>
          </cell>
        </row>
        <row r="69">
          <cell r="I69" t="str">
            <v>21500 Emery Rd</v>
          </cell>
        </row>
        <row r="69">
          <cell r="L69" t="str">
            <v>North Randall</v>
          </cell>
          <cell r="M69" t="str">
            <v>OH</v>
          </cell>
          <cell r="N69" t="str">
            <v>US</v>
          </cell>
          <cell r="O69" t="str">
            <v>44128</v>
          </cell>
        </row>
        <row r="70">
          <cell r="A70" t="str">
            <v>CLE3</v>
          </cell>
          <cell r="B70" t="str">
            <v>CLE3</v>
          </cell>
        </row>
        <row r="70">
          <cell r="D70" t="str">
            <v>CLE3</v>
          </cell>
          <cell r="E70" t="str">
            <v>CLE3</v>
          </cell>
          <cell r="F70" t="str">
            <v>AMAZON</v>
          </cell>
          <cell r="G70" t="str">
            <v>0000000000</v>
          </cell>
        </row>
        <row r="70">
          <cell r="I70" t="str">
            <v>1155 Babbitt Road</v>
          </cell>
        </row>
        <row r="70">
          <cell r="L70" t="str">
            <v>Euclid</v>
          </cell>
          <cell r="M70" t="str">
            <v>OH</v>
          </cell>
          <cell r="N70" t="str">
            <v>US</v>
          </cell>
          <cell r="O70" t="str">
            <v>44132</v>
          </cell>
        </row>
        <row r="71">
          <cell r="A71" t="str">
            <v>CMH1</v>
          </cell>
          <cell r="B71" t="str">
            <v>CMH1</v>
          </cell>
        </row>
        <row r="71">
          <cell r="D71" t="str">
            <v>CMH1</v>
          </cell>
          <cell r="E71" t="str">
            <v>CMH1</v>
          </cell>
          <cell r="F71" t="str">
            <v>AMAZON</v>
          </cell>
          <cell r="G71" t="str">
            <v>0000000000</v>
          </cell>
        </row>
        <row r="71">
          <cell r="I71" t="str">
            <v>11999 National Road SW</v>
          </cell>
        </row>
        <row r="71">
          <cell r="L71" t="str">
            <v>Etna</v>
          </cell>
          <cell r="M71" t="str">
            <v>OH</v>
          </cell>
          <cell r="N71" t="str">
            <v>US</v>
          </cell>
          <cell r="O71" t="str">
            <v>43062</v>
          </cell>
        </row>
        <row r="72">
          <cell r="A72" t="str">
            <v>CMH4</v>
          </cell>
          <cell r="B72" t="str">
            <v>CMH4</v>
          </cell>
        </row>
        <row r="72">
          <cell r="D72" t="str">
            <v>CMH4</v>
          </cell>
          <cell r="E72" t="str">
            <v>CMH4</v>
          </cell>
          <cell r="F72" t="str">
            <v>AMAZON</v>
          </cell>
          <cell r="G72" t="str">
            <v>0000000000</v>
          </cell>
        </row>
        <row r="72">
          <cell r="I72" t="str">
            <v>1550 W. Main Street</v>
          </cell>
        </row>
        <row r="72">
          <cell r="L72" t="str">
            <v>WEST JEFFERSON</v>
          </cell>
          <cell r="M72" t="str">
            <v>OH</v>
          </cell>
          <cell r="N72" t="str">
            <v>US</v>
          </cell>
          <cell r="O72" t="str">
            <v>43162</v>
          </cell>
        </row>
        <row r="73">
          <cell r="A73" t="str">
            <v>CSG1</v>
          </cell>
          <cell r="B73" t="str">
            <v>CSG1</v>
          </cell>
        </row>
        <row r="73">
          <cell r="D73" t="str">
            <v>CSG1</v>
          </cell>
          <cell r="E73" t="str">
            <v>CSG1</v>
          </cell>
          <cell r="F73" t="str">
            <v>AMAZON</v>
          </cell>
          <cell r="G73" t="str">
            <v>0000000000</v>
          </cell>
        </row>
        <row r="73">
          <cell r="I73" t="str">
            <v>280 BRIDGEPORT BLVD</v>
          </cell>
        </row>
        <row r="73">
          <cell r="L73" t="str">
            <v>Moreland</v>
          </cell>
          <cell r="M73" t="str">
            <v>GA</v>
          </cell>
          <cell r="N73" t="str">
            <v>US</v>
          </cell>
          <cell r="O73" t="str">
            <v>30259</v>
          </cell>
        </row>
        <row r="74">
          <cell r="A74" t="str">
            <v>CVG1</v>
          </cell>
          <cell r="B74" t="str">
            <v>CVG1</v>
          </cell>
        </row>
        <row r="74">
          <cell r="D74" t="str">
            <v>CVG1</v>
          </cell>
          <cell r="E74" t="str">
            <v>CVG1</v>
          </cell>
          <cell r="F74" t="str">
            <v>AMAZON</v>
          </cell>
          <cell r="G74" t="str">
            <v>0000000000</v>
          </cell>
        </row>
        <row r="74">
          <cell r="I74" t="str">
            <v>1155 Worldwide Blvd</v>
          </cell>
        </row>
        <row r="74">
          <cell r="L74" t="str">
            <v>Hebron</v>
          </cell>
          <cell r="M74" t="str">
            <v>KY</v>
          </cell>
          <cell r="N74" t="str">
            <v>US</v>
          </cell>
          <cell r="O74" t="str">
            <v>41048</v>
          </cell>
        </row>
        <row r="75">
          <cell r="A75" t="str">
            <v>CVG2</v>
          </cell>
          <cell r="B75" t="str">
            <v>CVG2</v>
          </cell>
        </row>
        <row r="75">
          <cell r="D75" t="str">
            <v>CVG2</v>
          </cell>
          <cell r="E75" t="str">
            <v>CVG2</v>
          </cell>
          <cell r="F75" t="str">
            <v>AMAZON</v>
          </cell>
          <cell r="G75" t="str">
            <v>0000000000</v>
          </cell>
        </row>
        <row r="75">
          <cell r="I75" t="str">
            <v>1600 Worldwide Blvd</v>
          </cell>
        </row>
        <row r="75">
          <cell r="L75" t="str">
            <v>Hebron</v>
          </cell>
          <cell r="M75" t="str">
            <v>KY</v>
          </cell>
          <cell r="N75" t="str">
            <v>US</v>
          </cell>
          <cell r="O75" t="str">
            <v>41048</v>
          </cell>
        </row>
        <row r="76">
          <cell r="A76" t="str">
            <v>CVG5</v>
          </cell>
          <cell r="B76" t="str">
            <v>CVG5</v>
          </cell>
        </row>
        <row r="76">
          <cell r="D76" t="str">
            <v>CVG5</v>
          </cell>
          <cell r="E76" t="str">
            <v>CVG5</v>
          </cell>
          <cell r="F76" t="str">
            <v>AMAZON</v>
          </cell>
          <cell r="G76" t="str">
            <v>0000000000</v>
          </cell>
        </row>
        <row r="76">
          <cell r="I76" t="str">
            <v>2285 Litton Lane</v>
          </cell>
        </row>
        <row r="76">
          <cell r="L76" t="str">
            <v>Hebron</v>
          </cell>
          <cell r="M76" t="str">
            <v>KY</v>
          </cell>
          <cell r="N76" t="str">
            <v>US</v>
          </cell>
          <cell r="O76" t="str">
            <v>41048</v>
          </cell>
        </row>
        <row r="77">
          <cell r="A77" t="str">
            <v>DAL2</v>
          </cell>
          <cell r="B77" t="str">
            <v>DAL2</v>
          </cell>
        </row>
        <row r="77">
          <cell r="D77" t="str">
            <v>DAL2</v>
          </cell>
          <cell r="E77" t="str">
            <v>DAL2</v>
          </cell>
          <cell r="F77" t="str">
            <v>AMAZON</v>
          </cell>
          <cell r="G77" t="str">
            <v>0000000000</v>
          </cell>
        </row>
        <row r="77">
          <cell r="I77" t="str">
            <v>2601 S. Airfield Drive</v>
          </cell>
        </row>
        <row r="77">
          <cell r="L77" t="str">
            <v>DFW Airport</v>
          </cell>
          <cell r="M77" t="str">
            <v>TX</v>
          </cell>
          <cell r="N77" t="str">
            <v>US</v>
          </cell>
          <cell r="O77" t="str">
            <v>75261</v>
          </cell>
        </row>
        <row r="78">
          <cell r="A78" t="str">
            <v>DAL3</v>
          </cell>
          <cell r="B78" t="str">
            <v>DAL3</v>
          </cell>
        </row>
        <row r="78">
          <cell r="D78" t="str">
            <v>DAL3</v>
          </cell>
          <cell r="E78" t="str">
            <v>DAL3</v>
          </cell>
          <cell r="F78" t="str">
            <v>AMAZON</v>
          </cell>
          <cell r="G78" t="str">
            <v>0000000000</v>
          </cell>
        </row>
        <row r="78">
          <cell r="I78" t="str">
            <v>1301 Chalk Hill Rd</v>
          </cell>
        </row>
        <row r="78">
          <cell r="L78" t="str">
            <v>DALLAS</v>
          </cell>
          <cell r="M78" t="str">
            <v>TX</v>
          </cell>
          <cell r="N78" t="str">
            <v>US</v>
          </cell>
          <cell r="O78" t="str">
            <v>75211</v>
          </cell>
        </row>
        <row r="79">
          <cell r="A79" t="str">
            <v>DDT1</v>
          </cell>
          <cell r="B79" t="str">
            <v>DDT1</v>
          </cell>
        </row>
        <row r="79">
          <cell r="D79" t="str">
            <v>DDT1</v>
          </cell>
          <cell r="E79" t="str">
            <v>DDT1</v>
          </cell>
          <cell r="F79" t="str">
            <v>AMAZON</v>
          </cell>
          <cell r="G79" t="str">
            <v>0000000000</v>
          </cell>
        </row>
        <row r="79">
          <cell r="I79" t="str">
            <v>1400 E 10 MILE RD</v>
          </cell>
        </row>
        <row r="79">
          <cell r="L79" t="str">
            <v>HAZEL PARK</v>
          </cell>
          <cell r="M79" t="str">
            <v>MI</v>
          </cell>
          <cell r="N79" t="str">
            <v>US</v>
          </cell>
          <cell r="O79" t="str">
            <v>48030</v>
          </cell>
        </row>
        <row r="80">
          <cell r="A80" t="str">
            <v>DEN2</v>
          </cell>
          <cell r="B80" t="str">
            <v>DEN2</v>
          </cell>
        </row>
        <row r="80">
          <cell r="D80" t="str">
            <v>DEN2</v>
          </cell>
          <cell r="E80" t="str">
            <v>DEN2</v>
          </cell>
          <cell r="F80" t="str">
            <v>AMAZON</v>
          </cell>
          <cell r="G80" t="str">
            <v>0000000000</v>
          </cell>
        </row>
        <row r="80">
          <cell r="I80" t="str">
            <v>22205 East 19th Ave</v>
          </cell>
        </row>
        <row r="80">
          <cell r="L80" t="str">
            <v>Aurora</v>
          </cell>
          <cell r="M80" t="str">
            <v>CO</v>
          </cell>
          <cell r="N80" t="str">
            <v>US</v>
          </cell>
          <cell r="O80" t="str">
            <v>80019</v>
          </cell>
        </row>
        <row r="81">
          <cell r="A81" t="str">
            <v>DEN3</v>
          </cell>
          <cell r="B81" t="str">
            <v>DEN3</v>
          </cell>
        </row>
        <row r="81">
          <cell r="D81" t="str">
            <v>DEN3</v>
          </cell>
          <cell r="E81" t="str">
            <v>DEN3</v>
          </cell>
          <cell r="F81" t="str">
            <v>AMAZON</v>
          </cell>
          <cell r="G81" t="str">
            <v>0000000000</v>
          </cell>
        </row>
        <row r="81">
          <cell r="I81" t="str">
            <v>14601 Grant Street</v>
          </cell>
        </row>
        <row r="81">
          <cell r="L81" t="str">
            <v>Thornton</v>
          </cell>
          <cell r="M81" t="str">
            <v>CO</v>
          </cell>
          <cell r="N81" t="str">
            <v>US</v>
          </cell>
          <cell r="O81" t="str">
            <v>80023</v>
          </cell>
        </row>
        <row r="82">
          <cell r="A82" t="str">
            <v>DEN7</v>
          </cell>
          <cell r="B82" t="str">
            <v>DEN7</v>
          </cell>
        </row>
        <row r="82">
          <cell r="D82" t="str">
            <v>DEN7</v>
          </cell>
          <cell r="E82" t="str">
            <v>DEN7</v>
          </cell>
          <cell r="F82" t="str">
            <v>AMAZON</v>
          </cell>
          <cell r="G82" t="str">
            <v>0000000000</v>
          </cell>
        </row>
        <row r="82">
          <cell r="I82" t="str">
            <v>22300 E 26th Ave</v>
          </cell>
        </row>
        <row r="82">
          <cell r="L82" t="str">
            <v>AURORA</v>
          </cell>
          <cell r="M82" t="str">
            <v>CO</v>
          </cell>
          <cell r="N82" t="str">
            <v>US</v>
          </cell>
          <cell r="O82" t="str">
            <v>80019</v>
          </cell>
        </row>
        <row r="83">
          <cell r="A83" t="str">
            <v>DFW1</v>
          </cell>
          <cell r="B83" t="str">
            <v>DFW1</v>
          </cell>
        </row>
        <row r="83">
          <cell r="D83" t="str">
            <v>DFW1</v>
          </cell>
          <cell r="E83" t="str">
            <v>DFW1</v>
          </cell>
          <cell r="F83" t="str">
            <v>AMAZON</v>
          </cell>
          <cell r="G83" t="str">
            <v>0000000000</v>
          </cell>
        </row>
        <row r="83">
          <cell r="I83" t="str">
            <v>2700 Regent Blvd</v>
          </cell>
        </row>
        <row r="83">
          <cell r="L83" t="str">
            <v>Irving</v>
          </cell>
          <cell r="M83" t="str">
            <v>TX</v>
          </cell>
          <cell r="N83" t="str">
            <v>US</v>
          </cell>
          <cell r="O83" t="str">
            <v>75063</v>
          </cell>
        </row>
        <row r="84">
          <cell r="A84" t="str">
            <v>DFW7</v>
          </cell>
          <cell r="B84" t="str">
            <v>DFW7</v>
          </cell>
        </row>
        <row r="84">
          <cell r="D84" t="str">
            <v>DFW7</v>
          </cell>
          <cell r="E84" t="str">
            <v>DFW7</v>
          </cell>
          <cell r="F84" t="str">
            <v>AMAZON</v>
          </cell>
          <cell r="G84" t="str">
            <v>0000000000</v>
          </cell>
        </row>
        <row r="84">
          <cell r="I84" t="str">
            <v>700 Westport Parkway</v>
          </cell>
        </row>
        <row r="84">
          <cell r="L84" t="str">
            <v>Fort Worth</v>
          </cell>
          <cell r="M84" t="str">
            <v>TX</v>
          </cell>
          <cell r="N84" t="str">
            <v>US</v>
          </cell>
          <cell r="O84" t="str">
            <v>76177</v>
          </cell>
        </row>
        <row r="85">
          <cell r="A85" t="str">
            <v>DFW8</v>
          </cell>
          <cell r="B85" t="str">
            <v>DFW8</v>
          </cell>
        </row>
        <row r="85">
          <cell r="D85" t="str">
            <v>DFW8</v>
          </cell>
          <cell r="E85" t="str">
            <v>DFW8</v>
          </cell>
          <cell r="F85" t="str">
            <v>AMAZON</v>
          </cell>
          <cell r="G85" t="str">
            <v>0000000000</v>
          </cell>
        </row>
        <row r="85">
          <cell r="I85" t="str">
            <v>2700 Regent Blvd</v>
          </cell>
        </row>
        <row r="85">
          <cell r="L85" t="str">
            <v>DFW Airport</v>
          </cell>
          <cell r="M85" t="str">
            <v>TX</v>
          </cell>
          <cell r="N85" t="str">
            <v>US</v>
          </cell>
          <cell r="O85" t="str">
            <v>75261</v>
          </cell>
        </row>
        <row r="86">
          <cell r="A86" t="str">
            <v>DS01</v>
          </cell>
          <cell r="B86" t="str">
            <v>DS01</v>
          </cell>
        </row>
        <row r="86">
          <cell r="D86" t="str">
            <v>DS01</v>
          </cell>
          <cell r="E86" t="str">
            <v>DS01</v>
          </cell>
          <cell r="F86" t="str">
            <v>AMAZON</v>
          </cell>
          <cell r="G86" t="str">
            <v>0000000000</v>
          </cell>
        </row>
        <row r="86">
          <cell r="I86" t="str">
            <v>4792 Gregg Rd</v>
          </cell>
        </row>
        <row r="86">
          <cell r="L86" t="str">
            <v>Pico Rivera</v>
          </cell>
          <cell r="M86" t="str">
            <v>CA</v>
          </cell>
          <cell r="N86" t="str">
            <v>US</v>
          </cell>
          <cell r="O86" t="str">
            <v>90660</v>
          </cell>
        </row>
        <row r="87">
          <cell r="A87" t="str">
            <v>DSM5</v>
          </cell>
          <cell r="B87" t="str">
            <v>DSM5</v>
          </cell>
        </row>
        <row r="87">
          <cell r="D87" t="str">
            <v>DSM5</v>
          </cell>
          <cell r="E87" t="str">
            <v>DSM5</v>
          </cell>
          <cell r="F87" t="str">
            <v>AMAZON</v>
          </cell>
          <cell r="G87" t="str">
            <v>0000000000</v>
          </cell>
        </row>
        <row r="87">
          <cell r="I87" t="str">
            <v>500 32nd St SW</v>
          </cell>
        </row>
        <row r="87">
          <cell r="L87" t="str">
            <v>Altoona</v>
          </cell>
          <cell r="M87" t="str">
            <v>IA</v>
          </cell>
          <cell r="N87" t="str">
            <v>US</v>
          </cell>
          <cell r="O87" t="str">
            <v>50009</v>
          </cell>
        </row>
        <row r="88">
          <cell r="A88" t="str">
            <v>DTM2</v>
          </cell>
          <cell r="B88" t="str">
            <v>DTM2</v>
          </cell>
        </row>
        <row r="88">
          <cell r="D88" t="str">
            <v>DTM2</v>
          </cell>
          <cell r="E88" t="str">
            <v>DTM2</v>
          </cell>
          <cell r="F88" t="str">
            <v>AMAZON</v>
          </cell>
          <cell r="G88" t="str">
            <v>0000000000</v>
          </cell>
        </row>
        <row r="88">
          <cell r="I88" t="str">
            <v>Amazon Fulfillment Center Kaltbandstrasse 4 Dortmund, North Rhine-Westphalia 44145 DE (DTM2)</v>
          </cell>
        </row>
        <row r="88">
          <cell r="L88" t="str">
            <v>Dortmund</v>
          </cell>
          <cell r="M88" t="str">
            <v>NORDRHEIN-WESTFALEN</v>
          </cell>
          <cell r="N88" t="str">
            <v>US</v>
          </cell>
          <cell r="O88" t="str">
            <v>44145</v>
          </cell>
        </row>
        <row r="89">
          <cell r="A89" t="str">
            <v>DTW1</v>
          </cell>
          <cell r="B89" t="str">
            <v>DTW1</v>
          </cell>
        </row>
        <row r="89">
          <cell r="D89" t="str">
            <v>DTW1</v>
          </cell>
          <cell r="E89" t="str">
            <v>DTW1</v>
          </cell>
          <cell r="F89" t="str">
            <v>AMAZON</v>
          </cell>
          <cell r="G89" t="str">
            <v>0000000000</v>
          </cell>
        </row>
        <row r="89">
          <cell r="I89" t="str">
            <v>32801 Ecorse Road</v>
          </cell>
        </row>
        <row r="89">
          <cell r="L89" t="str">
            <v>Romulus</v>
          </cell>
          <cell r="M89" t="str">
            <v>MI</v>
          </cell>
          <cell r="N89" t="str">
            <v>US</v>
          </cell>
          <cell r="O89" t="str">
            <v>48174</v>
          </cell>
        </row>
        <row r="90">
          <cell r="A90" t="str">
            <v>EL96</v>
          </cell>
          <cell r="B90" t="str">
            <v>EL96</v>
          </cell>
        </row>
        <row r="90">
          <cell r="D90" t="str">
            <v>EL96</v>
          </cell>
          <cell r="E90" t="str">
            <v>EL96</v>
          </cell>
          <cell r="F90" t="str">
            <v>AMAZON</v>
          </cell>
          <cell r="G90" t="str">
            <v>0000000000</v>
          </cell>
        </row>
        <row r="90">
          <cell r="I90" t="str">
            <v>10 sigle lane, unit b</v>
          </cell>
        </row>
        <row r="90">
          <cell r="L90" t="str">
            <v>Dayton</v>
          </cell>
          <cell r="M90" t="str">
            <v>NJ</v>
          </cell>
          <cell r="N90" t="str">
            <v>US</v>
          </cell>
          <cell r="O90" t="str">
            <v>08810</v>
          </cell>
        </row>
        <row r="91">
          <cell r="A91" t="str">
            <v>FAT1</v>
          </cell>
          <cell r="B91" t="str">
            <v>FAT1</v>
          </cell>
        </row>
        <row r="91">
          <cell r="D91" t="str">
            <v>FAT1</v>
          </cell>
          <cell r="E91" t="str">
            <v>FAT1</v>
          </cell>
          <cell r="F91" t="str">
            <v>AMAZON</v>
          </cell>
          <cell r="G91" t="str">
            <v>0000000000</v>
          </cell>
        </row>
        <row r="91">
          <cell r="I91" t="str">
            <v>3575 S. Orange Ave</v>
          </cell>
        </row>
        <row r="91">
          <cell r="L91" t="str">
            <v>Fresno</v>
          </cell>
          <cell r="M91" t="str">
            <v>CA</v>
          </cell>
          <cell r="N91" t="str">
            <v>US</v>
          </cell>
          <cell r="O91" t="str">
            <v>93725</v>
          </cell>
        </row>
        <row r="92">
          <cell r="A92" t="str">
            <v>FAT2</v>
          </cell>
          <cell r="B92" t="str">
            <v>FAT2</v>
          </cell>
        </row>
        <row r="92">
          <cell r="D92" t="str">
            <v>FAT2</v>
          </cell>
          <cell r="E92" t="str">
            <v>FAT2</v>
          </cell>
          <cell r="F92" t="str">
            <v>AMAZON</v>
          </cell>
          <cell r="G92" t="str">
            <v>0000000000</v>
          </cell>
        </row>
        <row r="92">
          <cell r="I92" t="str">
            <v>3315 N KELSEY ST</v>
          </cell>
        </row>
        <row r="92">
          <cell r="L92" t="str">
            <v>VISALIA</v>
          </cell>
          <cell r="M92" t="str">
            <v>CA</v>
          </cell>
          <cell r="N92" t="str">
            <v>US</v>
          </cell>
          <cell r="O92" t="str">
            <v>93291</v>
          </cell>
        </row>
        <row r="93">
          <cell r="A93" t="str">
            <v>FTW2</v>
          </cell>
          <cell r="B93" t="str">
            <v>FTW2</v>
          </cell>
        </row>
        <row r="93">
          <cell r="D93" t="str">
            <v>FTW2</v>
          </cell>
          <cell r="E93" t="str">
            <v>FTW2</v>
          </cell>
          <cell r="F93" t="str">
            <v>AMAZON</v>
          </cell>
          <cell r="G93" t="str">
            <v>0000000000</v>
          </cell>
        </row>
        <row r="93">
          <cell r="I93" t="str">
            <v>2701 West Bethel Road</v>
          </cell>
        </row>
        <row r="93">
          <cell r="L93" t="str">
            <v>Coppell</v>
          </cell>
          <cell r="M93" t="str">
            <v>TX</v>
          </cell>
          <cell r="N93" t="str">
            <v>US</v>
          </cell>
          <cell r="O93" t="str">
            <v>75019</v>
          </cell>
        </row>
        <row r="94">
          <cell r="A94" t="str">
            <v>FTW3</v>
          </cell>
          <cell r="B94" t="str">
            <v>FTW3</v>
          </cell>
        </row>
        <row r="94">
          <cell r="D94" t="str">
            <v>FTW3</v>
          </cell>
          <cell r="E94" t="str">
            <v>FTW3</v>
          </cell>
          <cell r="F94" t="str">
            <v>AMAZON</v>
          </cell>
          <cell r="G94" t="str">
            <v>0000000000</v>
          </cell>
        </row>
        <row r="94">
          <cell r="I94" t="str">
            <v>15201 Heritage Pkwy</v>
          </cell>
        </row>
        <row r="94">
          <cell r="L94" t="str">
            <v>Fort Worth</v>
          </cell>
          <cell r="M94" t="str">
            <v>TX</v>
          </cell>
          <cell r="N94" t="str">
            <v>US</v>
          </cell>
          <cell r="O94" t="str">
            <v>76177</v>
          </cell>
        </row>
        <row r="95">
          <cell r="A95" t="str">
            <v>FTW5</v>
          </cell>
          <cell r="B95" t="str">
            <v>FTW5</v>
          </cell>
        </row>
        <row r="95">
          <cell r="D95" t="str">
            <v>FTW5</v>
          </cell>
          <cell r="E95" t="str">
            <v>FTW5</v>
          </cell>
          <cell r="F95" t="str">
            <v>AMAZON</v>
          </cell>
          <cell r="G95" t="str">
            <v>0000000000</v>
          </cell>
        </row>
        <row r="95">
          <cell r="I95" t="str">
            <v>1475 AKRON WAY</v>
          </cell>
        </row>
        <row r="95">
          <cell r="L95" t="str">
            <v>FORNEY</v>
          </cell>
          <cell r="M95" t="str">
            <v>TX</v>
          </cell>
          <cell r="N95" t="str">
            <v>US</v>
          </cell>
          <cell r="O95" t="str">
            <v>75126</v>
          </cell>
        </row>
        <row r="96">
          <cell r="A96" t="str">
            <v>FTW6</v>
          </cell>
          <cell r="B96" t="str">
            <v>FTW6</v>
          </cell>
        </row>
        <row r="96">
          <cell r="D96" t="str">
            <v>FTW6</v>
          </cell>
          <cell r="E96" t="str">
            <v>FTW6</v>
          </cell>
          <cell r="F96" t="str">
            <v>AMAZON</v>
          </cell>
          <cell r="G96" t="str">
            <v>0000000000</v>
          </cell>
        </row>
        <row r="96">
          <cell r="I96" t="str">
            <v>2601 W Bethel Road</v>
          </cell>
        </row>
        <row r="96">
          <cell r="L96" t="str">
            <v>Dallas</v>
          </cell>
          <cell r="M96" t="str">
            <v>TX</v>
          </cell>
          <cell r="N96" t="str">
            <v>US</v>
          </cell>
          <cell r="O96" t="str">
            <v>75261</v>
          </cell>
        </row>
        <row r="97">
          <cell r="A97" t="str">
            <v>FTW9</v>
          </cell>
          <cell r="B97" t="str">
            <v>FTW9</v>
          </cell>
        </row>
        <row r="97">
          <cell r="D97" t="str">
            <v>FTW9</v>
          </cell>
          <cell r="E97" t="str">
            <v>FTW9</v>
          </cell>
          <cell r="F97" t="str">
            <v>AMAZON</v>
          </cell>
          <cell r="G97" t="str">
            <v>0000000000</v>
          </cell>
        </row>
        <row r="97">
          <cell r="I97" t="str">
            <v>944 West Sandy Lake Road</v>
          </cell>
        </row>
        <row r="97">
          <cell r="L97" t="str">
            <v>COPPELL</v>
          </cell>
          <cell r="M97" t="str">
            <v>TX</v>
          </cell>
          <cell r="N97" t="str">
            <v>US</v>
          </cell>
          <cell r="O97" t="str">
            <v>75019</v>
          </cell>
        </row>
        <row r="98">
          <cell r="A98" t="str">
            <v>GEG2</v>
          </cell>
          <cell r="B98" t="str">
            <v>GEG2</v>
          </cell>
        </row>
        <row r="98">
          <cell r="D98" t="str">
            <v>GEG2</v>
          </cell>
          <cell r="E98" t="str">
            <v>GEG2</v>
          </cell>
          <cell r="F98" t="str">
            <v>AMAZON</v>
          </cell>
          <cell r="G98" t="str">
            <v>0000000000</v>
          </cell>
        </row>
        <row r="98">
          <cell r="I98" t="str">
            <v>18007 E Garland Ave</v>
          </cell>
        </row>
        <row r="98">
          <cell r="L98" t="str">
            <v>SPOKANE</v>
          </cell>
          <cell r="M98" t="str">
            <v>WA</v>
          </cell>
          <cell r="N98" t="str">
            <v>US</v>
          </cell>
          <cell r="O98" t="str">
            <v>99216</v>
          </cell>
        </row>
        <row r="99">
          <cell r="A99" t="str">
            <v>GGE1</v>
          </cell>
          <cell r="B99" t="str">
            <v>GGE1</v>
          </cell>
        </row>
        <row r="99">
          <cell r="D99" t="str">
            <v>GGE1</v>
          </cell>
          <cell r="E99" t="str">
            <v>GGE1</v>
          </cell>
          <cell r="F99" t="str">
            <v>AMAZON</v>
          </cell>
          <cell r="G99" t="str">
            <v>0000000000</v>
          </cell>
        </row>
        <row r="99">
          <cell r="I99" t="str">
            <v>Muse Paintbar 217 Patriot Place</v>
          </cell>
        </row>
        <row r="99">
          <cell r="L99" t="str">
            <v>Foxborough</v>
          </cell>
          <cell r="M99" t="str">
            <v>MA</v>
          </cell>
          <cell r="N99" t="str">
            <v>US</v>
          </cell>
          <cell r="O99" t="str">
            <v>02035</v>
          </cell>
        </row>
        <row r="100">
          <cell r="A100" t="str">
            <v>GGE2</v>
          </cell>
          <cell r="B100" t="str">
            <v>GGE2</v>
          </cell>
        </row>
        <row r="100">
          <cell r="D100" t="str">
            <v>GGE2</v>
          </cell>
          <cell r="E100" t="str">
            <v>GGE2</v>
          </cell>
          <cell r="F100" t="str">
            <v>AMAZON</v>
          </cell>
          <cell r="G100" t="str">
            <v>0000000000</v>
          </cell>
        </row>
        <row r="100">
          <cell r="I100" t="str">
            <v>Muse Paintbar 134 Main Street Port</v>
          </cell>
        </row>
        <row r="100">
          <cell r="L100" t="str">
            <v>Jefferson</v>
          </cell>
          <cell r="M100" t="str">
            <v>NY</v>
          </cell>
          <cell r="N100" t="str">
            <v>US</v>
          </cell>
          <cell r="O100" t="str">
            <v>11777</v>
          </cell>
        </row>
        <row r="101">
          <cell r="A101" t="str">
            <v>GGE3</v>
          </cell>
          <cell r="B101" t="str">
            <v>GGE3</v>
          </cell>
        </row>
        <row r="101">
          <cell r="D101" t="str">
            <v>GGE3</v>
          </cell>
          <cell r="E101" t="str">
            <v>GGE3</v>
          </cell>
          <cell r="F101" t="str">
            <v>AMAZON</v>
          </cell>
          <cell r="G101" t="str">
            <v>0000000000</v>
          </cell>
        </row>
        <row r="101">
          <cell r="I101" t="str">
            <v>Muse Paintbar 55 N. Main Street</v>
          </cell>
        </row>
        <row r="101">
          <cell r="L101" t="str">
            <v>Norwalk</v>
          </cell>
          <cell r="M101" t="str">
            <v>CT</v>
          </cell>
          <cell r="N101" t="str">
            <v>US</v>
          </cell>
          <cell r="O101" t="str">
            <v>6854</v>
          </cell>
        </row>
        <row r="102">
          <cell r="A102" t="str">
            <v>GGE4</v>
          </cell>
          <cell r="B102" t="str">
            <v>GGE4</v>
          </cell>
        </row>
        <row r="102">
          <cell r="D102" t="str">
            <v>GGE4</v>
          </cell>
          <cell r="E102" t="str">
            <v>GGE4</v>
          </cell>
          <cell r="F102" t="str">
            <v>AMAZON</v>
          </cell>
          <cell r="G102" t="str">
            <v>0000000000</v>
          </cell>
        </row>
        <row r="102">
          <cell r="I102" t="str">
            <v>Muse Paintbar 34 Middle Neck Road</v>
          </cell>
        </row>
        <row r="102">
          <cell r="L102" t="str">
            <v>Great Neck</v>
          </cell>
          <cell r="M102" t="str">
            <v>NY</v>
          </cell>
          <cell r="N102" t="str">
            <v>US</v>
          </cell>
          <cell r="O102" t="str">
            <v>11021</v>
          </cell>
        </row>
        <row r="103">
          <cell r="A103" t="str">
            <v>GGE5</v>
          </cell>
          <cell r="B103" t="str">
            <v>GGE5</v>
          </cell>
        </row>
        <row r="103">
          <cell r="D103" t="str">
            <v>GGE5</v>
          </cell>
          <cell r="E103" t="str">
            <v>GGE5</v>
          </cell>
          <cell r="F103" t="str">
            <v>AMAZON</v>
          </cell>
          <cell r="G103" t="str">
            <v>0000000000</v>
          </cell>
        </row>
        <row r="103">
          <cell r="I103" t="str">
            <v>Muse Paintbar 837 Franklin Avenue</v>
          </cell>
        </row>
        <row r="103">
          <cell r="L103" t="str">
            <v>Garden City</v>
          </cell>
          <cell r="M103" t="str">
            <v>NY</v>
          </cell>
          <cell r="N103" t="str">
            <v>US</v>
          </cell>
          <cell r="O103" t="str">
            <v>11530</v>
          </cell>
        </row>
        <row r="104">
          <cell r="A104" t="str">
            <v>GGE6</v>
          </cell>
          <cell r="B104" t="str">
            <v>GGE6</v>
          </cell>
        </row>
        <row r="104">
          <cell r="D104" t="str">
            <v>GGE6</v>
          </cell>
          <cell r="E104" t="str">
            <v>GGE6</v>
          </cell>
          <cell r="F104" t="str">
            <v>AMAZON</v>
          </cell>
          <cell r="G104" t="str">
            <v>0000000000</v>
          </cell>
        </row>
        <row r="104">
          <cell r="I104" t="str">
            <v>Muse Paintbar 265 Market Street #2040</v>
          </cell>
        </row>
        <row r="104">
          <cell r="L104" t="str">
            <v>Yonker</v>
          </cell>
          <cell r="M104" t="str">
            <v>NY</v>
          </cell>
          <cell r="N104" t="str">
            <v>US</v>
          </cell>
          <cell r="O104" t="str">
            <v>10710</v>
          </cell>
        </row>
        <row r="105">
          <cell r="A105" t="str">
            <v>GGE7</v>
          </cell>
          <cell r="B105" t="str">
            <v>GGE7</v>
          </cell>
        </row>
        <row r="105">
          <cell r="D105" t="str">
            <v>GGE7</v>
          </cell>
          <cell r="E105" t="str">
            <v>GGE7</v>
          </cell>
          <cell r="F105" t="str">
            <v>AMAZON</v>
          </cell>
          <cell r="G105" t="str">
            <v>0000000000</v>
          </cell>
        </row>
        <row r="105">
          <cell r="I105" t="str">
            <v>Muse Paintbar 329 Greenwich Street</v>
          </cell>
        </row>
        <row r="105">
          <cell r="L105" t="str">
            <v>New York</v>
          </cell>
          <cell r="M105" t="str">
            <v>NY</v>
          </cell>
          <cell r="N105" t="str">
            <v>US</v>
          </cell>
          <cell r="O105" t="str">
            <v>10013</v>
          </cell>
        </row>
        <row r="106">
          <cell r="A106" t="str">
            <v>GGE8</v>
          </cell>
          <cell r="B106" t="str">
            <v>GGE8</v>
          </cell>
        </row>
        <row r="106">
          <cell r="D106" t="str">
            <v>GGE8</v>
          </cell>
          <cell r="E106" t="str">
            <v>GGE8</v>
          </cell>
          <cell r="F106" t="str">
            <v>AMAZON</v>
          </cell>
          <cell r="G106" t="str">
            <v>0000000000</v>
          </cell>
        </row>
        <row r="106">
          <cell r="I106" t="str">
            <v>Muse Paintbar 2920 District Ave #100</v>
          </cell>
        </row>
        <row r="106">
          <cell r="L106" t="str">
            <v>Fairfax</v>
          </cell>
          <cell r="M106" t="str">
            <v>VA</v>
          </cell>
          <cell r="N106" t="str">
            <v>US</v>
          </cell>
          <cell r="O106" t="str">
            <v>22031</v>
          </cell>
        </row>
        <row r="107">
          <cell r="A107" t="str">
            <v>GRR1</v>
          </cell>
          <cell r="B107" t="str">
            <v>GRR1</v>
          </cell>
        </row>
        <row r="107">
          <cell r="D107" t="str">
            <v>GRR1</v>
          </cell>
          <cell r="E107" t="str">
            <v>GRR1</v>
          </cell>
          <cell r="F107" t="str">
            <v>AMAZON</v>
          </cell>
          <cell r="G107" t="str">
            <v>0000000000</v>
          </cell>
        </row>
        <row r="107">
          <cell r="I107" t="str">
            <v>4500 68th St SE</v>
          </cell>
        </row>
        <row r="107">
          <cell r="L107" t="str">
            <v>CALEDONIA</v>
          </cell>
          <cell r="M107" t="str">
            <v>MI</v>
          </cell>
          <cell r="N107" t="str">
            <v>US</v>
          </cell>
          <cell r="O107" t="str">
            <v>49316</v>
          </cell>
        </row>
        <row r="108">
          <cell r="A108" t="str">
            <v>GYR1</v>
          </cell>
          <cell r="B108" t="str">
            <v>GYR1</v>
          </cell>
        </row>
        <row r="108">
          <cell r="D108" t="str">
            <v>GYR1</v>
          </cell>
          <cell r="E108" t="str">
            <v>GYR1</v>
          </cell>
          <cell r="F108" t="str">
            <v>AMAZON</v>
          </cell>
          <cell r="G108" t="str">
            <v>0000000000</v>
          </cell>
        </row>
        <row r="108">
          <cell r="I108" t="str">
            <v>605 S BULLARD AVE</v>
          </cell>
        </row>
        <row r="108">
          <cell r="L108" t="str">
            <v>GOODYEAR</v>
          </cell>
          <cell r="M108" t="str">
            <v>AZ</v>
          </cell>
          <cell r="N108" t="str">
            <v>US</v>
          </cell>
          <cell r="O108" t="str">
            <v>85338</v>
          </cell>
        </row>
        <row r="109">
          <cell r="A109" t="str">
            <v>HOU1</v>
          </cell>
          <cell r="B109" t="str">
            <v>HOU1</v>
          </cell>
        </row>
        <row r="109">
          <cell r="D109" t="str">
            <v>HOU1</v>
          </cell>
          <cell r="E109" t="str">
            <v>HOU1</v>
          </cell>
          <cell r="F109" t="str">
            <v>AMAZON</v>
          </cell>
          <cell r="G109" t="str">
            <v>0000000000</v>
          </cell>
        </row>
        <row r="109">
          <cell r="I109" t="str">
            <v>8120 Humble Westfield Rd</v>
          </cell>
        </row>
        <row r="109">
          <cell r="L109" t="str">
            <v>Humble</v>
          </cell>
          <cell r="M109" t="str">
            <v>TX</v>
          </cell>
          <cell r="N109" t="str">
            <v>US</v>
          </cell>
          <cell r="O109" t="str">
            <v>77338</v>
          </cell>
        </row>
        <row r="110">
          <cell r="A110" t="str">
            <v>HOU2</v>
          </cell>
          <cell r="B110" t="str">
            <v>HOU2</v>
          </cell>
        </row>
        <row r="110">
          <cell r="D110" t="str">
            <v>HOU2</v>
          </cell>
          <cell r="E110" t="str">
            <v>HOU2</v>
          </cell>
          <cell r="F110" t="str">
            <v>AMAZON</v>
          </cell>
          <cell r="G110" t="str">
            <v>0000000000</v>
          </cell>
        </row>
        <row r="110">
          <cell r="I110" t="str">
            <v>10550 Ella Blvd.</v>
          </cell>
        </row>
        <row r="110">
          <cell r="L110" t="str">
            <v>Houston</v>
          </cell>
          <cell r="M110" t="str">
            <v>TX</v>
          </cell>
          <cell r="N110" t="str">
            <v>US</v>
          </cell>
          <cell r="O110" t="str">
            <v>77038</v>
          </cell>
        </row>
        <row r="111">
          <cell r="A111" t="str">
            <v>HOU3</v>
          </cell>
          <cell r="B111" t="str">
            <v>HOU3</v>
          </cell>
        </row>
        <row r="111">
          <cell r="D111" t="str">
            <v>HOU3</v>
          </cell>
          <cell r="E111" t="str">
            <v>HOU3</v>
          </cell>
          <cell r="F111" t="str">
            <v>AMAZON</v>
          </cell>
          <cell r="G111" t="str">
            <v>0000000000</v>
          </cell>
        </row>
        <row r="111">
          <cell r="I111" t="str">
            <v>31555 Highway 90 E</v>
          </cell>
        </row>
        <row r="111">
          <cell r="L111" t="str">
            <v>Brookshire</v>
          </cell>
          <cell r="M111" t="str">
            <v>TX</v>
          </cell>
          <cell r="N111" t="str">
            <v>US</v>
          </cell>
          <cell r="O111" t="str">
            <v>77423</v>
          </cell>
        </row>
        <row r="112">
          <cell r="A112" t="str">
            <v>HOU7</v>
          </cell>
          <cell r="B112" t="str">
            <v>HOU7</v>
          </cell>
        </row>
        <row r="112">
          <cell r="D112" t="str">
            <v>HOU7</v>
          </cell>
          <cell r="E112" t="str">
            <v>HOU7</v>
          </cell>
          <cell r="F112" t="str">
            <v>AMAZON</v>
          </cell>
          <cell r="G112" t="str">
            <v>0000000000</v>
          </cell>
        </row>
        <row r="112">
          <cell r="I112" t="str">
            <v>16225 Tomball Pkwy</v>
          </cell>
        </row>
        <row r="112">
          <cell r="L112" t="str">
            <v>Houston</v>
          </cell>
          <cell r="M112" t="str">
            <v>TX</v>
          </cell>
          <cell r="N112" t="str">
            <v>US</v>
          </cell>
          <cell r="O112" t="str">
            <v>77064</v>
          </cell>
        </row>
        <row r="113">
          <cell r="A113" t="str">
            <v>HOU8</v>
          </cell>
          <cell r="B113" t="str">
            <v>HOU8</v>
          </cell>
        </row>
        <row r="113">
          <cell r="D113" t="str">
            <v>HOU8</v>
          </cell>
          <cell r="E113" t="str">
            <v>HOU8</v>
          </cell>
          <cell r="F113" t="str">
            <v>AMAZON</v>
          </cell>
          <cell r="G113" t="str">
            <v>0000000000</v>
          </cell>
        </row>
        <row r="113">
          <cell r="I113" t="str">
            <v>2303 Hurricane Ln</v>
          </cell>
        </row>
        <row r="113">
          <cell r="L113" t="str">
            <v>Fresno</v>
          </cell>
          <cell r="M113" t="str">
            <v>TX</v>
          </cell>
          <cell r="N113" t="str">
            <v>US</v>
          </cell>
          <cell r="O113" t="str">
            <v>77545</v>
          </cell>
        </row>
        <row r="114">
          <cell r="A114" t="str">
            <v>IND1</v>
          </cell>
          <cell r="B114" t="str">
            <v>IND1</v>
          </cell>
        </row>
        <row r="114">
          <cell r="D114" t="str">
            <v>IND1</v>
          </cell>
          <cell r="E114" t="str">
            <v>IND1</v>
          </cell>
          <cell r="F114" t="str">
            <v>AMAZON</v>
          </cell>
          <cell r="G114" t="str">
            <v>0000000000</v>
          </cell>
        </row>
        <row r="114">
          <cell r="I114" t="str">
            <v>4255 Anson Blvd</v>
          </cell>
        </row>
        <row r="114">
          <cell r="L114" t="str">
            <v>Whitestown</v>
          </cell>
          <cell r="M114" t="str">
            <v>IN</v>
          </cell>
          <cell r="N114" t="str">
            <v>US</v>
          </cell>
          <cell r="O114" t="str">
            <v>46075</v>
          </cell>
        </row>
        <row r="115">
          <cell r="A115" t="str">
            <v>IND3</v>
          </cell>
          <cell r="B115" t="str">
            <v>IND3</v>
          </cell>
        </row>
        <row r="115">
          <cell r="D115" t="str">
            <v>IND3</v>
          </cell>
          <cell r="E115" t="str">
            <v>IND3</v>
          </cell>
          <cell r="F115" t="str">
            <v>AMAZON</v>
          </cell>
          <cell r="G115" t="str">
            <v>0000000000</v>
          </cell>
        </row>
        <row r="115">
          <cell r="I115" t="str">
            <v>715 Airtech Pkwy Suite 195</v>
          </cell>
        </row>
        <row r="115">
          <cell r="L115" t="str">
            <v>Plainfield</v>
          </cell>
          <cell r="M115" t="str">
            <v>IN</v>
          </cell>
          <cell r="N115" t="str">
            <v>US</v>
          </cell>
          <cell r="O115" t="str">
            <v>46168</v>
          </cell>
        </row>
        <row r="116">
          <cell r="A116" t="str">
            <v>IND5</v>
          </cell>
          <cell r="B116" t="str">
            <v>IND5</v>
          </cell>
        </row>
        <row r="116">
          <cell r="D116" t="str">
            <v>IND5</v>
          </cell>
          <cell r="E116" t="str">
            <v>IND5</v>
          </cell>
          <cell r="F116" t="str">
            <v>AMAZON</v>
          </cell>
          <cell r="G116" t="str">
            <v>0000000000</v>
          </cell>
        </row>
        <row r="116">
          <cell r="I116" t="str">
            <v>800 Perry Road</v>
          </cell>
        </row>
        <row r="116">
          <cell r="L116" t="str">
            <v>Plainfield</v>
          </cell>
          <cell r="M116" t="str">
            <v>IN</v>
          </cell>
          <cell r="N116" t="str">
            <v>US</v>
          </cell>
          <cell r="O116" t="str">
            <v>46168</v>
          </cell>
        </row>
        <row r="117">
          <cell r="A117" t="str">
            <v>IND6</v>
          </cell>
          <cell r="B117" t="str">
            <v>IND6</v>
          </cell>
        </row>
        <row r="117">
          <cell r="D117" t="str">
            <v>IND6</v>
          </cell>
          <cell r="E117" t="str">
            <v>IND6</v>
          </cell>
          <cell r="F117" t="str">
            <v>AMAZON</v>
          </cell>
          <cell r="G117" t="str">
            <v>0000000000</v>
          </cell>
        </row>
        <row r="117">
          <cell r="I117" t="str">
            <v>1453 E 10th St</v>
          </cell>
        </row>
        <row r="117">
          <cell r="L117" t="str">
            <v>Jeffersonville</v>
          </cell>
          <cell r="M117" t="str">
            <v>IN</v>
          </cell>
          <cell r="N117" t="str">
            <v>US</v>
          </cell>
          <cell r="O117" t="str">
            <v>47130</v>
          </cell>
        </row>
        <row r="118">
          <cell r="A118" t="str">
            <v>ITX1</v>
          </cell>
          <cell r="B118" t="str">
            <v>ITX1</v>
          </cell>
        </row>
        <row r="118">
          <cell r="D118" t="str">
            <v>ITX1</v>
          </cell>
          <cell r="E118" t="str">
            <v>ITX1</v>
          </cell>
          <cell r="F118" t="str">
            <v>AMAZON</v>
          </cell>
          <cell r="G118" t="str">
            <v>0000000000</v>
          </cell>
        </row>
        <row r="118">
          <cell r="I118" t="str">
            <v>9851 Fallbrook Pines Drive Suite 100</v>
          </cell>
        </row>
        <row r="118">
          <cell r="L118" t="str">
            <v>Houston</v>
          </cell>
          <cell r="M118" t="str">
            <v>TX</v>
          </cell>
          <cell r="N118" t="str">
            <v>US</v>
          </cell>
          <cell r="O118" t="str">
            <v>77064</v>
          </cell>
        </row>
        <row r="119">
          <cell r="A119" t="str">
            <v>ITX2</v>
          </cell>
          <cell r="B119" t="str">
            <v>ITX2</v>
          </cell>
        </row>
        <row r="119">
          <cell r="D119" t="str">
            <v>ITX2</v>
          </cell>
          <cell r="E119" t="str">
            <v>ITX2</v>
          </cell>
          <cell r="F119" t="str">
            <v>AMAZON</v>
          </cell>
          <cell r="G119" t="str">
            <v>0000000000</v>
          </cell>
        </row>
        <row r="119">
          <cell r="I119" t="str">
            <v>6911 FAIRBANKS N HOUSTON RD SUITE 160</v>
          </cell>
        </row>
        <row r="119">
          <cell r="L119" t="str">
            <v>Houston</v>
          </cell>
          <cell r="M119" t="str">
            <v>TX</v>
          </cell>
          <cell r="N119" t="str">
            <v>US</v>
          </cell>
          <cell r="O119" t="str">
            <v>77040</v>
          </cell>
        </row>
        <row r="120">
          <cell r="A120" t="str">
            <v>IVSA</v>
          </cell>
          <cell r="B120" t="str">
            <v>IVSA</v>
          </cell>
        </row>
        <row r="120">
          <cell r="D120" t="str">
            <v>IVSA</v>
          </cell>
          <cell r="E120" t="str">
            <v>IVSA</v>
          </cell>
          <cell r="F120" t="str">
            <v>AMAZON</v>
          </cell>
          <cell r="G120" t="str">
            <v>0000000000</v>
          </cell>
        </row>
        <row r="120">
          <cell r="I120" t="str">
            <v>4620 Olympic Blvd</v>
          </cell>
        </row>
        <row r="120">
          <cell r="L120" t="str">
            <v>Erlanger</v>
          </cell>
          <cell r="M120" t="str">
            <v>KY</v>
          </cell>
          <cell r="N120" t="str">
            <v>US</v>
          </cell>
          <cell r="O120" t="str">
            <v>41018</v>
          </cell>
        </row>
        <row r="121">
          <cell r="A121" t="str">
            <v>IVSB</v>
          </cell>
          <cell r="B121" t="str">
            <v>IVSB</v>
          </cell>
        </row>
        <row r="121">
          <cell r="D121" t="str">
            <v>IVSB</v>
          </cell>
          <cell r="E121" t="str">
            <v>IVSB</v>
          </cell>
          <cell r="F121" t="str">
            <v>AMAZON</v>
          </cell>
          <cell r="G121" t="str">
            <v>0000000000</v>
          </cell>
        </row>
        <row r="121">
          <cell r="I121" t="str">
            <v>3521 POINT PLEASANT RD</v>
          </cell>
        </row>
        <row r="121">
          <cell r="L121" t="str">
            <v>HEBRON</v>
          </cell>
          <cell r="M121" t="str">
            <v>KY</v>
          </cell>
          <cell r="N121" t="str">
            <v>US</v>
          </cell>
          <cell r="O121" t="str">
            <v>41048</v>
          </cell>
        </row>
        <row r="122">
          <cell r="A122" t="str">
            <v>IVSC</v>
          </cell>
          <cell r="B122" t="str">
            <v>IVSC</v>
          </cell>
        </row>
        <row r="122">
          <cell r="D122" t="str">
            <v>IVSC</v>
          </cell>
          <cell r="E122" t="str">
            <v>IVSC</v>
          </cell>
          <cell r="F122" t="str">
            <v>AMAZON</v>
          </cell>
          <cell r="G122" t="str">
            <v>0000000000</v>
          </cell>
        </row>
        <row r="122">
          <cell r="I122" t="str">
            <v>Uno - West Deptford 1225 Forest Parkway West Deptf</v>
          </cell>
        </row>
        <row r="122">
          <cell r="L122" t="str">
            <v>West Deptford</v>
          </cell>
          <cell r="M122" t="str">
            <v>NJ</v>
          </cell>
          <cell r="N122" t="str">
            <v>US</v>
          </cell>
          <cell r="O122" t="str">
            <v>08066</v>
          </cell>
        </row>
        <row r="123">
          <cell r="A123" t="str">
            <v>IVSD</v>
          </cell>
          <cell r="B123" t="str">
            <v>IVSD</v>
          </cell>
        </row>
        <row r="123">
          <cell r="D123" t="str">
            <v>IVSD</v>
          </cell>
          <cell r="E123" t="str">
            <v>IVSD</v>
          </cell>
          <cell r="F123" t="str">
            <v>AMAZON</v>
          </cell>
          <cell r="G123" t="str">
            <v>0000000000</v>
          </cell>
        </row>
        <row r="123">
          <cell r="I123" t="str">
            <v>UNO - Swedesboro NJ 800 Arlington Blvd Swedesboro</v>
          </cell>
        </row>
        <row r="123">
          <cell r="L123" t="str">
            <v>Swedesboro</v>
          </cell>
          <cell r="M123" t="str">
            <v>NJ</v>
          </cell>
          <cell r="N123" t="str">
            <v>US</v>
          </cell>
          <cell r="O123" t="str">
            <v>08085</v>
          </cell>
        </row>
        <row r="124">
          <cell r="A124" t="str">
            <v>IVSE</v>
          </cell>
          <cell r="B124" t="str">
            <v>IVSE</v>
          </cell>
        </row>
        <row r="124">
          <cell r="D124" t="str">
            <v>IVSE</v>
          </cell>
          <cell r="E124" t="str">
            <v>IVSE</v>
          </cell>
          <cell r="F124" t="str">
            <v>AMAZON</v>
          </cell>
          <cell r="G124" t="str">
            <v>0000000000</v>
          </cell>
        </row>
        <row r="124">
          <cell r="I124" t="str">
            <v>2951 MARION DR UNIT 101</v>
          </cell>
        </row>
        <row r="124">
          <cell r="L124" t="str">
            <v>LAS VEGAS</v>
          </cell>
          <cell r="M124" t="str">
            <v>NV</v>
          </cell>
          <cell r="N124" t="str">
            <v>US</v>
          </cell>
          <cell r="O124" t="str">
            <v>89115</v>
          </cell>
        </row>
        <row r="125">
          <cell r="A125" t="str">
            <v>IVSF</v>
          </cell>
          <cell r="B125" t="str">
            <v>IVSF</v>
          </cell>
        </row>
        <row r="125">
          <cell r="D125" t="str">
            <v>IVSF</v>
          </cell>
          <cell r="E125" t="str">
            <v>IVSF</v>
          </cell>
          <cell r="F125" t="str">
            <v>AMAZON</v>
          </cell>
          <cell r="G125" t="str">
            <v>0000000000</v>
          </cell>
        </row>
        <row r="125">
          <cell r="I125" t="str">
            <v>2821 MARION DR STE 109</v>
          </cell>
        </row>
        <row r="125">
          <cell r="L125" t="str">
            <v>LAS VEGAS</v>
          </cell>
          <cell r="M125" t="str">
            <v>NV</v>
          </cell>
          <cell r="N125" t="str">
            <v>US</v>
          </cell>
          <cell r="O125" t="str">
            <v>89115</v>
          </cell>
        </row>
        <row r="126">
          <cell r="A126" t="str">
            <v>K1W1</v>
          </cell>
          <cell r="B126" t="str">
            <v>K1W1</v>
          </cell>
        </row>
        <row r="126">
          <cell r="D126" t="str">
            <v>K1W1</v>
          </cell>
          <cell r="E126" t="str">
            <v>K1W1</v>
          </cell>
          <cell r="F126" t="str">
            <v>AMAZON</v>
          </cell>
          <cell r="G126" t="str">
            <v>0000000000</v>
          </cell>
        </row>
        <row r="126">
          <cell r="I126" t="str">
            <v>4401 Eucalyptus Ave Unit 120</v>
          </cell>
        </row>
        <row r="126">
          <cell r="L126" t="str">
            <v>Chino</v>
          </cell>
          <cell r="M126" t="str">
            <v>CA</v>
          </cell>
          <cell r="N126" t="str">
            <v>US</v>
          </cell>
          <cell r="O126" t="str">
            <v>91710</v>
          </cell>
        </row>
        <row r="127">
          <cell r="A127" t="str">
            <v>KRB1</v>
          </cell>
          <cell r="B127" t="str">
            <v>KRB1</v>
          </cell>
        </row>
        <row r="127">
          <cell r="D127" t="str">
            <v>KRB1</v>
          </cell>
          <cell r="E127" t="str">
            <v>KRB1</v>
          </cell>
          <cell r="F127" t="str">
            <v>AMAZON</v>
          </cell>
          <cell r="G127" t="str">
            <v>0000000000</v>
          </cell>
        </row>
        <row r="127">
          <cell r="I127" t="str">
            <v>555 E ORANGE SHOW RD</v>
          </cell>
        </row>
        <row r="127">
          <cell r="L127" t="str">
            <v>SAN BERNARDINO</v>
          </cell>
          <cell r="M127" t="str">
            <v>CA</v>
          </cell>
          <cell r="N127" t="str">
            <v>US</v>
          </cell>
          <cell r="O127" t="str">
            <v>92408</v>
          </cell>
        </row>
        <row r="128">
          <cell r="A128" t="str">
            <v>KRB4</v>
          </cell>
          <cell r="B128" t="str">
            <v>KRB4</v>
          </cell>
        </row>
        <row r="128">
          <cell r="D128" t="str">
            <v>KRB4</v>
          </cell>
          <cell r="E128" t="str">
            <v>KRB4</v>
          </cell>
          <cell r="F128" t="str">
            <v>AMAZON</v>
          </cell>
          <cell r="G128" t="str">
            <v>0000000000</v>
          </cell>
        </row>
        <row r="128">
          <cell r="I128" t="str">
            <v>4501 PATTERSON AVE</v>
          </cell>
        </row>
        <row r="128">
          <cell r="L128" t="str">
            <v>PERRIS</v>
          </cell>
          <cell r="M128" t="str">
            <v>CA</v>
          </cell>
          <cell r="N128" t="str">
            <v>US</v>
          </cell>
          <cell r="O128" t="str">
            <v>92571</v>
          </cell>
        </row>
        <row r="129">
          <cell r="A129" t="str">
            <v>LAS2</v>
          </cell>
          <cell r="B129" t="str">
            <v>LAS2</v>
          </cell>
        </row>
        <row r="129">
          <cell r="D129" t="str">
            <v>LAS2</v>
          </cell>
          <cell r="E129" t="str">
            <v>LAS2</v>
          </cell>
          <cell r="F129" t="str">
            <v>AMAZON</v>
          </cell>
          <cell r="G129" t="str">
            <v>0000000000</v>
          </cell>
        </row>
        <row r="129">
          <cell r="I129" t="str">
            <v>3837 Bay Lake Trail, Suite 111 North</v>
          </cell>
        </row>
        <row r="129">
          <cell r="L129" t="str">
            <v>Las Vegas</v>
          </cell>
          <cell r="M129" t="str">
            <v>NV</v>
          </cell>
          <cell r="N129" t="str">
            <v>US</v>
          </cell>
          <cell r="O129" t="str">
            <v>89030</v>
          </cell>
        </row>
        <row r="130">
          <cell r="A130" t="str">
            <v>LAS6</v>
          </cell>
          <cell r="B130" t="str">
            <v>LAS6</v>
          </cell>
        </row>
        <row r="130">
          <cell r="D130" t="str">
            <v>LAS6</v>
          </cell>
          <cell r="E130" t="str">
            <v>LAS6</v>
          </cell>
          <cell r="F130" t="str">
            <v>AMAZON</v>
          </cell>
          <cell r="G130" t="str">
            <v>0000000000</v>
          </cell>
        </row>
        <row r="130">
          <cell r="I130" t="str">
            <v>4550 Nexus Way</v>
          </cell>
        </row>
        <row r="130">
          <cell r="L130" t="str">
            <v>Las Vegas</v>
          </cell>
          <cell r="M130" t="str">
            <v>NV</v>
          </cell>
          <cell r="N130" t="str">
            <v>US</v>
          </cell>
          <cell r="O130" t="str">
            <v>89115</v>
          </cell>
        </row>
        <row r="131">
          <cell r="A131" t="str">
            <v>LAS7</v>
          </cell>
          <cell r="B131" t="str">
            <v>LAS7</v>
          </cell>
        </row>
        <row r="131">
          <cell r="D131" t="str">
            <v>LAS7</v>
          </cell>
          <cell r="E131" t="str">
            <v>LAS7</v>
          </cell>
          <cell r="F131" t="str">
            <v>AMAZON</v>
          </cell>
          <cell r="G131" t="str">
            <v>0000000000</v>
          </cell>
        </row>
        <row r="131">
          <cell r="I131" t="str">
            <v>6001 East Tropical Parkway</v>
          </cell>
        </row>
        <row r="131">
          <cell r="L131" t="str">
            <v>Las Vegas</v>
          </cell>
          <cell r="M131" t="str">
            <v>NV</v>
          </cell>
          <cell r="N131" t="str">
            <v>US</v>
          </cell>
          <cell r="O131" t="str">
            <v>89115</v>
          </cell>
        </row>
        <row r="132">
          <cell r="A132" t="str">
            <v>LEX1</v>
          </cell>
          <cell r="B132" t="str">
            <v>LEX1</v>
          </cell>
        </row>
        <row r="132">
          <cell r="D132" t="str">
            <v>LEX1</v>
          </cell>
          <cell r="E132" t="str">
            <v>LEX1</v>
          </cell>
          <cell r="F132" t="str">
            <v>AMAZON</v>
          </cell>
          <cell r="G132" t="str">
            <v>0000000000</v>
          </cell>
        </row>
        <row r="132">
          <cell r="I132" t="str">
            <v>1850 Mercer RD</v>
          </cell>
        </row>
        <row r="132">
          <cell r="L132" t="str">
            <v>Lexington</v>
          </cell>
          <cell r="M132" t="str">
            <v>KY</v>
          </cell>
          <cell r="N132" t="str">
            <v>US</v>
          </cell>
          <cell r="O132" t="str">
            <v>40511</v>
          </cell>
        </row>
        <row r="133">
          <cell r="A133" t="str">
            <v>LEX2</v>
          </cell>
          <cell r="B133" t="str">
            <v>LEX2</v>
          </cell>
        </row>
        <row r="133">
          <cell r="D133" t="str">
            <v>LEX2</v>
          </cell>
          <cell r="E133" t="str">
            <v>LEX2</v>
          </cell>
          <cell r="F133" t="str">
            <v>AMAZON</v>
          </cell>
          <cell r="G133" t="str">
            <v>0000000000</v>
          </cell>
        </row>
        <row r="133">
          <cell r="I133" t="str">
            <v>172 Trade St.</v>
          </cell>
        </row>
        <row r="133">
          <cell r="L133" t="str">
            <v>Lexington</v>
          </cell>
          <cell r="M133" t="str">
            <v>KY</v>
          </cell>
          <cell r="N133" t="str">
            <v>US</v>
          </cell>
          <cell r="O133" t="str">
            <v>40511</v>
          </cell>
        </row>
        <row r="134">
          <cell r="A134" t="str">
            <v>LFSI</v>
          </cell>
          <cell r="B134" t="str">
            <v>LFSI</v>
          </cell>
        </row>
        <row r="134">
          <cell r="D134" t="str">
            <v>LFSI</v>
          </cell>
          <cell r="E134" t="str">
            <v>LFSI</v>
          </cell>
          <cell r="F134" t="str">
            <v>AMAZON</v>
          </cell>
          <cell r="G134" t="str">
            <v>0000000000</v>
          </cell>
        </row>
        <row r="134">
          <cell r="I134" t="str">
            <v>761 Fifth Ave</v>
          </cell>
        </row>
        <row r="134">
          <cell r="L134" t="str">
            <v>King of Prussia</v>
          </cell>
          <cell r="M134" t="str">
            <v>PA</v>
          </cell>
          <cell r="N134" t="str">
            <v>US</v>
          </cell>
          <cell r="O134" t="str">
            <v>19406</v>
          </cell>
        </row>
        <row r="135">
          <cell r="A135" t="str">
            <v>LGB3</v>
          </cell>
          <cell r="B135" t="str">
            <v>LGB3</v>
          </cell>
        </row>
        <row r="135">
          <cell r="D135" t="str">
            <v>LGB3</v>
          </cell>
          <cell r="E135" t="str">
            <v>LGB3</v>
          </cell>
          <cell r="F135" t="str">
            <v>AMAZON</v>
          </cell>
          <cell r="G135" t="str">
            <v>0000000000</v>
          </cell>
        </row>
        <row r="135">
          <cell r="I135" t="str">
            <v>4950 Goodman Way</v>
          </cell>
        </row>
        <row r="135">
          <cell r="L135" t="str">
            <v>Eastvale</v>
          </cell>
          <cell r="M135" t="str">
            <v>CA</v>
          </cell>
          <cell r="N135" t="str">
            <v>US</v>
          </cell>
          <cell r="O135" t="str">
            <v>91752</v>
          </cell>
        </row>
        <row r="136">
          <cell r="A136" t="str">
            <v>LGB7</v>
          </cell>
          <cell r="B136" t="str">
            <v>LGB7</v>
          </cell>
        </row>
        <row r="136">
          <cell r="D136" t="str">
            <v>LGB7</v>
          </cell>
          <cell r="E136" t="str">
            <v>LGB7</v>
          </cell>
          <cell r="F136" t="str">
            <v>AMAZON</v>
          </cell>
          <cell r="G136" t="str">
            <v>0000000000</v>
          </cell>
        </row>
        <row r="136">
          <cell r="I136" t="str">
            <v>1660 N. Linden</v>
          </cell>
        </row>
        <row r="136">
          <cell r="L136" t="str">
            <v>Avenue Rialto</v>
          </cell>
          <cell r="M136" t="str">
            <v>CA</v>
          </cell>
          <cell r="N136" t="str">
            <v>US</v>
          </cell>
          <cell r="O136" t="str">
            <v>92376</v>
          </cell>
        </row>
        <row r="137">
          <cell r="A137" t="str">
            <v>LGB9</v>
          </cell>
          <cell r="B137" t="str">
            <v>LGB9</v>
          </cell>
        </row>
        <row r="137">
          <cell r="D137" t="str">
            <v>LGB9</v>
          </cell>
          <cell r="E137" t="str">
            <v>LGB9</v>
          </cell>
          <cell r="F137" t="str">
            <v>AMAZON</v>
          </cell>
          <cell r="G137" t="str">
            <v>0000000000</v>
          </cell>
        </row>
        <row r="137">
          <cell r="I137" t="str">
            <v>4375 N Perris Blvd</v>
          </cell>
        </row>
        <row r="137">
          <cell r="L137" t="str">
            <v>Perris</v>
          </cell>
          <cell r="M137" t="str">
            <v>CA</v>
          </cell>
          <cell r="N137" t="str">
            <v>US</v>
          </cell>
          <cell r="O137" t="str">
            <v>92571</v>
          </cell>
        </row>
        <row r="138">
          <cell r="A138" t="str">
            <v>LIT2</v>
          </cell>
          <cell r="B138" t="str">
            <v>LIT2</v>
          </cell>
        </row>
        <row r="138">
          <cell r="D138" t="str">
            <v>LIT2</v>
          </cell>
          <cell r="E138" t="str">
            <v>LIT2</v>
          </cell>
          <cell r="F138" t="str">
            <v>AMAZON</v>
          </cell>
          <cell r="G138" t="str">
            <v>0000000000</v>
          </cell>
        </row>
        <row r="138">
          <cell r="I138" t="str">
            <v>13001 HIGHWAY 70</v>
          </cell>
        </row>
        <row r="138">
          <cell r="L138" t="str">
            <v>NORTH LITTLE ROCK</v>
          </cell>
          <cell r="M138" t="str">
            <v>AR</v>
          </cell>
          <cell r="N138" t="str">
            <v>US</v>
          </cell>
          <cell r="O138" t="str">
            <v>72117</v>
          </cell>
        </row>
        <row r="139">
          <cell r="A139" t="str">
            <v>MCI1</v>
          </cell>
          <cell r="B139" t="str">
            <v>MCI1</v>
          </cell>
        </row>
        <row r="139">
          <cell r="D139" t="str">
            <v>MCI1</v>
          </cell>
          <cell r="E139" t="str">
            <v>MCI1</v>
          </cell>
          <cell r="F139" t="str">
            <v>AMAZON</v>
          </cell>
          <cell r="G139" t="str">
            <v>0000000000</v>
          </cell>
        </row>
        <row r="139">
          <cell r="I139" t="str">
            <v>113th St &amp; Renner Blvd.</v>
          </cell>
        </row>
        <row r="139">
          <cell r="L139" t="str">
            <v>Lenexa</v>
          </cell>
          <cell r="M139" t="str">
            <v>KS</v>
          </cell>
          <cell r="N139" t="str">
            <v>US</v>
          </cell>
          <cell r="O139" t="str">
            <v>66219</v>
          </cell>
        </row>
        <row r="140">
          <cell r="A140" t="str">
            <v>MDW4</v>
          </cell>
          <cell r="B140" t="str">
            <v>MDW4</v>
          </cell>
        </row>
        <row r="140">
          <cell r="D140" t="str">
            <v>MDW4</v>
          </cell>
          <cell r="E140" t="str">
            <v>MDW4</v>
          </cell>
          <cell r="F140" t="str">
            <v>AMAZON</v>
          </cell>
          <cell r="G140" t="str">
            <v>0000000000</v>
          </cell>
        </row>
        <row r="140">
          <cell r="I140" t="str">
            <v>201 EMERALD DR</v>
          </cell>
        </row>
        <row r="140">
          <cell r="L140" t="str">
            <v>Joliet</v>
          </cell>
          <cell r="M140" t="str">
            <v>IL</v>
          </cell>
          <cell r="N140" t="str">
            <v>US</v>
          </cell>
          <cell r="O140" t="str">
            <v>60433</v>
          </cell>
        </row>
        <row r="141">
          <cell r="A141" t="str">
            <v>MDW6</v>
          </cell>
          <cell r="B141" t="str">
            <v>MDW6</v>
          </cell>
        </row>
        <row r="141">
          <cell r="D141" t="str">
            <v>MDW6</v>
          </cell>
          <cell r="E141" t="str">
            <v>MDW6</v>
          </cell>
          <cell r="F141" t="str">
            <v>AMAZON</v>
          </cell>
          <cell r="G141" t="str">
            <v>0000000000</v>
          </cell>
        </row>
        <row r="141">
          <cell r="I141" t="str">
            <v>1125 W REMINGTON BLVD</v>
          </cell>
        </row>
        <row r="141">
          <cell r="L141" t="str">
            <v>ROMEOVILLE</v>
          </cell>
          <cell r="M141" t="str">
            <v>IL</v>
          </cell>
          <cell r="N141" t="str">
            <v>US</v>
          </cell>
          <cell r="O141" t="str">
            <v>60446</v>
          </cell>
        </row>
        <row r="142">
          <cell r="A142" t="str">
            <v>MDW7</v>
          </cell>
          <cell r="B142" t="str">
            <v>MDW7</v>
          </cell>
        </row>
        <row r="142">
          <cell r="D142" t="str">
            <v>MDW7</v>
          </cell>
          <cell r="E142" t="str">
            <v>MDW7</v>
          </cell>
          <cell r="F142" t="str">
            <v>AMAZON</v>
          </cell>
          <cell r="G142" t="str">
            <v>0000000000</v>
          </cell>
        </row>
        <row r="142">
          <cell r="I142" t="str">
            <v>6605 Monee Manhattan Road</v>
          </cell>
        </row>
        <row r="142">
          <cell r="L142" t="str">
            <v>Monee</v>
          </cell>
          <cell r="M142" t="str">
            <v>IL</v>
          </cell>
          <cell r="N142" t="str">
            <v>US</v>
          </cell>
          <cell r="O142" t="str">
            <v>60449</v>
          </cell>
        </row>
        <row r="143">
          <cell r="A143" t="str">
            <v>MDW8</v>
          </cell>
          <cell r="B143" t="str">
            <v>MDW8</v>
          </cell>
        </row>
        <row r="143">
          <cell r="D143" t="str">
            <v>MDW8</v>
          </cell>
          <cell r="E143" t="str">
            <v>MDW8</v>
          </cell>
          <cell r="F143" t="str">
            <v>AMAZON</v>
          </cell>
          <cell r="G143" t="str">
            <v>0000000000</v>
          </cell>
        </row>
        <row r="143">
          <cell r="I143" t="str">
            <v>1750 Bridge Drive</v>
          </cell>
        </row>
        <row r="143">
          <cell r="L143" t="str">
            <v>Waukegan</v>
          </cell>
          <cell r="M143" t="str">
            <v>IL</v>
          </cell>
          <cell r="N143" t="str">
            <v>US</v>
          </cell>
          <cell r="O143" t="str">
            <v>60085</v>
          </cell>
        </row>
        <row r="144">
          <cell r="A144" t="str">
            <v>MDW9</v>
          </cell>
          <cell r="B144" t="str">
            <v>MDW9</v>
          </cell>
        </row>
        <row r="144">
          <cell r="D144" t="str">
            <v>MDW9</v>
          </cell>
          <cell r="E144" t="str">
            <v>MDW9</v>
          </cell>
          <cell r="F144" t="str">
            <v>AMAZON</v>
          </cell>
          <cell r="G144" t="str">
            <v>0000000000</v>
          </cell>
        </row>
        <row r="144">
          <cell r="I144" t="str">
            <v>2865 Duke Parkway</v>
          </cell>
        </row>
        <row r="144">
          <cell r="L144" t="str">
            <v>Aurora</v>
          </cell>
          <cell r="M144" t="str">
            <v>IL</v>
          </cell>
          <cell r="N144" t="str">
            <v>US</v>
          </cell>
          <cell r="O144" t="str">
            <v>60502</v>
          </cell>
        </row>
        <row r="145">
          <cell r="A145" t="str">
            <v>MEM4</v>
          </cell>
          <cell r="B145" t="str">
            <v>MEM4</v>
          </cell>
        </row>
        <row r="145">
          <cell r="D145" t="str">
            <v>MEM4</v>
          </cell>
          <cell r="E145" t="str">
            <v>MEM4</v>
          </cell>
          <cell r="F145" t="str">
            <v>AMAZON</v>
          </cell>
          <cell r="G145" t="str">
            <v>0000000000</v>
          </cell>
        </row>
        <row r="145">
          <cell r="I145" t="str">
            <v>4055 NEW ALLEN RD</v>
          </cell>
        </row>
        <row r="145">
          <cell r="L145" t="str">
            <v>MEMPHIS</v>
          </cell>
          <cell r="M145" t="str">
            <v>TN</v>
          </cell>
          <cell r="N145" t="str">
            <v>US</v>
          </cell>
          <cell r="O145" t="str">
            <v>38128</v>
          </cell>
        </row>
        <row r="146">
          <cell r="A146" t="str">
            <v>MIA1</v>
          </cell>
          <cell r="B146" t="str">
            <v>MIA1</v>
          </cell>
        </row>
        <row r="146">
          <cell r="D146" t="str">
            <v>MIA1</v>
          </cell>
          <cell r="E146" t="str">
            <v>MIA1</v>
          </cell>
          <cell r="F146" t="str">
            <v>AMAZON</v>
          </cell>
          <cell r="G146" t="str">
            <v>0000000000</v>
          </cell>
        </row>
        <row r="146">
          <cell r="I146" t="str">
            <v>1900 NW 132nd Place Doral</v>
          </cell>
        </row>
        <row r="146">
          <cell r="L146" t="str">
            <v>Miami</v>
          </cell>
          <cell r="M146" t="str">
            <v>FL</v>
          </cell>
          <cell r="N146" t="str">
            <v>US</v>
          </cell>
          <cell r="O146" t="str">
            <v>33182</v>
          </cell>
        </row>
        <row r="147">
          <cell r="A147" t="str">
            <v>MIA1-33054</v>
          </cell>
          <cell r="B147" t="str">
            <v>MIA1-33054</v>
          </cell>
        </row>
        <row r="147">
          <cell r="D147" t="str">
            <v>MIA1-33054</v>
          </cell>
          <cell r="E147" t="str">
            <v>MIA1-33054</v>
          </cell>
          <cell r="F147" t="str">
            <v>AMAZON</v>
          </cell>
          <cell r="G147" t="str">
            <v>0000000000</v>
          </cell>
        </row>
        <row r="147">
          <cell r="I147" t="str">
            <v>14000 NW 37th Avenue</v>
          </cell>
        </row>
        <row r="147">
          <cell r="L147" t="str">
            <v>Opa-Locka</v>
          </cell>
          <cell r="M147" t="str">
            <v>FL</v>
          </cell>
          <cell r="N147" t="str">
            <v>US</v>
          </cell>
          <cell r="O147" t="str">
            <v>33054</v>
          </cell>
        </row>
        <row r="148">
          <cell r="A148" t="str">
            <v>MKC4</v>
          </cell>
          <cell r="B148" t="str">
            <v>MKC4</v>
          </cell>
        </row>
        <row r="148">
          <cell r="D148" t="str">
            <v>MKC4</v>
          </cell>
          <cell r="E148" t="str">
            <v>MKC4</v>
          </cell>
          <cell r="F148" t="str">
            <v>AMAZON</v>
          </cell>
          <cell r="G148" t="str">
            <v>0000000000</v>
          </cell>
        </row>
        <row r="148">
          <cell r="I148" t="str">
            <v>19645 Waverly Rd</v>
          </cell>
        </row>
        <row r="148">
          <cell r="L148" t="str">
            <v>Edgerton</v>
          </cell>
          <cell r="M148" t="str">
            <v>KS</v>
          </cell>
          <cell r="N148" t="str">
            <v>US</v>
          </cell>
          <cell r="O148" t="str">
            <v>66021</v>
          </cell>
        </row>
        <row r="149">
          <cell r="A149" t="str">
            <v>MKC6</v>
          </cell>
          <cell r="B149" t="str">
            <v>MKC6</v>
          </cell>
        </row>
        <row r="149">
          <cell r="D149" t="str">
            <v>MKC6</v>
          </cell>
          <cell r="E149" t="str">
            <v>MKC6</v>
          </cell>
          <cell r="F149" t="str">
            <v>AMAZON</v>
          </cell>
          <cell r="G149" t="str">
            <v>0000000000</v>
          </cell>
        </row>
        <row r="149">
          <cell r="I149" t="str">
            <v>6925 Riverview Avenue</v>
          </cell>
        </row>
        <row r="149">
          <cell r="L149" t="str">
            <v>Kansas City</v>
          </cell>
          <cell r="M149" t="str">
            <v>KS</v>
          </cell>
          <cell r="N149" t="str">
            <v>US</v>
          </cell>
          <cell r="O149" t="str">
            <v>66102</v>
          </cell>
        </row>
        <row r="150">
          <cell r="A150" t="str">
            <v>MKE1</v>
          </cell>
          <cell r="B150" t="str">
            <v>MKE1</v>
          </cell>
        </row>
        <row r="150">
          <cell r="D150" t="str">
            <v>MKE1</v>
          </cell>
          <cell r="E150" t="str">
            <v>MKE1</v>
          </cell>
          <cell r="F150" t="str">
            <v>AMAZON</v>
          </cell>
          <cell r="G150" t="str">
            <v>0000000000</v>
          </cell>
        </row>
        <row r="150">
          <cell r="I150" t="str">
            <v>3501 120th Ave,Kenosha,WI 53144</v>
          </cell>
        </row>
        <row r="150">
          <cell r="L150" t="str">
            <v>Kenosha</v>
          </cell>
          <cell r="M150" t="str">
            <v>WI</v>
          </cell>
          <cell r="N150" t="str">
            <v>US</v>
          </cell>
          <cell r="O150" t="str">
            <v>53144</v>
          </cell>
        </row>
        <row r="151">
          <cell r="A151" t="str">
            <v>MKE2</v>
          </cell>
          <cell r="B151" t="str">
            <v>MKE2</v>
          </cell>
        </row>
        <row r="151">
          <cell r="D151" t="str">
            <v>MKE2</v>
          </cell>
          <cell r="E151" t="str">
            <v>MKE2</v>
          </cell>
          <cell r="F151" t="str">
            <v>AMAZON</v>
          </cell>
          <cell r="G151" t="str">
            <v>0000000000</v>
          </cell>
        </row>
        <row r="151">
          <cell r="I151" t="str">
            <v>9700 S 13th Street</v>
          </cell>
        </row>
        <row r="151">
          <cell r="L151" t="str">
            <v>OAK CREEK</v>
          </cell>
          <cell r="M151" t="str">
            <v>WI</v>
          </cell>
          <cell r="N151" t="str">
            <v>US</v>
          </cell>
          <cell r="O151" t="str">
            <v>53154</v>
          </cell>
        </row>
        <row r="152">
          <cell r="A152" t="str">
            <v>MSP1</v>
          </cell>
          <cell r="B152" t="str">
            <v>MSP1</v>
          </cell>
        </row>
        <row r="152">
          <cell r="D152" t="str">
            <v>MSP1</v>
          </cell>
          <cell r="E152" t="str">
            <v>MSP1</v>
          </cell>
          <cell r="F152" t="str">
            <v>AMAZON</v>
          </cell>
          <cell r="G152" t="str">
            <v>0000000000</v>
          </cell>
        </row>
        <row r="152">
          <cell r="I152" t="str">
            <v>2601 4th Avenue East</v>
          </cell>
        </row>
        <row r="152">
          <cell r="L152" t="str">
            <v>Shakopee</v>
          </cell>
          <cell r="M152" t="str">
            <v>MN</v>
          </cell>
          <cell r="N152" t="str">
            <v>US</v>
          </cell>
          <cell r="O152" t="str">
            <v>55379</v>
          </cell>
        </row>
        <row r="153">
          <cell r="A153" t="str">
            <v>OAK3</v>
          </cell>
          <cell r="B153" t="str">
            <v>OAK3</v>
          </cell>
        </row>
        <row r="153">
          <cell r="D153" t="str">
            <v>OAK3</v>
          </cell>
          <cell r="E153" t="str">
            <v>OAK3</v>
          </cell>
          <cell r="F153" t="str">
            <v>AMAZON</v>
          </cell>
          <cell r="G153" t="str">
            <v>0000000000</v>
          </cell>
        </row>
        <row r="153">
          <cell r="I153" t="str">
            <v>255 Park Center Drive</v>
          </cell>
        </row>
        <row r="153">
          <cell r="L153" t="str">
            <v>Patterson</v>
          </cell>
          <cell r="M153" t="str">
            <v>CA</v>
          </cell>
          <cell r="N153" t="str">
            <v>US</v>
          </cell>
          <cell r="O153" t="str">
            <v>95363</v>
          </cell>
        </row>
        <row r="154">
          <cell r="A154" t="str">
            <v>OAK4</v>
          </cell>
          <cell r="B154" t="str">
            <v>OAK4</v>
          </cell>
        </row>
        <row r="154">
          <cell r="D154" t="str">
            <v>OAK4</v>
          </cell>
          <cell r="E154" t="str">
            <v>OAK4</v>
          </cell>
          <cell r="F154" t="str">
            <v>AMAZON</v>
          </cell>
          <cell r="G154" t="str">
            <v>0000000000</v>
          </cell>
        </row>
        <row r="154">
          <cell r="I154" t="str">
            <v>1555 N. Chrisman Rd</v>
          </cell>
        </row>
        <row r="154">
          <cell r="L154" t="str">
            <v>Tracy</v>
          </cell>
          <cell r="M154" t="str">
            <v>CA</v>
          </cell>
          <cell r="N154" t="str">
            <v>US</v>
          </cell>
          <cell r="O154" t="str">
            <v>95304</v>
          </cell>
        </row>
        <row r="155">
          <cell r="A155" t="str">
            <v>OHT9</v>
          </cell>
          <cell r="B155" t="str">
            <v>OHT9</v>
          </cell>
        </row>
        <row r="155">
          <cell r="D155" t="str">
            <v>OHT9</v>
          </cell>
          <cell r="E155" t="str">
            <v>OHT9</v>
          </cell>
          <cell r="F155" t="str">
            <v>AMAZON</v>
          </cell>
          <cell r="G155" t="str">
            <v>0000000000</v>
          </cell>
        </row>
        <row r="155">
          <cell r="I155" t="str">
            <v>2125 West San Bernardino Ave</v>
          </cell>
        </row>
        <row r="155">
          <cell r="L155" t="str">
            <v>Redlands</v>
          </cell>
          <cell r="M155" t="str">
            <v>CA</v>
          </cell>
          <cell r="N155" t="str">
            <v>US</v>
          </cell>
          <cell r="O155" t="str">
            <v>92374</v>
          </cell>
        </row>
        <row r="156">
          <cell r="A156" t="str">
            <v>OKC1</v>
          </cell>
          <cell r="B156" t="str">
            <v>OKC1</v>
          </cell>
        </row>
        <row r="156">
          <cell r="D156" t="str">
            <v>OKC1</v>
          </cell>
          <cell r="E156" t="str">
            <v>OKC1</v>
          </cell>
          <cell r="F156" t="str">
            <v>AMAZON</v>
          </cell>
          <cell r="G156" t="str">
            <v>0000000000</v>
          </cell>
        </row>
        <row r="156">
          <cell r="I156" t="str">
            <v>9201 S Portland Avenue</v>
          </cell>
        </row>
        <row r="156">
          <cell r="L156" t="str">
            <v>OKLAHOMA CITY</v>
          </cell>
          <cell r="M156" t="str">
            <v>OK</v>
          </cell>
          <cell r="N156" t="str">
            <v>US</v>
          </cell>
          <cell r="O156" t="str">
            <v>73159</v>
          </cell>
        </row>
        <row r="157">
          <cell r="A157" t="str">
            <v>OKC2</v>
          </cell>
          <cell r="B157" t="str">
            <v>OKC2</v>
          </cell>
        </row>
        <row r="157">
          <cell r="D157" t="str">
            <v>OKC2</v>
          </cell>
          <cell r="E157" t="str">
            <v>OKC2</v>
          </cell>
          <cell r="F157" t="str">
            <v>AMAZON</v>
          </cell>
          <cell r="G157" t="str">
            <v>0000000000</v>
          </cell>
        </row>
        <row r="157">
          <cell r="I157" t="str">
            <v>8991 S Portland Avenue</v>
          </cell>
        </row>
        <row r="157">
          <cell r="L157" t="str">
            <v>OKLAHOMA CITY</v>
          </cell>
          <cell r="M157" t="str">
            <v>OK</v>
          </cell>
          <cell r="N157" t="str">
            <v>US</v>
          </cell>
          <cell r="O157" t="str">
            <v>73159</v>
          </cell>
        </row>
        <row r="158">
          <cell r="A158" t="str">
            <v>ONT2</v>
          </cell>
          <cell r="B158" t="str">
            <v>ONT2</v>
          </cell>
        </row>
        <row r="158">
          <cell r="D158" t="str">
            <v>ONT2</v>
          </cell>
          <cell r="E158" t="str">
            <v>ONT2</v>
          </cell>
          <cell r="F158" t="str">
            <v>AMAZON</v>
          </cell>
          <cell r="G158" t="str">
            <v>0000000000</v>
          </cell>
        </row>
        <row r="158">
          <cell r="I158" t="str">
            <v>1910 E Central Ave</v>
          </cell>
        </row>
        <row r="158">
          <cell r="L158" t="str">
            <v>San Bernardino</v>
          </cell>
          <cell r="M158" t="str">
            <v>CA</v>
          </cell>
          <cell r="N158" t="str">
            <v>US</v>
          </cell>
          <cell r="O158" t="str">
            <v>92408</v>
          </cell>
        </row>
        <row r="159">
          <cell r="A159" t="str">
            <v>ONT6</v>
          </cell>
          <cell r="B159" t="str">
            <v>ONT6</v>
          </cell>
        </row>
        <row r="159">
          <cell r="D159" t="str">
            <v>ONT6</v>
          </cell>
          <cell r="E159" t="str">
            <v>ONT6</v>
          </cell>
          <cell r="F159" t="str">
            <v>AMAZON</v>
          </cell>
          <cell r="G159" t="str">
            <v>0000000000</v>
          </cell>
        </row>
        <row r="159">
          <cell r="I159" t="str">
            <v>24208 San Michele Rd</v>
          </cell>
        </row>
        <row r="159">
          <cell r="L159" t="str">
            <v>Moreno Valley</v>
          </cell>
          <cell r="M159" t="str">
            <v>CA</v>
          </cell>
          <cell r="N159" t="str">
            <v>US</v>
          </cell>
          <cell r="O159" t="str">
            <v>92551</v>
          </cell>
        </row>
        <row r="160">
          <cell r="A160" t="str">
            <v>ONT7</v>
          </cell>
          <cell r="B160" t="str">
            <v>ONT7</v>
          </cell>
        </row>
        <row r="160">
          <cell r="D160" t="str">
            <v>ONT7</v>
          </cell>
          <cell r="E160" t="str">
            <v>ONT7</v>
          </cell>
          <cell r="F160" t="str">
            <v>AMAZON</v>
          </cell>
          <cell r="G160" t="str">
            <v>0000000000</v>
          </cell>
        </row>
        <row r="160">
          <cell r="I160" t="str">
            <v>2125 W. San Bernandino Ave.</v>
          </cell>
        </row>
        <row r="160">
          <cell r="L160" t="str">
            <v>Redlands</v>
          </cell>
          <cell r="M160" t="str">
            <v>CA</v>
          </cell>
          <cell r="N160" t="str">
            <v>US</v>
          </cell>
          <cell r="O160" t="str">
            <v>92374</v>
          </cell>
        </row>
        <row r="161">
          <cell r="A161" t="str">
            <v>ONT9</v>
          </cell>
          <cell r="B161" t="str">
            <v>ONT9</v>
          </cell>
        </row>
        <row r="161">
          <cell r="D161" t="str">
            <v>ONT9</v>
          </cell>
          <cell r="E161" t="str">
            <v>ONT9</v>
          </cell>
          <cell r="F161" t="str">
            <v>AMAZON</v>
          </cell>
          <cell r="G161" t="str">
            <v>0000000000</v>
          </cell>
        </row>
        <row r="161">
          <cell r="I161" t="str">
            <v>2125 W. San Bernandino Ave</v>
          </cell>
        </row>
        <row r="161">
          <cell r="L161" t="str">
            <v>Redlands</v>
          </cell>
          <cell r="M161" t="str">
            <v>CA</v>
          </cell>
          <cell r="N161" t="str">
            <v>US</v>
          </cell>
          <cell r="O161" t="str">
            <v>92374</v>
          </cell>
        </row>
        <row r="162">
          <cell r="A162" t="str">
            <v>ORD6</v>
          </cell>
          <cell r="B162" t="str">
            <v>ORD6</v>
          </cell>
        </row>
        <row r="162">
          <cell r="D162" t="str">
            <v>ORD6</v>
          </cell>
          <cell r="E162" t="str">
            <v>ORD6</v>
          </cell>
          <cell r="F162" t="str">
            <v>AMAZON</v>
          </cell>
          <cell r="G162" t="str">
            <v>0000000000</v>
          </cell>
        </row>
        <row r="162">
          <cell r="I162" t="str">
            <v>1250 N Mittel Blvd</v>
          </cell>
        </row>
        <row r="162">
          <cell r="L162" t="str">
            <v>Wood Dale</v>
          </cell>
          <cell r="M162" t="str">
            <v>IL</v>
          </cell>
          <cell r="N162" t="str">
            <v>US</v>
          </cell>
          <cell r="O162" t="str">
            <v>60191</v>
          </cell>
        </row>
        <row r="163">
          <cell r="A163" t="str">
            <v>PCA1</v>
          </cell>
          <cell r="B163" t="str">
            <v>PCA1</v>
          </cell>
        </row>
        <row r="163">
          <cell r="D163" t="str">
            <v>PCA1</v>
          </cell>
          <cell r="E163" t="str">
            <v>PCA1</v>
          </cell>
          <cell r="F163" t="str">
            <v>AMAZON</v>
          </cell>
          <cell r="G163" t="str">
            <v>0000000000</v>
          </cell>
        </row>
        <row r="163">
          <cell r="I163" t="str">
            <v>1565 N MacArthur Dr</v>
          </cell>
        </row>
        <row r="163">
          <cell r="L163" t="str">
            <v>Tracy</v>
          </cell>
          <cell r="M163" t="str">
            <v>CA</v>
          </cell>
          <cell r="N163" t="str">
            <v>US</v>
          </cell>
          <cell r="O163" t="str">
            <v>95376</v>
          </cell>
        </row>
        <row r="164">
          <cell r="A164" t="str">
            <v>PCW1</v>
          </cell>
          <cell r="B164" t="str">
            <v>PCW1</v>
          </cell>
        </row>
        <row r="164">
          <cell r="D164" t="str">
            <v>PCW1</v>
          </cell>
          <cell r="E164" t="str">
            <v>PCW1</v>
          </cell>
          <cell r="F164" t="str">
            <v>AMAZON</v>
          </cell>
          <cell r="G164" t="str">
            <v>0000000000</v>
          </cell>
        </row>
        <row r="164">
          <cell r="I164" t="str">
            <v>27400 Crossroads Pkwy</v>
          </cell>
        </row>
        <row r="164">
          <cell r="L164" t="str">
            <v>ROSSFORD</v>
          </cell>
          <cell r="M164" t="str">
            <v>OH</v>
          </cell>
          <cell r="N164" t="str">
            <v>US</v>
          </cell>
          <cell r="O164" t="str">
            <v>43460</v>
          </cell>
        </row>
        <row r="165">
          <cell r="A165" t="str">
            <v>PDX6</v>
          </cell>
          <cell r="B165" t="str">
            <v>PDX6</v>
          </cell>
        </row>
        <row r="165">
          <cell r="D165" t="str">
            <v>PDX6</v>
          </cell>
          <cell r="E165" t="str">
            <v>PDX6</v>
          </cell>
          <cell r="F165" t="str">
            <v>AMAZON</v>
          </cell>
          <cell r="G165" t="str">
            <v>0000000000</v>
          </cell>
        </row>
        <row r="165">
          <cell r="I165" t="str">
            <v>15000 N. Lombard St</v>
          </cell>
        </row>
        <row r="165">
          <cell r="L165" t="str">
            <v>Portland</v>
          </cell>
          <cell r="M165" t="str">
            <v>OR</v>
          </cell>
          <cell r="N165" t="str">
            <v>US</v>
          </cell>
          <cell r="O165" t="str">
            <v>97203</v>
          </cell>
        </row>
        <row r="166">
          <cell r="A166" t="str">
            <v>PDX7</v>
          </cell>
          <cell r="B166" t="str">
            <v>PDX7</v>
          </cell>
        </row>
        <row r="166">
          <cell r="D166" t="str">
            <v>PDX7</v>
          </cell>
          <cell r="E166" t="str">
            <v>PDX7</v>
          </cell>
          <cell r="F166" t="str">
            <v>AMAZON</v>
          </cell>
          <cell r="G166" t="str">
            <v>0000000000</v>
          </cell>
        </row>
        <row r="166">
          <cell r="I166" t="str">
            <v>4775 Depot Ct SE</v>
          </cell>
        </row>
        <row r="166">
          <cell r="L166" t="str">
            <v>Salem</v>
          </cell>
          <cell r="M166" t="str">
            <v>OR</v>
          </cell>
          <cell r="N166" t="str">
            <v>US</v>
          </cell>
          <cell r="O166" t="str">
            <v>97317</v>
          </cell>
        </row>
        <row r="167">
          <cell r="A167" t="str">
            <v>PDX9</v>
          </cell>
          <cell r="B167" t="str">
            <v>PDX9</v>
          </cell>
        </row>
        <row r="167">
          <cell r="D167" t="str">
            <v>PDX9</v>
          </cell>
          <cell r="E167" t="str">
            <v>PDX9</v>
          </cell>
          <cell r="F167" t="str">
            <v>AMAZON</v>
          </cell>
          <cell r="G167" t="str">
            <v>0000000000</v>
          </cell>
        </row>
        <row r="167">
          <cell r="I167" t="str">
            <v>1250 NW Swigert Way</v>
          </cell>
        </row>
        <row r="167">
          <cell r="L167" t="str">
            <v>Troutdale</v>
          </cell>
          <cell r="M167" t="str">
            <v>OR</v>
          </cell>
          <cell r="N167" t="str">
            <v>US</v>
          </cell>
          <cell r="O167" t="str">
            <v>97060</v>
          </cell>
        </row>
        <row r="168">
          <cell r="A168" t="str">
            <v>PHL1</v>
          </cell>
          <cell r="B168" t="str">
            <v>PHL1</v>
          </cell>
        </row>
        <row r="168">
          <cell r="D168" t="str">
            <v>PHL1</v>
          </cell>
          <cell r="E168" t="str">
            <v>PHL1</v>
          </cell>
          <cell r="F168" t="str">
            <v>AMAZON</v>
          </cell>
          <cell r="G168" t="str">
            <v>0000000000</v>
          </cell>
        </row>
        <row r="168">
          <cell r="I168" t="str">
            <v>1 Centerpoint Blvd.</v>
          </cell>
        </row>
        <row r="168">
          <cell r="L168" t="str">
            <v>New Castle</v>
          </cell>
          <cell r="M168" t="str">
            <v>DE</v>
          </cell>
          <cell r="N168" t="str">
            <v>US</v>
          </cell>
          <cell r="O168" t="str">
            <v>19720</v>
          </cell>
        </row>
        <row r="169">
          <cell r="A169" t="str">
            <v>PHL7</v>
          </cell>
          <cell r="B169" t="str">
            <v>PHL7</v>
          </cell>
        </row>
        <row r="169">
          <cell r="D169" t="str">
            <v>PHL7</v>
          </cell>
          <cell r="E169" t="str">
            <v>PHL7</v>
          </cell>
          <cell r="F169" t="str">
            <v>AMAZON</v>
          </cell>
          <cell r="G169" t="str">
            <v>0000000000</v>
          </cell>
        </row>
        <row r="169">
          <cell r="I169" t="str">
            <v>560 Merrimac Ave</v>
          </cell>
        </row>
        <row r="169">
          <cell r="L169" t="str">
            <v>Middletown</v>
          </cell>
          <cell r="M169" t="str">
            <v>DE</v>
          </cell>
          <cell r="N169" t="str">
            <v>US</v>
          </cell>
          <cell r="O169" t="str">
            <v>19709</v>
          </cell>
        </row>
        <row r="170">
          <cell r="A170" t="str">
            <v>PHL8</v>
          </cell>
          <cell r="B170" t="str">
            <v>PHL8</v>
          </cell>
        </row>
        <row r="170">
          <cell r="D170" t="str">
            <v>PHL8</v>
          </cell>
          <cell r="E170" t="str">
            <v>PHL8</v>
          </cell>
          <cell r="F170" t="str">
            <v>AMAZON</v>
          </cell>
          <cell r="G170" t="str">
            <v>0000000000</v>
          </cell>
        </row>
        <row r="170">
          <cell r="I170" t="str">
            <v>727 N Broad St</v>
          </cell>
        </row>
        <row r="170">
          <cell r="L170" t="str">
            <v>Middletown</v>
          </cell>
          <cell r="M170" t="str">
            <v>DE</v>
          </cell>
          <cell r="N170" t="str">
            <v>US</v>
          </cell>
          <cell r="O170" t="str">
            <v>19709</v>
          </cell>
        </row>
        <row r="171">
          <cell r="A171" t="str">
            <v>PHX3</v>
          </cell>
          <cell r="B171" t="str">
            <v>PHX3</v>
          </cell>
        </row>
        <row r="171">
          <cell r="D171" t="str">
            <v>PHX3</v>
          </cell>
          <cell r="E171" t="str">
            <v>PHX3</v>
          </cell>
          <cell r="F171" t="str">
            <v>AMAZON</v>
          </cell>
          <cell r="G171" t="str">
            <v>0000000000</v>
          </cell>
        </row>
        <row r="171">
          <cell r="I171" t="str">
            <v>6835 West Buckeye Road</v>
          </cell>
        </row>
        <row r="171">
          <cell r="L171" t="str">
            <v>Phoenix</v>
          </cell>
          <cell r="M171" t="str">
            <v>AZ</v>
          </cell>
          <cell r="N171" t="str">
            <v>US</v>
          </cell>
          <cell r="O171" t="str">
            <v>85043</v>
          </cell>
        </row>
        <row r="172">
          <cell r="A172" t="str">
            <v>PHX5</v>
          </cell>
          <cell r="B172" t="str">
            <v>PHX5</v>
          </cell>
        </row>
        <row r="172">
          <cell r="D172" t="str">
            <v>PHX5</v>
          </cell>
          <cell r="E172" t="str">
            <v>PHX5</v>
          </cell>
          <cell r="F172" t="str">
            <v>AMAZON</v>
          </cell>
          <cell r="G172" t="str">
            <v>0000000000</v>
          </cell>
        </row>
        <row r="172">
          <cell r="I172" t="str">
            <v>16920 W Commerce Drive</v>
          </cell>
        </row>
        <row r="172">
          <cell r="L172" t="str">
            <v>Goodyear</v>
          </cell>
          <cell r="M172" t="str">
            <v>AZ</v>
          </cell>
          <cell r="N172" t="str">
            <v>US</v>
          </cell>
          <cell r="O172" t="str">
            <v>85338</v>
          </cell>
        </row>
        <row r="173">
          <cell r="A173" t="str">
            <v>PHX6</v>
          </cell>
          <cell r="B173" t="str">
            <v>PHX6</v>
          </cell>
        </row>
        <row r="173">
          <cell r="D173" t="str">
            <v>PHX6</v>
          </cell>
          <cell r="E173" t="str">
            <v>PHX6</v>
          </cell>
          <cell r="F173" t="str">
            <v>AMAZON</v>
          </cell>
          <cell r="G173" t="str">
            <v>0000000000</v>
          </cell>
        </row>
        <row r="173">
          <cell r="I173" t="str">
            <v>4750 West Mohave St</v>
          </cell>
        </row>
        <row r="173">
          <cell r="L173" t="str">
            <v>Phoenix</v>
          </cell>
          <cell r="M173" t="str">
            <v>AZ</v>
          </cell>
          <cell r="N173" t="str">
            <v>US</v>
          </cell>
          <cell r="O173" t="str">
            <v>85043</v>
          </cell>
        </row>
        <row r="174">
          <cell r="A174" t="str">
            <v>PHX7</v>
          </cell>
          <cell r="B174" t="str">
            <v>PHX7</v>
          </cell>
        </row>
        <row r="174">
          <cell r="D174" t="str">
            <v>PHX7</v>
          </cell>
          <cell r="E174" t="str">
            <v>PHX7</v>
          </cell>
          <cell r="F174" t="str">
            <v>AMAZON</v>
          </cell>
          <cell r="G174" t="str">
            <v>0000000000</v>
          </cell>
        </row>
        <row r="174">
          <cell r="I174" t="str">
            <v>800 N 75th Ave</v>
          </cell>
        </row>
        <row r="174">
          <cell r="L174" t="str">
            <v>Phoenix</v>
          </cell>
          <cell r="M174" t="str">
            <v>AZ</v>
          </cell>
          <cell r="N174" t="str">
            <v>US</v>
          </cell>
          <cell r="O174" t="str">
            <v>85043</v>
          </cell>
        </row>
        <row r="175">
          <cell r="A175" t="str">
            <v>RDU1</v>
          </cell>
          <cell r="B175" t="str">
            <v>RDU1</v>
          </cell>
        </row>
        <row r="175">
          <cell r="D175" t="str">
            <v>RDU1</v>
          </cell>
          <cell r="E175" t="str">
            <v>RDU1</v>
          </cell>
          <cell r="F175" t="str">
            <v>AMAZON</v>
          </cell>
          <cell r="G175" t="str">
            <v>0000000000</v>
          </cell>
        </row>
        <row r="175">
          <cell r="I175" t="str">
            <v>4851 Jones Sausage Rd</v>
          </cell>
        </row>
        <row r="175">
          <cell r="L175" t="str">
            <v>GARNER</v>
          </cell>
          <cell r="M175" t="str">
            <v>NC</v>
          </cell>
          <cell r="N175" t="str">
            <v>US</v>
          </cell>
          <cell r="O175" t="str">
            <v>27529</v>
          </cell>
        </row>
        <row r="176">
          <cell r="A176" t="str">
            <v>RIC2</v>
          </cell>
          <cell r="B176" t="str">
            <v>RIC2</v>
          </cell>
        </row>
        <row r="176">
          <cell r="D176" t="str">
            <v>RIC2</v>
          </cell>
          <cell r="E176" t="str">
            <v>RIC2</v>
          </cell>
          <cell r="F176" t="str">
            <v>AMAZON</v>
          </cell>
          <cell r="G176" t="str">
            <v>0000000000</v>
          </cell>
        </row>
        <row r="176">
          <cell r="I176" t="str">
            <v>1901 Meadowville Technology Pkwy</v>
          </cell>
        </row>
        <row r="176">
          <cell r="L176" t="str">
            <v>Chester</v>
          </cell>
          <cell r="M176" t="str">
            <v>VA</v>
          </cell>
          <cell r="N176" t="str">
            <v>US</v>
          </cell>
          <cell r="O176" t="str">
            <v>23836</v>
          </cell>
        </row>
        <row r="177">
          <cell r="A177" t="str">
            <v>RNO1</v>
          </cell>
          <cell r="B177" t="str">
            <v>RNO1</v>
          </cell>
        </row>
        <row r="177">
          <cell r="D177" t="str">
            <v>RNO1</v>
          </cell>
          <cell r="E177" t="str">
            <v>RNO1</v>
          </cell>
          <cell r="F177" t="str">
            <v>AMAZON</v>
          </cell>
          <cell r="G177" t="str">
            <v>0000000000</v>
          </cell>
        </row>
        <row r="177">
          <cell r="I177" t="str">
            <v>1600 East Newlands RD</v>
          </cell>
        </row>
        <row r="177">
          <cell r="L177" t="str">
            <v>Fernley</v>
          </cell>
          <cell r="M177" t="str">
            <v>NV</v>
          </cell>
          <cell r="N177" t="str">
            <v>US</v>
          </cell>
          <cell r="O177" t="str">
            <v>89408</v>
          </cell>
        </row>
        <row r="178">
          <cell r="A178" t="str">
            <v>RNO2</v>
          </cell>
          <cell r="B178" t="str">
            <v>RNO2</v>
          </cell>
        </row>
        <row r="178">
          <cell r="D178" t="str">
            <v>RNO2</v>
          </cell>
          <cell r="E178" t="str">
            <v>RNO2</v>
          </cell>
          <cell r="F178" t="str">
            <v>AMAZON</v>
          </cell>
          <cell r="G178" t="str">
            <v>0000000000</v>
          </cell>
        </row>
        <row r="178">
          <cell r="I178" t="str">
            <v>8000 North Virginia Street</v>
          </cell>
        </row>
        <row r="178">
          <cell r="L178" t="str">
            <v>Reno</v>
          </cell>
          <cell r="M178" t="str">
            <v>NV</v>
          </cell>
          <cell r="N178" t="str">
            <v>US</v>
          </cell>
          <cell r="O178" t="str">
            <v>85906</v>
          </cell>
        </row>
        <row r="179">
          <cell r="A179" t="str">
            <v>RNO4</v>
          </cell>
          <cell r="B179" t="str">
            <v>RNO4</v>
          </cell>
        </row>
        <row r="179">
          <cell r="D179" t="str">
            <v>RNO4</v>
          </cell>
          <cell r="E179" t="str">
            <v>RNO4</v>
          </cell>
          <cell r="F179" t="str">
            <v>AMAZON</v>
          </cell>
          <cell r="G179" t="str">
            <v>0000000000</v>
          </cell>
        </row>
        <row r="179">
          <cell r="I179" t="str">
            <v>8000 North Virginia Street</v>
          </cell>
        </row>
        <row r="179">
          <cell r="L179" t="str">
            <v>Reno</v>
          </cell>
          <cell r="M179" t="str">
            <v>NV</v>
          </cell>
          <cell r="N179" t="str">
            <v>US</v>
          </cell>
          <cell r="O179" t="str">
            <v>89506</v>
          </cell>
        </row>
        <row r="180">
          <cell r="A180" t="str">
            <v>SAM1</v>
          </cell>
          <cell r="B180" t="str">
            <v>SAM1</v>
          </cell>
        </row>
        <row r="180">
          <cell r="D180" t="str">
            <v>SAM1</v>
          </cell>
          <cell r="E180" t="str">
            <v>SAM1</v>
          </cell>
          <cell r="F180" t="str">
            <v>AMAZON</v>
          </cell>
          <cell r="G180" t="str">
            <v>0000000000</v>
          </cell>
        </row>
        <row r="180">
          <cell r="I180" t="str">
            <v>749 South Lemon Avenue</v>
          </cell>
        </row>
        <row r="180">
          <cell r="L180" t="str">
            <v>walnut</v>
          </cell>
          <cell r="M180" t="str">
            <v>CA</v>
          </cell>
          <cell r="N180" t="str">
            <v>US</v>
          </cell>
          <cell r="O180" t="str">
            <v>91789</v>
          </cell>
        </row>
        <row r="181">
          <cell r="A181" t="str">
            <v>SAT2</v>
          </cell>
          <cell r="B181" t="str">
            <v>SAT2</v>
          </cell>
        </row>
        <row r="181">
          <cell r="D181" t="str">
            <v>SAT2</v>
          </cell>
          <cell r="E181" t="str">
            <v>SAT2</v>
          </cell>
          <cell r="F181" t="str">
            <v>AMAZON</v>
          </cell>
          <cell r="G181" t="str">
            <v>0000000000</v>
          </cell>
        </row>
        <row r="181">
          <cell r="I181" t="str">
            <v>1401 E McCarty Lane</v>
          </cell>
        </row>
        <row r="181">
          <cell r="L181" t="str">
            <v>San Marcos</v>
          </cell>
          <cell r="M181" t="str">
            <v>TX</v>
          </cell>
          <cell r="N181" t="str">
            <v>US</v>
          </cell>
          <cell r="O181" t="str">
            <v>78666</v>
          </cell>
        </row>
        <row r="182">
          <cell r="A182" t="str">
            <v>SAT4</v>
          </cell>
          <cell r="B182" t="str">
            <v>SAT4</v>
          </cell>
        </row>
        <row r="182">
          <cell r="D182" t="str">
            <v>SAT4</v>
          </cell>
          <cell r="E182" t="str">
            <v>SAT4</v>
          </cell>
          <cell r="F182" t="str">
            <v>AMAZON</v>
          </cell>
          <cell r="G182" t="str">
            <v>0000000000</v>
          </cell>
        </row>
        <row r="182">
          <cell r="I182" t="str">
            <v>10384 W US HIGHWAY 90</v>
          </cell>
        </row>
        <row r="182">
          <cell r="L182" t="str">
            <v>SAN ANTONIO</v>
          </cell>
          <cell r="M182" t="str">
            <v>TX</v>
          </cell>
          <cell r="N182" t="str">
            <v>US</v>
          </cell>
          <cell r="O182" t="str">
            <v>78245</v>
          </cell>
        </row>
        <row r="183">
          <cell r="A183" t="str">
            <v>SBD2</v>
          </cell>
          <cell r="B183" t="str">
            <v>SBD2</v>
          </cell>
        </row>
        <row r="183">
          <cell r="D183" t="str">
            <v>SBD2</v>
          </cell>
          <cell r="E183" t="str">
            <v>SBD2</v>
          </cell>
          <cell r="F183" t="str">
            <v>AMAZON</v>
          </cell>
          <cell r="G183" t="str">
            <v>0000000000</v>
          </cell>
        </row>
        <row r="183">
          <cell r="I183" t="str">
            <v>1494 S WATERMAN AVE</v>
          </cell>
        </row>
        <row r="183">
          <cell r="L183" t="str">
            <v>SAN BERNARDINO</v>
          </cell>
          <cell r="M183" t="str">
            <v>CA</v>
          </cell>
          <cell r="N183" t="str">
            <v>US</v>
          </cell>
          <cell r="O183" t="str">
            <v>92408</v>
          </cell>
        </row>
        <row r="184">
          <cell r="A184" t="str">
            <v>SBD3</v>
          </cell>
          <cell r="B184" t="str">
            <v>SBD3</v>
          </cell>
        </row>
        <row r="184">
          <cell r="D184" t="str">
            <v>SBD3</v>
          </cell>
          <cell r="E184" t="str">
            <v>SBD3</v>
          </cell>
          <cell r="F184" t="str">
            <v>AMAZON</v>
          </cell>
          <cell r="G184" t="str">
            <v>0000000000</v>
          </cell>
        </row>
        <row r="184">
          <cell r="I184" t="str">
            <v>5990 N Cajon Blvd</v>
          </cell>
        </row>
        <row r="184">
          <cell r="L184" t="str">
            <v>SAN BERNARDINO</v>
          </cell>
          <cell r="M184" t="str">
            <v>CA</v>
          </cell>
          <cell r="N184" t="str">
            <v>US</v>
          </cell>
          <cell r="O184" t="str">
            <v>92407</v>
          </cell>
        </row>
        <row r="185">
          <cell r="A185" t="str">
            <v>SCK3</v>
          </cell>
          <cell r="B185" t="str">
            <v>SCK3</v>
          </cell>
        </row>
        <row r="185">
          <cell r="D185" t="str">
            <v>SCK3</v>
          </cell>
          <cell r="E185" t="str">
            <v>SCK3</v>
          </cell>
          <cell r="F185" t="str">
            <v>AMAZON</v>
          </cell>
          <cell r="G185" t="str">
            <v>0000000000</v>
          </cell>
        </row>
        <row r="185">
          <cell r="I185" t="str">
            <v>3565 N AIRPORT WAY</v>
          </cell>
        </row>
        <row r="185">
          <cell r="L185" t="str">
            <v>MANTECA</v>
          </cell>
          <cell r="M185" t="str">
            <v>CA</v>
          </cell>
          <cell r="N185" t="str">
            <v>US</v>
          </cell>
          <cell r="O185" t="str">
            <v>95336</v>
          </cell>
        </row>
        <row r="186">
          <cell r="A186" t="str">
            <v>SDF1</v>
          </cell>
          <cell r="B186" t="str">
            <v>SDF1</v>
          </cell>
        </row>
        <row r="186">
          <cell r="D186" t="str">
            <v>SDF1</v>
          </cell>
          <cell r="E186" t="str">
            <v>SDF1</v>
          </cell>
          <cell r="F186" t="str">
            <v>AMAZON</v>
          </cell>
          <cell r="G186" t="str">
            <v>0000000000</v>
          </cell>
        </row>
        <row r="186">
          <cell r="I186" t="str">
            <v>1050 South Columbia Ave</v>
          </cell>
        </row>
        <row r="186">
          <cell r="L186" t="str">
            <v>Campbellsville</v>
          </cell>
          <cell r="M186" t="str">
            <v>KY</v>
          </cell>
          <cell r="N186" t="str">
            <v>US</v>
          </cell>
          <cell r="O186" t="str">
            <v>42718</v>
          </cell>
        </row>
        <row r="187">
          <cell r="A187" t="str">
            <v>SDF2</v>
          </cell>
          <cell r="B187" t="str">
            <v>SDF2</v>
          </cell>
        </row>
        <row r="187">
          <cell r="D187" t="str">
            <v>SDF2</v>
          </cell>
          <cell r="E187" t="str">
            <v>SDF2</v>
          </cell>
          <cell r="F187" t="str">
            <v>AMAZON</v>
          </cell>
          <cell r="G187" t="str">
            <v>0000000000</v>
          </cell>
        </row>
        <row r="187">
          <cell r="I187" t="str">
            <v>4360 Robards Ln</v>
          </cell>
        </row>
        <row r="187">
          <cell r="L187" t="str">
            <v>Watterson Park</v>
          </cell>
          <cell r="M187" t="str">
            <v>KY</v>
          </cell>
          <cell r="N187" t="str">
            <v>US</v>
          </cell>
          <cell r="O187" t="str">
            <v>40218</v>
          </cell>
        </row>
        <row r="188">
          <cell r="A188" t="str">
            <v>SDF4</v>
          </cell>
          <cell r="B188" t="str">
            <v>SDF4</v>
          </cell>
        </row>
        <row r="188">
          <cell r="D188" t="str">
            <v>SDF4</v>
          </cell>
          <cell r="E188" t="str">
            <v>SDF4</v>
          </cell>
          <cell r="F188" t="str">
            <v>AMAZON</v>
          </cell>
          <cell r="G188" t="str">
            <v>0000000000</v>
          </cell>
        </row>
        <row r="188">
          <cell r="I188" t="str">
            <v>376 Zappos.com Blvd</v>
          </cell>
        </row>
        <row r="188">
          <cell r="L188" t="str">
            <v>Shepherdsville</v>
          </cell>
          <cell r="M188" t="str">
            <v>KY</v>
          </cell>
          <cell r="N188" t="str">
            <v>US</v>
          </cell>
          <cell r="O188" t="str">
            <v>40165</v>
          </cell>
        </row>
        <row r="189">
          <cell r="A189" t="str">
            <v>SDF6</v>
          </cell>
          <cell r="B189" t="str">
            <v>SDF6</v>
          </cell>
        </row>
        <row r="189">
          <cell r="D189" t="str">
            <v>SDF6</v>
          </cell>
          <cell r="E189" t="str">
            <v>SDF6</v>
          </cell>
          <cell r="F189" t="str">
            <v>AMAZON</v>
          </cell>
          <cell r="G189" t="str">
            <v>0000000000</v>
          </cell>
        </row>
        <row r="189">
          <cell r="I189" t="str">
            <v>271 Omega Pkwy</v>
          </cell>
        </row>
        <row r="189">
          <cell r="L189" t="str">
            <v>Shepherdsville</v>
          </cell>
          <cell r="M189" t="str">
            <v>KY</v>
          </cell>
          <cell r="N189" t="str">
            <v>US</v>
          </cell>
          <cell r="O189" t="str">
            <v>40165</v>
          </cell>
        </row>
        <row r="190">
          <cell r="A190" t="str">
            <v>SDF7</v>
          </cell>
          <cell r="B190" t="str">
            <v>SDF7</v>
          </cell>
        </row>
        <row r="190">
          <cell r="D190" t="str">
            <v>SDF7</v>
          </cell>
          <cell r="E190" t="str">
            <v>SDF7</v>
          </cell>
          <cell r="F190" t="str">
            <v>AMAZON</v>
          </cell>
          <cell r="G190" t="str">
            <v>0000000000</v>
          </cell>
        </row>
        <row r="190">
          <cell r="I190" t="str">
            <v>300 Omicron Court</v>
          </cell>
        </row>
        <row r="190">
          <cell r="L190" t="str">
            <v>Shepherdsville</v>
          </cell>
          <cell r="M190" t="str">
            <v>KY</v>
          </cell>
          <cell r="N190" t="str">
            <v>US</v>
          </cell>
          <cell r="O190" t="str">
            <v>40165</v>
          </cell>
        </row>
        <row r="191">
          <cell r="A191" t="str">
            <v>SDF8</v>
          </cell>
          <cell r="B191" t="str">
            <v>SDF8</v>
          </cell>
        </row>
        <row r="191">
          <cell r="D191" t="str">
            <v>SDF8</v>
          </cell>
          <cell r="E191" t="str">
            <v>SDF8</v>
          </cell>
          <cell r="F191" t="str">
            <v>AMAZON</v>
          </cell>
          <cell r="G191" t="str">
            <v>0000000000</v>
          </cell>
        </row>
        <row r="191">
          <cell r="I191" t="str">
            <v>900 Patrol Rd</v>
          </cell>
        </row>
        <row r="191">
          <cell r="L191" t="str">
            <v>Jeffersonville</v>
          </cell>
          <cell r="M191" t="str">
            <v>IN</v>
          </cell>
          <cell r="N191" t="str">
            <v>US</v>
          </cell>
          <cell r="O191" t="str">
            <v>47130</v>
          </cell>
        </row>
        <row r="192">
          <cell r="A192" t="str">
            <v>SDF9</v>
          </cell>
          <cell r="B192" t="str">
            <v>SDF9</v>
          </cell>
        </row>
        <row r="192">
          <cell r="D192" t="str">
            <v>SDF9</v>
          </cell>
          <cell r="E192" t="str">
            <v>SDF9</v>
          </cell>
          <cell r="F192" t="str">
            <v>AMAZON</v>
          </cell>
          <cell r="G192" t="str">
            <v>0000000000</v>
          </cell>
        </row>
        <row r="192">
          <cell r="I192" t="str">
            <v>100 W. Thomas P. Echols Lane</v>
          </cell>
        </row>
        <row r="192">
          <cell r="L192" t="str">
            <v>Shepherdsville</v>
          </cell>
          <cell r="M192" t="str">
            <v>KY</v>
          </cell>
          <cell r="N192" t="str">
            <v>US</v>
          </cell>
          <cell r="O192" t="str">
            <v>40165</v>
          </cell>
        </row>
        <row r="193">
          <cell r="A193" t="str">
            <v>SEA6</v>
          </cell>
          <cell r="B193" t="str">
            <v>SEA6</v>
          </cell>
        </row>
        <row r="193">
          <cell r="D193" t="str">
            <v>SEA6</v>
          </cell>
          <cell r="E193" t="str">
            <v>SEA6</v>
          </cell>
          <cell r="F193" t="str">
            <v>AMAZON</v>
          </cell>
          <cell r="G193" t="str">
            <v>0000000000</v>
          </cell>
        </row>
        <row r="193">
          <cell r="I193" t="str">
            <v>2646 Rainier Ave.</v>
          </cell>
        </row>
        <row r="193">
          <cell r="L193" t="str">
            <v>South Seattle</v>
          </cell>
          <cell r="M193" t="str">
            <v>WA</v>
          </cell>
          <cell r="N193" t="str">
            <v>US</v>
          </cell>
          <cell r="O193" t="str">
            <v>98144</v>
          </cell>
        </row>
        <row r="194">
          <cell r="A194" t="str">
            <v>SEA8</v>
          </cell>
          <cell r="B194" t="str">
            <v>SEA8</v>
          </cell>
        </row>
        <row r="194">
          <cell r="D194" t="str">
            <v>SEA8</v>
          </cell>
          <cell r="E194" t="str">
            <v>SEA8</v>
          </cell>
          <cell r="F194" t="str">
            <v>AMAZON</v>
          </cell>
          <cell r="G194" t="str">
            <v>0000000000</v>
          </cell>
        </row>
        <row r="194">
          <cell r="I194" t="str">
            <v>1475 124th Avenue</v>
          </cell>
        </row>
        <row r="194">
          <cell r="L194" t="str">
            <v>Northeast Bellevue</v>
          </cell>
          <cell r="M194" t="str">
            <v>WA</v>
          </cell>
          <cell r="N194" t="str">
            <v>US</v>
          </cell>
          <cell r="O194" t="str">
            <v>98005</v>
          </cell>
        </row>
        <row r="195">
          <cell r="A195" t="str">
            <v>SJC7</v>
          </cell>
          <cell r="B195" t="str">
            <v>SJC7</v>
          </cell>
        </row>
        <row r="195">
          <cell r="D195" t="str">
            <v>SJC7</v>
          </cell>
          <cell r="E195" t="str">
            <v>SJC7</v>
          </cell>
          <cell r="F195" t="str">
            <v>AMAZON</v>
          </cell>
          <cell r="G195" t="str">
            <v>0000000000</v>
          </cell>
        </row>
        <row r="195">
          <cell r="I195" t="str">
            <v>188 Mountain House Parkway</v>
          </cell>
        </row>
        <row r="195">
          <cell r="L195" t="str">
            <v>Tracy</v>
          </cell>
          <cell r="M195" t="str">
            <v>CA</v>
          </cell>
          <cell r="N195" t="str">
            <v>US</v>
          </cell>
          <cell r="O195" t="str">
            <v>95377</v>
          </cell>
        </row>
        <row r="196">
          <cell r="A196" t="str">
            <v>SJC8</v>
          </cell>
          <cell r="B196" t="str">
            <v>SJC8</v>
          </cell>
        </row>
        <row r="196">
          <cell r="D196" t="str">
            <v>SJC8</v>
          </cell>
          <cell r="E196" t="str">
            <v>SJC8</v>
          </cell>
          <cell r="F196" t="str">
            <v>AMAZON</v>
          </cell>
          <cell r="G196" t="str">
            <v>0000000000</v>
          </cell>
        </row>
        <row r="196">
          <cell r="I196" t="str">
            <v>46724 Lakeview Blvd</v>
          </cell>
        </row>
        <row r="196">
          <cell r="L196" t="str">
            <v>Fremont</v>
          </cell>
          <cell r="M196" t="str">
            <v>CA</v>
          </cell>
          <cell r="N196" t="str">
            <v>US</v>
          </cell>
          <cell r="O196" t="str">
            <v>94538</v>
          </cell>
        </row>
        <row r="197">
          <cell r="A197" t="str">
            <v>SLA5</v>
          </cell>
          <cell r="B197" t="str">
            <v>SLA5</v>
          </cell>
        </row>
        <row r="197">
          <cell r="D197" t="str">
            <v>SLA5</v>
          </cell>
          <cell r="E197" t="str">
            <v>SLA5</v>
          </cell>
          <cell r="F197" t="str">
            <v>AMAZON</v>
          </cell>
          <cell r="G197" t="str">
            <v>0000000000</v>
          </cell>
        </row>
        <row r="197">
          <cell r="I197" t="str">
            <v>5250 Goodman Rd</v>
          </cell>
        </row>
        <row r="197">
          <cell r="L197" t="str">
            <v>Eastvale</v>
          </cell>
          <cell r="M197" t="str">
            <v>CA</v>
          </cell>
          <cell r="N197" t="str">
            <v>US</v>
          </cell>
          <cell r="O197" t="str">
            <v>91752</v>
          </cell>
        </row>
        <row r="198">
          <cell r="A198" t="str">
            <v>SLC1</v>
          </cell>
          <cell r="B198" t="str">
            <v>SLC1</v>
          </cell>
        </row>
        <row r="198">
          <cell r="D198" t="str">
            <v>SLC1</v>
          </cell>
          <cell r="E198" t="str">
            <v>SLC1</v>
          </cell>
          <cell r="F198" t="str">
            <v>AMAZON</v>
          </cell>
          <cell r="G198" t="str">
            <v>0000000000</v>
          </cell>
        </row>
        <row r="198">
          <cell r="I198" t="str">
            <v>777 N 5600 W</v>
          </cell>
        </row>
        <row r="198">
          <cell r="L198" t="str">
            <v>SALT LAKE CITY</v>
          </cell>
          <cell r="M198" t="str">
            <v>UT</v>
          </cell>
          <cell r="N198" t="str">
            <v>US</v>
          </cell>
          <cell r="O198" t="str">
            <v>84116</v>
          </cell>
        </row>
        <row r="199">
          <cell r="A199" t="str">
            <v>SLC2</v>
          </cell>
          <cell r="B199" t="str">
            <v>SLC2</v>
          </cell>
        </row>
        <row r="199">
          <cell r="D199" t="str">
            <v>SLC2</v>
          </cell>
          <cell r="E199" t="str">
            <v>SLC2</v>
          </cell>
          <cell r="F199" t="str">
            <v>AMAZON</v>
          </cell>
          <cell r="G199" t="str">
            <v>0000000000</v>
          </cell>
        </row>
        <row r="199">
          <cell r="I199" t="str">
            <v>7148 W. Old Bingham Hwy</v>
          </cell>
        </row>
        <row r="199">
          <cell r="L199" t="str">
            <v>West Jordan</v>
          </cell>
          <cell r="M199" t="str">
            <v>UT</v>
          </cell>
          <cell r="N199" t="str">
            <v>US</v>
          </cell>
          <cell r="O199" t="str">
            <v>84081</v>
          </cell>
        </row>
        <row r="200">
          <cell r="A200" t="str">
            <v>SLC3</v>
          </cell>
          <cell r="B200" t="str">
            <v>SLC3</v>
          </cell>
        </row>
        <row r="200">
          <cell r="D200" t="str">
            <v>SLC3</v>
          </cell>
          <cell r="E200" t="str">
            <v>SLC3</v>
          </cell>
          <cell r="F200" t="str">
            <v>AMAZON</v>
          </cell>
          <cell r="G200" t="str">
            <v>0000000000</v>
          </cell>
        </row>
        <row r="200">
          <cell r="I200" t="str">
            <v>355 N JOHN GLENN RD</v>
          </cell>
        </row>
        <row r="200">
          <cell r="L200" t="str">
            <v>SALT LAKE CITY</v>
          </cell>
          <cell r="M200" t="str">
            <v>UT</v>
          </cell>
          <cell r="N200" t="str">
            <v>US</v>
          </cell>
          <cell r="O200" t="str">
            <v>84116</v>
          </cell>
        </row>
        <row r="201">
          <cell r="A201" t="str">
            <v>SMF1</v>
          </cell>
          <cell r="B201" t="str">
            <v>SMF1</v>
          </cell>
        </row>
        <row r="201">
          <cell r="D201" t="str">
            <v>SMF1</v>
          </cell>
          <cell r="E201" t="str">
            <v>SMF1</v>
          </cell>
          <cell r="F201" t="str">
            <v>AMAZON</v>
          </cell>
          <cell r="G201" t="str">
            <v>0000000000</v>
          </cell>
        </row>
        <row r="201">
          <cell r="I201" t="str">
            <v>4900 W Elkhorn Blvd</v>
          </cell>
        </row>
        <row r="201">
          <cell r="L201" t="str">
            <v>Sacramento</v>
          </cell>
          <cell r="M201" t="str">
            <v>CA</v>
          </cell>
          <cell r="N201" t="str">
            <v>US</v>
          </cell>
          <cell r="O201" t="str">
            <v>95835</v>
          </cell>
        </row>
        <row r="202">
          <cell r="A202" t="str">
            <v>SMF6</v>
          </cell>
          <cell r="B202" t="str">
            <v>SMF6</v>
          </cell>
        </row>
        <row r="202">
          <cell r="D202" t="str">
            <v>SMF6</v>
          </cell>
          <cell r="E202" t="str">
            <v>SMF6</v>
          </cell>
          <cell r="F202" t="str">
            <v>AMAZON</v>
          </cell>
          <cell r="G202" t="str">
            <v>0000000000</v>
          </cell>
        </row>
        <row r="202">
          <cell r="I202" t="str">
            <v>4930 ALLBAUGH DR</v>
          </cell>
        </row>
        <row r="202">
          <cell r="L202" t="str">
            <v>SACRAMENTO</v>
          </cell>
          <cell r="M202" t="str">
            <v>CA</v>
          </cell>
          <cell r="N202" t="str">
            <v>US</v>
          </cell>
          <cell r="O202" t="str">
            <v>95837</v>
          </cell>
        </row>
        <row r="203">
          <cell r="A203" t="str">
            <v>SMI1</v>
          </cell>
          <cell r="B203" t="str">
            <v>SMI1</v>
          </cell>
        </row>
        <row r="203">
          <cell r="D203" t="str">
            <v>SMI1</v>
          </cell>
          <cell r="E203" t="str">
            <v>SMI1</v>
          </cell>
          <cell r="F203" t="str">
            <v>AMAZON</v>
          </cell>
          <cell r="G203" t="str">
            <v>0000000000</v>
          </cell>
        </row>
        <row r="203">
          <cell r="I203" t="str">
            <v>1400 E 10 MILE RD Suite 190</v>
          </cell>
        </row>
        <row r="203">
          <cell r="L203" t="str">
            <v>HAZEL PARK</v>
          </cell>
          <cell r="M203" t="str">
            <v>MI</v>
          </cell>
          <cell r="N203" t="str">
            <v>US</v>
          </cell>
          <cell r="O203" t="str">
            <v>48030</v>
          </cell>
        </row>
        <row r="204">
          <cell r="A204" t="str">
            <v>SNA4</v>
          </cell>
          <cell r="B204" t="str">
            <v>SNA4</v>
          </cell>
        </row>
        <row r="204">
          <cell r="D204" t="str">
            <v>SNA4</v>
          </cell>
          <cell r="E204" t="str">
            <v>SNA4</v>
          </cell>
          <cell r="F204" t="str">
            <v>AMAZON</v>
          </cell>
          <cell r="G204" t="str">
            <v>0000000000</v>
          </cell>
        </row>
        <row r="204">
          <cell r="I204" t="str">
            <v>2496 W Walnut Ave</v>
          </cell>
        </row>
        <row r="204">
          <cell r="L204" t="str">
            <v>Rialto</v>
          </cell>
          <cell r="M204" t="str">
            <v>CA</v>
          </cell>
          <cell r="N204" t="str">
            <v>US</v>
          </cell>
          <cell r="O204" t="str">
            <v>92376</v>
          </cell>
        </row>
        <row r="205">
          <cell r="A205" t="str">
            <v>STL6</v>
          </cell>
          <cell r="B205" t="str">
            <v>STL6</v>
          </cell>
        </row>
        <row r="205">
          <cell r="D205" t="str">
            <v>STL6</v>
          </cell>
          <cell r="E205" t="str">
            <v>STL6</v>
          </cell>
          <cell r="F205" t="str">
            <v>AMAZON</v>
          </cell>
          <cell r="G205" t="str">
            <v>0000000000</v>
          </cell>
        </row>
        <row r="205">
          <cell r="I205" t="str">
            <v>3931 Lakeview Corporate Drive</v>
          </cell>
        </row>
        <row r="205">
          <cell r="L205" t="str">
            <v>Edwardsville</v>
          </cell>
          <cell r="M205" t="str">
            <v>IL</v>
          </cell>
          <cell r="N205" t="str">
            <v>US</v>
          </cell>
          <cell r="O205" t="str">
            <v>62025</v>
          </cell>
        </row>
        <row r="206">
          <cell r="A206" t="str">
            <v>STL8</v>
          </cell>
          <cell r="B206" t="str">
            <v>STL8</v>
          </cell>
        </row>
        <row r="206">
          <cell r="D206" t="str">
            <v>STL8</v>
          </cell>
          <cell r="E206" t="str">
            <v>STL8</v>
          </cell>
          <cell r="F206" t="str">
            <v>AMAZON</v>
          </cell>
          <cell r="G206" t="str">
            <v>0000000000</v>
          </cell>
        </row>
        <row r="206">
          <cell r="I206" t="str">
            <v>4000 Premier Parkway SAINT PETERS</v>
          </cell>
        </row>
        <row r="206">
          <cell r="L206" t="str">
            <v>SAINT PETERS</v>
          </cell>
          <cell r="M206" t="str">
            <v>MO</v>
          </cell>
          <cell r="N206" t="str">
            <v>US</v>
          </cell>
          <cell r="O206" t="str">
            <v>63376</v>
          </cell>
        </row>
        <row r="207">
          <cell r="A207" t="str">
            <v>TFC1</v>
          </cell>
          <cell r="B207" t="str">
            <v>TFC1</v>
          </cell>
        </row>
        <row r="207">
          <cell r="D207" t="str">
            <v>TFC1</v>
          </cell>
          <cell r="E207" t="str">
            <v>TFC1</v>
          </cell>
          <cell r="F207" t="str">
            <v>AMAZON</v>
          </cell>
          <cell r="G207" t="str">
            <v>0000000000</v>
          </cell>
        </row>
        <row r="207">
          <cell r="I207" t="str">
            <v>5050 West Mohave St</v>
          </cell>
        </row>
        <row r="207">
          <cell r="L207" t="str">
            <v>Phoenix</v>
          </cell>
          <cell r="M207" t="str">
            <v>AZ</v>
          </cell>
          <cell r="N207" t="str">
            <v>US</v>
          </cell>
          <cell r="O207" t="str">
            <v>85043</v>
          </cell>
        </row>
        <row r="208">
          <cell r="A208" t="str">
            <v>TUL1</v>
          </cell>
          <cell r="B208" t="str">
            <v>TUL1</v>
          </cell>
        </row>
        <row r="208">
          <cell r="D208" t="str">
            <v>TUL1</v>
          </cell>
          <cell r="E208" t="str">
            <v>TUL1</v>
          </cell>
          <cell r="F208" t="str">
            <v>AMAZON</v>
          </cell>
          <cell r="G208" t="str">
            <v>0000000000</v>
          </cell>
        </row>
        <row r="208">
          <cell r="I208" t="str">
            <v>2654 North Highway 169</v>
          </cell>
        </row>
        <row r="208">
          <cell r="L208" t="str">
            <v>Coffeyville</v>
          </cell>
          <cell r="M208" t="str">
            <v>KS</v>
          </cell>
          <cell r="N208" t="str">
            <v>US</v>
          </cell>
          <cell r="O208" t="str">
            <v>67337</v>
          </cell>
        </row>
        <row r="209">
          <cell r="A209" t="str">
            <v>TUS2</v>
          </cell>
          <cell r="B209" t="str">
            <v>TUS2</v>
          </cell>
        </row>
        <row r="209">
          <cell r="D209" t="str">
            <v>TUS2</v>
          </cell>
          <cell r="E209" t="str">
            <v>TUS2</v>
          </cell>
          <cell r="F209" t="str">
            <v>AMAZON</v>
          </cell>
          <cell r="G209" t="str">
            <v>0000000000</v>
          </cell>
        </row>
        <row r="209">
          <cell r="I209" t="str">
            <v>6701 S KOLB RD</v>
          </cell>
        </row>
        <row r="209">
          <cell r="L209" t="str">
            <v>TUCSON</v>
          </cell>
          <cell r="M209" t="str">
            <v>AZ</v>
          </cell>
          <cell r="N209" t="str">
            <v>US</v>
          </cell>
          <cell r="O209" t="str">
            <v>85756</v>
          </cell>
        </row>
        <row r="210">
          <cell r="A210" t="str">
            <v>VUAT</v>
          </cell>
          <cell r="B210" t="str">
            <v>VUAT</v>
          </cell>
        </row>
        <row r="210">
          <cell r="D210" t="str">
            <v>VUAT</v>
          </cell>
          <cell r="E210" t="str">
            <v>VUAT</v>
          </cell>
          <cell r="F210" t="str">
            <v>AMAZON</v>
          </cell>
          <cell r="G210" t="str">
            <v>0000000000</v>
          </cell>
        </row>
        <row r="210">
          <cell r="I210" t="str">
            <v>6855 Shannon Pkwy</v>
          </cell>
        </row>
        <row r="210">
          <cell r="L210" t="str">
            <v>UNION CITY</v>
          </cell>
          <cell r="M210" t="str">
            <v>GA</v>
          </cell>
          <cell r="N210" t="str">
            <v>US</v>
          </cell>
          <cell r="O210" t="str">
            <v>30291</v>
          </cell>
        </row>
        <row r="211">
          <cell r="A211" t="str">
            <v>VUBA</v>
          </cell>
          <cell r="B211" t="str">
            <v>VUBA</v>
          </cell>
        </row>
        <row r="211">
          <cell r="D211" t="str">
            <v>VUBA</v>
          </cell>
          <cell r="E211" t="str">
            <v>VUBA</v>
          </cell>
          <cell r="F211" t="str">
            <v>AMAZON</v>
          </cell>
          <cell r="G211" t="str">
            <v>0000000000</v>
          </cell>
        </row>
        <row r="211">
          <cell r="I211" t="str">
            <v>1000 Keystone Industrial Park</v>
          </cell>
        </row>
        <row r="211">
          <cell r="L211" t="str">
            <v>Scranton</v>
          </cell>
          <cell r="M211" t="str">
            <v>PA</v>
          </cell>
          <cell r="N211" t="str">
            <v>US</v>
          </cell>
          <cell r="O211" t="str">
            <v>18512</v>
          </cell>
        </row>
        <row r="212">
          <cell r="A212" t="str">
            <v>VUGA</v>
          </cell>
          <cell r="B212" t="str">
            <v>VUGA</v>
          </cell>
        </row>
        <row r="212">
          <cell r="D212" t="str">
            <v>VUGA</v>
          </cell>
          <cell r="E212" t="str">
            <v>VUGA</v>
          </cell>
          <cell r="F212" t="str">
            <v>AMAZON</v>
          </cell>
          <cell r="G212" t="str">
            <v>0000000000</v>
          </cell>
        </row>
        <row r="212">
          <cell r="I212" t="str">
            <v>508 Delaware Avenue West</v>
          </cell>
        </row>
        <row r="212">
          <cell r="L212" t="str">
            <v>Pittston</v>
          </cell>
          <cell r="M212" t="str">
            <v>PA</v>
          </cell>
          <cell r="N212" t="str">
            <v>US</v>
          </cell>
          <cell r="O212" t="str">
            <v>18643</v>
          </cell>
        </row>
        <row r="213">
          <cell r="A213" t="str">
            <v>WRO5</v>
          </cell>
          <cell r="B213" t="str">
            <v>WRO5</v>
          </cell>
        </row>
        <row r="213">
          <cell r="D213" t="str">
            <v>WRO5</v>
          </cell>
          <cell r="E213" t="str">
            <v>WRO5</v>
          </cell>
          <cell r="F213" t="str">
            <v>AMAZON</v>
          </cell>
          <cell r="G213" t="str">
            <v>0000000000</v>
          </cell>
        </row>
        <row r="213">
          <cell r="I213" t="str">
            <v>Amm GmbH &amp; Co KG Spedition Hamburger Str. 99</v>
          </cell>
        </row>
        <row r="213">
          <cell r="L213" t="str">
            <v>Bavaria</v>
          </cell>
          <cell r="M213" t="str">
            <v>Nuernberg</v>
          </cell>
          <cell r="N213" t="str">
            <v>US</v>
          </cell>
          <cell r="O213" t="str">
            <v>90451</v>
          </cell>
        </row>
        <row r="214">
          <cell r="A214" t="str">
            <v>XEW2</v>
          </cell>
          <cell r="B214" t="str">
            <v>XEW2</v>
          </cell>
        </row>
        <row r="214">
          <cell r="D214" t="str">
            <v>XEW2</v>
          </cell>
          <cell r="E214" t="str">
            <v>XEW2</v>
          </cell>
          <cell r="F214" t="str">
            <v>AMAZON</v>
          </cell>
          <cell r="G214" t="str">
            <v>0000000000</v>
          </cell>
        </row>
        <row r="214">
          <cell r="I214" t="str">
            <v>6855 SHANNON PKWY</v>
          </cell>
        </row>
        <row r="214">
          <cell r="L214" t="str">
            <v>UNION CITY</v>
          </cell>
          <cell r="M214" t="str">
            <v>GA</v>
          </cell>
          <cell r="N214" t="str">
            <v>US</v>
          </cell>
          <cell r="O214" t="str">
            <v>30291</v>
          </cell>
        </row>
        <row r="215">
          <cell r="A215" t="str">
            <v>XIX6</v>
          </cell>
          <cell r="B215" t="str">
            <v>XIX6</v>
          </cell>
        </row>
        <row r="215">
          <cell r="D215" t="str">
            <v>XIX6</v>
          </cell>
          <cell r="E215" t="str">
            <v>XIX6</v>
          </cell>
          <cell r="F215" t="str">
            <v>AMAZON</v>
          </cell>
          <cell r="G215" t="str">
            <v>0000000000</v>
          </cell>
        </row>
        <row r="215">
          <cell r="I215" t="str">
            <v>10681 Production Ave</v>
          </cell>
        </row>
        <row r="215">
          <cell r="L215" t="str">
            <v>Fontana</v>
          </cell>
          <cell r="M215" t="str">
            <v>CA</v>
          </cell>
          <cell r="N215" t="str">
            <v>US</v>
          </cell>
          <cell r="O215" t="str">
            <v>92337</v>
          </cell>
        </row>
        <row r="216">
          <cell r="A216" t="str">
            <v>XIX7</v>
          </cell>
          <cell r="B216" t="str">
            <v>XIX7</v>
          </cell>
        </row>
        <row r="216">
          <cell r="D216" t="str">
            <v>XIX7</v>
          </cell>
          <cell r="E216" t="str">
            <v>XIX7</v>
          </cell>
          <cell r="F216" t="str">
            <v>AMAZON</v>
          </cell>
          <cell r="G216" t="str">
            <v>0000000000</v>
          </cell>
        </row>
        <row r="216">
          <cell r="I216" t="str">
            <v>555E ORANGE SHOW RD</v>
          </cell>
        </row>
        <row r="216">
          <cell r="L216" t="str">
            <v>SAN BERNARDINO</v>
          </cell>
          <cell r="M216" t="str">
            <v>CA</v>
          </cell>
          <cell r="N216" t="str">
            <v>US</v>
          </cell>
          <cell r="O216" t="str">
            <v>92408</v>
          </cell>
        </row>
        <row r="217">
          <cell r="A217" t="str">
            <v>XUSB</v>
          </cell>
          <cell r="B217" t="str">
            <v>XUSB</v>
          </cell>
        </row>
        <row r="217">
          <cell r="D217" t="str">
            <v>XUSB</v>
          </cell>
          <cell r="E217" t="str">
            <v>XUSB</v>
          </cell>
          <cell r="F217" t="str">
            <v>AMAZON</v>
          </cell>
          <cell r="G217" t="str">
            <v>0000000000</v>
          </cell>
        </row>
        <row r="217">
          <cell r="I217" t="str">
            <v>14900 Frye Rd.</v>
          </cell>
        </row>
        <row r="217">
          <cell r="L217" t="str">
            <v>Fort Worth</v>
          </cell>
          <cell r="M217" t="str">
            <v>TX</v>
          </cell>
          <cell r="N217" t="str">
            <v>US</v>
          </cell>
          <cell r="O217" t="str">
            <v>76155</v>
          </cell>
        </row>
        <row r="218">
          <cell r="A218" t="str">
            <v>XUSC</v>
          </cell>
          <cell r="B218" t="str">
            <v>XUSC</v>
          </cell>
        </row>
        <row r="218">
          <cell r="D218" t="str">
            <v>XUSC</v>
          </cell>
          <cell r="E218" t="str">
            <v>XUSC</v>
          </cell>
          <cell r="F218" t="str">
            <v>AMAZON</v>
          </cell>
          <cell r="G218" t="str">
            <v>0000000000</v>
          </cell>
        </row>
        <row r="218">
          <cell r="I218" t="str">
            <v>40 Logistics Drive</v>
          </cell>
        </row>
        <row r="218">
          <cell r="L218" t="str">
            <v>Carlisle</v>
          </cell>
          <cell r="M218" t="str">
            <v>PA</v>
          </cell>
          <cell r="N218" t="str">
            <v>US</v>
          </cell>
          <cell r="O218" t="str">
            <v>17013</v>
          </cell>
        </row>
        <row r="219">
          <cell r="A219" t="str">
            <v>XUSD</v>
          </cell>
          <cell r="B219" t="str">
            <v>XUSD</v>
          </cell>
        </row>
        <row r="219">
          <cell r="D219" t="str">
            <v>XUSD</v>
          </cell>
          <cell r="E219" t="str">
            <v>XUSD</v>
          </cell>
          <cell r="F219" t="str">
            <v>AMAZON</v>
          </cell>
          <cell r="G219" t="str">
            <v>0000000000</v>
          </cell>
        </row>
        <row r="219">
          <cell r="I219" t="str">
            <v>1909 Zephyr St</v>
          </cell>
        </row>
        <row r="219">
          <cell r="L219" t="str">
            <v>Stockton</v>
          </cell>
          <cell r="M219" t="str">
            <v>CA</v>
          </cell>
          <cell r="N219" t="str">
            <v>US</v>
          </cell>
          <cell r="O219" t="str">
            <v>95206</v>
          </cell>
        </row>
        <row r="220">
          <cell r="A220" t="str">
            <v>XUSE</v>
          </cell>
          <cell r="B220" t="str">
            <v>XUSE</v>
          </cell>
        </row>
        <row r="220">
          <cell r="D220" t="str">
            <v>XUSE</v>
          </cell>
          <cell r="E220" t="str">
            <v>XUSE</v>
          </cell>
          <cell r="F220" t="str">
            <v>AMAZON</v>
          </cell>
          <cell r="G220" t="str">
            <v>0000000000</v>
          </cell>
        </row>
        <row r="220">
          <cell r="I220" t="str">
            <v>5100 S Indianapolis Rd</v>
          </cell>
        </row>
        <row r="220">
          <cell r="L220" t="str">
            <v>Whitestown</v>
          </cell>
          <cell r="M220" t="str">
            <v>IN</v>
          </cell>
          <cell r="N220" t="str">
            <v>US</v>
          </cell>
          <cell r="O220" t="str">
            <v>46075</v>
          </cell>
        </row>
        <row r="221">
          <cell r="A221" t="str">
            <v>TUL2</v>
          </cell>
          <cell r="B221" t="str">
            <v>TUL2</v>
          </cell>
        </row>
        <row r="221">
          <cell r="D221" t="str">
            <v>TUL2</v>
          </cell>
          <cell r="E221" t="str">
            <v>TUL2</v>
          </cell>
          <cell r="F221" t="str">
            <v>AMAZON</v>
          </cell>
          <cell r="G221" t="str">
            <v>0000000000</v>
          </cell>
        </row>
        <row r="221">
          <cell r="I221" t="str">
            <v>4040 North 125th East Avenue</v>
          </cell>
        </row>
        <row r="221">
          <cell r="L221" t="str">
            <v>TULSA</v>
          </cell>
          <cell r="M221" t="str">
            <v>OK</v>
          </cell>
          <cell r="N221" t="str">
            <v>US</v>
          </cell>
          <cell r="O221" t="str">
            <v>74116</v>
          </cell>
        </row>
        <row r="222">
          <cell r="A222" t="str">
            <v>LFT1</v>
          </cell>
          <cell r="B222" t="str">
            <v>LFT1</v>
          </cell>
        </row>
        <row r="222">
          <cell r="D222" t="str">
            <v>LFT1</v>
          </cell>
          <cell r="E222" t="str">
            <v>LFT1</v>
          </cell>
          <cell r="F222" t="str">
            <v>AMAZON</v>
          </cell>
          <cell r="G222" t="str">
            <v>0000000000</v>
          </cell>
        </row>
        <row r="222">
          <cell r="I222" t="str">
            <v>3550 NE EVANGELINE TRWY</v>
          </cell>
        </row>
        <row r="222">
          <cell r="L222" t="str">
            <v>CARENCRO</v>
          </cell>
          <cell r="M222" t="str">
            <v>LA</v>
          </cell>
          <cell r="N222" t="str">
            <v>US</v>
          </cell>
          <cell r="O222" t="str">
            <v>70520</v>
          </cell>
        </row>
        <row r="223">
          <cell r="A223" t="str">
            <v>FAR1</v>
          </cell>
          <cell r="B223" t="str">
            <v>FAR1</v>
          </cell>
        </row>
        <row r="223">
          <cell r="D223" t="str">
            <v>FAR1</v>
          </cell>
          <cell r="E223" t="str">
            <v>FAR1</v>
          </cell>
          <cell r="F223" t="str">
            <v>AMAZON</v>
          </cell>
          <cell r="G223" t="str">
            <v>0000000000</v>
          </cell>
        </row>
        <row r="223">
          <cell r="I223" t="str">
            <v>3701 40TH AVE N</v>
          </cell>
        </row>
        <row r="223">
          <cell r="L223" t="str">
            <v>FARGO</v>
          </cell>
          <cell r="M223" t="str">
            <v>ND</v>
          </cell>
          <cell r="N223" t="str">
            <v>US</v>
          </cell>
          <cell r="O223" t="str">
            <v>58102</v>
          </cell>
        </row>
        <row r="224">
          <cell r="A224" t="str">
            <v>AFW1</v>
          </cell>
          <cell r="B224" t="str">
            <v>AFW1</v>
          </cell>
        </row>
        <row r="224">
          <cell r="D224" t="str">
            <v>AFW1</v>
          </cell>
          <cell r="E224" t="str">
            <v>AFW1</v>
          </cell>
          <cell r="F224" t="str">
            <v>AMAZON</v>
          </cell>
          <cell r="G224" t="str">
            <v>0000000000</v>
          </cell>
        </row>
        <row r="224">
          <cell r="I224" t="str">
            <v>1851 NE LOOP 820</v>
          </cell>
        </row>
        <row r="224">
          <cell r="L224" t="str">
            <v>FORT WORTH</v>
          </cell>
          <cell r="M224" t="str">
            <v>TX</v>
          </cell>
          <cell r="N224" t="str">
            <v>US</v>
          </cell>
          <cell r="O224" t="str">
            <v>76131</v>
          </cell>
        </row>
        <row r="225">
          <cell r="A225" t="str">
            <v>GEG1</v>
          </cell>
          <cell r="B225" t="str">
            <v>GEG1</v>
          </cell>
        </row>
        <row r="225">
          <cell r="D225" t="str">
            <v>GEG1</v>
          </cell>
          <cell r="E225" t="str">
            <v>GEG1</v>
          </cell>
          <cell r="F225" t="str">
            <v>AMAZON</v>
          </cell>
          <cell r="G225" t="str">
            <v>0000000000</v>
          </cell>
        </row>
        <row r="225">
          <cell r="I225" t="str">
            <v>10010 West Geiger Boulevard</v>
          </cell>
        </row>
        <row r="225">
          <cell r="L225" t="str">
            <v>SPOKANE</v>
          </cell>
          <cell r="M225" t="str">
            <v>WA</v>
          </cell>
          <cell r="N225" t="str">
            <v>US</v>
          </cell>
          <cell r="O225" t="str">
            <v>99224</v>
          </cell>
        </row>
        <row r="226">
          <cell r="A226" t="str">
            <v>YVR1</v>
          </cell>
          <cell r="B226" t="str">
            <v>YVR1</v>
          </cell>
        </row>
        <row r="226">
          <cell r="D226" t="str">
            <v>YVR1</v>
          </cell>
          <cell r="E226" t="str">
            <v>YVR1</v>
          </cell>
          <cell r="F226" t="str">
            <v>AMAZON</v>
          </cell>
          <cell r="G226" t="str">
            <v>0000000000</v>
          </cell>
        </row>
        <row r="226">
          <cell r="I226" t="str">
            <v>450 Derwent  PL Delta，British Columbia  V3M5Y9</v>
          </cell>
        </row>
        <row r="226">
          <cell r="L226" t="str">
            <v>Vancouver</v>
          </cell>
        </row>
        <row r="226">
          <cell r="N226" t="str">
            <v>CA</v>
          </cell>
          <cell r="O226" t="str">
            <v>V3M5Y9</v>
          </cell>
        </row>
        <row r="227">
          <cell r="A227" t="str">
            <v>YVR2</v>
          </cell>
          <cell r="B227" t="str">
            <v>YVR2</v>
          </cell>
        </row>
        <row r="227">
          <cell r="D227" t="str">
            <v>YVR2</v>
          </cell>
          <cell r="E227" t="str">
            <v>YVR2</v>
          </cell>
          <cell r="F227" t="str">
            <v>AMAZON</v>
          </cell>
          <cell r="G227" t="str">
            <v>0000000000</v>
          </cell>
        </row>
        <row r="227">
          <cell r="I227" t="str">
            <v>450 Derwent Place Delta V3M 5Y9</v>
          </cell>
        </row>
        <row r="227">
          <cell r="L227" t="str">
            <v>Delta</v>
          </cell>
        </row>
        <row r="227">
          <cell r="N227" t="str">
            <v>CA</v>
          </cell>
          <cell r="O227" t="str">
            <v>V3M 5Y9</v>
          </cell>
        </row>
        <row r="228">
          <cell r="A228" t="str">
            <v>YVR3</v>
          </cell>
          <cell r="B228" t="str">
            <v>YVR3</v>
          </cell>
        </row>
        <row r="228">
          <cell r="D228" t="str">
            <v>YVR3</v>
          </cell>
          <cell r="E228" t="str">
            <v>YVR3</v>
          </cell>
          <cell r="F228" t="str">
            <v>AMAZON</v>
          </cell>
          <cell r="G228" t="str">
            <v>0000000000</v>
          </cell>
        </row>
        <row r="228">
          <cell r="I228" t="str">
            <v>109 Braid St New Westminster V3L 5H4</v>
          </cell>
        </row>
        <row r="228">
          <cell r="L228" t="str">
            <v>New Westminster</v>
          </cell>
        </row>
        <row r="228">
          <cell r="N228" t="str">
            <v>CA</v>
          </cell>
          <cell r="O228" t="str">
            <v>V3L 5H4</v>
          </cell>
        </row>
        <row r="229">
          <cell r="A229" t="str">
            <v>YVR4</v>
          </cell>
          <cell r="B229" t="str">
            <v>YVR4</v>
          </cell>
        </row>
        <row r="229">
          <cell r="D229" t="str">
            <v>YVR4</v>
          </cell>
          <cell r="E229" t="str">
            <v>YVR4</v>
          </cell>
          <cell r="F229" t="str">
            <v>AMAZON</v>
          </cell>
          <cell r="G229" t="str">
            <v>0000000000</v>
          </cell>
        </row>
        <row r="229">
          <cell r="I229" t="str">
            <v>4189 SALISH SEA WAY TSAWWASSEN</v>
          </cell>
        </row>
        <row r="229">
          <cell r="L229" t="str">
            <v>TSAWWASSEN</v>
          </cell>
        </row>
        <row r="229">
          <cell r="N229" t="str">
            <v>CA</v>
          </cell>
          <cell r="O229" t="str">
            <v>V4M 0B9</v>
          </cell>
        </row>
        <row r="230">
          <cell r="A230" t="str">
            <v>YYC1</v>
          </cell>
          <cell r="B230" t="str">
            <v>YYC1</v>
          </cell>
        </row>
        <row r="230">
          <cell r="D230" t="str">
            <v>YYC1</v>
          </cell>
          <cell r="E230" t="str">
            <v>YYC1</v>
          </cell>
          <cell r="F230" t="str">
            <v>AMAZON</v>
          </cell>
          <cell r="G230" t="str">
            <v>0000000000</v>
          </cell>
        </row>
        <row r="230">
          <cell r="I230" t="str">
            <v>293069 Colonel Robertson Way  and Crossiron Blvd  Calgary, AB T4A 1C6</v>
          </cell>
        </row>
        <row r="230">
          <cell r="L230" t="str">
            <v>Calgary</v>
          </cell>
        </row>
        <row r="230">
          <cell r="N230" t="str">
            <v>CA</v>
          </cell>
          <cell r="O230" t="str">
            <v>T4A 1C6</v>
          </cell>
        </row>
        <row r="231">
          <cell r="A231" t="str">
            <v>YEG1</v>
          </cell>
          <cell r="B231" t="str">
            <v>YEG1</v>
          </cell>
        </row>
        <row r="231">
          <cell r="D231" t="str">
            <v>YEG1</v>
          </cell>
          <cell r="E231" t="str">
            <v>YEG1</v>
          </cell>
          <cell r="F231" t="str">
            <v>AMAZON</v>
          </cell>
          <cell r="G231" t="str">
            <v>0000000000</v>
          </cell>
        </row>
        <row r="231">
          <cell r="I231" t="str">
            <v>1440 39 AVE   NiskuABT9E 0B4</v>
          </cell>
        </row>
        <row r="231">
          <cell r="L231" t="str">
            <v>Edmonton</v>
          </cell>
        </row>
        <row r="231">
          <cell r="N231" t="str">
            <v>CA</v>
          </cell>
          <cell r="O231" t="str">
            <v>T9E 0B4</v>
          </cell>
        </row>
        <row r="232">
          <cell r="A232" t="str">
            <v>YYZ1</v>
          </cell>
          <cell r="B232" t="str">
            <v>YYZ1</v>
          </cell>
        </row>
        <row r="232">
          <cell r="D232" t="str">
            <v>YYZ1</v>
          </cell>
          <cell r="E232" t="str">
            <v>YYZ1</v>
          </cell>
          <cell r="F232" t="str">
            <v>AMAZON</v>
          </cell>
          <cell r="G232" t="str">
            <v>0000000000</v>
          </cell>
        </row>
        <row r="232">
          <cell r="I232" t="str">
            <v>6363 Millcreek Drive Mississauga, Ontario L5N 1L8</v>
          </cell>
        </row>
        <row r="232">
          <cell r="L232" t="str">
            <v>Toronto</v>
          </cell>
        </row>
        <row r="232">
          <cell r="N232" t="str">
            <v>CA</v>
          </cell>
          <cell r="O232" t="str">
            <v>L5N 1L8</v>
          </cell>
        </row>
        <row r="233">
          <cell r="A233" t="str">
            <v>YYZ2</v>
          </cell>
          <cell r="B233" t="str">
            <v>YYZ2</v>
          </cell>
        </row>
        <row r="233">
          <cell r="D233" t="str">
            <v>YYZ2</v>
          </cell>
          <cell r="E233" t="str">
            <v>YYZ2</v>
          </cell>
          <cell r="F233" t="str">
            <v>AMAZON</v>
          </cell>
          <cell r="G233" t="str">
            <v>0000000000</v>
          </cell>
        </row>
        <row r="233">
          <cell r="I233" t="str">
            <v>16131 Blundell Rd
RICHMOND, BC V6W 0A3</v>
          </cell>
        </row>
        <row r="233">
          <cell r="L233" t="str">
            <v>RICHMOND</v>
          </cell>
        </row>
        <row r="233">
          <cell r="N233" t="str">
            <v>CA</v>
          </cell>
          <cell r="O233" t="str">
            <v>V6W 0A3</v>
          </cell>
        </row>
        <row r="234">
          <cell r="A234" t="str">
            <v>YYZ3</v>
          </cell>
          <cell r="B234" t="str">
            <v>YYZ3</v>
          </cell>
        </row>
        <row r="234">
          <cell r="D234" t="str">
            <v>YYZ3</v>
          </cell>
          <cell r="E234" t="str">
            <v>YYZ3</v>
          </cell>
          <cell r="F234" t="str">
            <v>AMAZON</v>
          </cell>
          <cell r="G234" t="str">
            <v>0000000000</v>
          </cell>
        </row>
        <row r="234">
          <cell r="I234" t="str">
            <v>7995 Winston Churchill Blvd. Brampton, Ontario L6Y 0B2</v>
          </cell>
        </row>
        <row r="234">
          <cell r="L234" t="str">
            <v>Toronto</v>
          </cell>
        </row>
        <row r="234">
          <cell r="N234" t="str">
            <v>CA</v>
          </cell>
          <cell r="O234" t="str">
            <v>L6Y 0B2</v>
          </cell>
        </row>
        <row r="235">
          <cell r="A235" t="str">
            <v>YYZ4</v>
          </cell>
          <cell r="B235" t="str">
            <v>YYZ4</v>
          </cell>
        </row>
        <row r="235">
          <cell r="D235" t="str">
            <v>YYZ4</v>
          </cell>
          <cell r="E235" t="str">
            <v>YYZ4</v>
          </cell>
          <cell r="F235" t="str">
            <v>AMAZON</v>
          </cell>
          <cell r="G235" t="str">
            <v>0000000000</v>
          </cell>
        </row>
        <row r="235">
          <cell r="I235" t="str">
            <v>8050 Heritage Road, Brampton, Ontario</v>
          </cell>
        </row>
        <row r="235">
          <cell r="L235" t="str">
            <v>Toronto</v>
          </cell>
        </row>
        <row r="235">
          <cell r="N235" t="str">
            <v>CA</v>
          </cell>
          <cell r="O235" t="str">
            <v>L6Y 0C9</v>
          </cell>
        </row>
        <row r="236">
          <cell r="A236" t="str">
            <v>PRTO</v>
          </cell>
          <cell r="B236" t="str">
            <v>PRTO</v>
          </cell>
        </row>
        <row r="236">
          <cell r="D236" t="str">
            <v>PRTO</v>
          </cell>
          <cell r="E236" t="str">
            <v>PRTO</v>
          </cell>
          <cell r="F236" t="str">
            <v>AMAZON</v>
          </cell>
          <cell r="G236" t="str">
            <v>0000000000</v>
          </cell>
        </row>
        <row r="236">
          <cell r="I236" t="str">
            <v>6110 Cantay Rd. Mississauga, Ontario L5R 4JW</v>
          </cell>
        </row>
        <row r="236">
          <cell r="L236" t="str">
            <v>Ontario</v>
          </cell>
        </row>
        <row r="236">
          <cell r="N236" t="str">
            <v>CA</v>
          </cell>
          <cell r="O236" t="str">
            <v>L5R 4JW</v>
          </cell>
        </row>
        <row r="237">
          <cell r="A237" t="str">
            <v>YYZ6</v>
          </cell>
          <cell r="B237" t="str">
            <v>YYZ6</v>
          </cell>
        </row>
        <row r="237">
          <cell r="D237" t="str">
            <v>YYZ6</v>
          </cell>
          <cell r="E237" t="str">
            <v>YYZ6</v>
          </cell>
          <cell r="F237" t="str">
            <v>AMAZON</v>
          </cell>
          <cell r="G237" t="str">
            <v>0000000000</v>
          </cell>
        </row>
        <row r="237">
          <cell r="I237" t="str">
            <v>8050 Heritage Road Brampton, ON L6Y 0C9 CA Canada</v>
          </cell>
        </row>
        <row r="237">
          <cell r="L237" t="str">
            <v>Brampton</v>
          </cell>
        </row>
        <row r="237">
          <cell r="N237" t="str">
            <v>CA</v>
          </cell>
          <cell r="O237" t="str">
            <v>L6Y 0C9</v>
          </cell>
        </row>
        <row r="238">
          <cell r="A238" t="str">
            <v>YYZ7</v>
          </cell>
          <cell r="B238" t="str">
            <v>YYZ7</v>
          </cell>
        </row>
        <row r="238">
          <cell r="D238" t="str">
            <v>YYZ7</v>
          </cell>
          <cell r="E238" t="str">
            <v>YYZ7</v>
          </cell>
          <cell r="F238" t="str">
            <v>AMAZON</v>
          </cell>
          <cell r="G238" t="str">
            <v>0000000000</v>
          </cell>
        </row>
        <row r="238">
          <cell r="I238" t="str">
            <v>12724 Coleraine Drive  Bolton, ON  L7E 4L8  CA (YYZ7)</v>
          </cell>
        </row>
        <row r="238">
          <cell r="L238" t="str">
            <v>Bolton</v>
          </cell>
        </row>
        <row r="238">
          <cell r="N238" t="str">
            <v>CA</v>
          </cell>
          <cell r="O238" t="str">
            <v>L7E 4L8</v>
          </cell>
        </row>
        <row r="239">
          <cell r="A239" t="str">
            <v>YYZ9</v>
          </cell>
          <cell r="B239" t="str">
            <v>YYZ9</v>
          </cell>
        </row>
        <row r="239">
          <cell r="D239" t="str">
            <v>YYZ9</v>
          </cell>
          <cell r="E239" t="str">
            <v>YYZ9</v>
          </cell>
          <cell r="F239" t="str">
            <v>AMAZON</v>
          </cell>
          <cell r="G239" t="str">
            <v>0000000000</v>
          </cell>
        </row>
        <row r="239">
          <cell r="I239" t="str">
            <v>Amazon Canada Fulfillment Services, Inc.6351 Steeles Ave E Scarborough  ON</v>
          </cell>
        </row>
        <row r="239">
          <cell r="L239" t="str">
            <v>Scarborough</v>
          </cell>
        </row>
        <row r="239">
          <cell r="N239" t="str">
            <v>CA</v>
          </cell>
          <cell r="O239" t="str">
            <v>M1X 1N5</v>
          </cell>
        </row>
        <row r="240">
          <cell r="A240" t="str">
            <v>YHM1</v>
          </cell>
          <cell r="B240" t="str">
            <v>YHM1</v>
          </cell>
        </row>
        <row r="240">
          <cell r="D240" t="str">
            <v>YHM1</v>
          </cell>
          <cell r="E240" t="str">
            <v>YHM1</v>
          </cell>
          <cell r="F240" t="str">
            <v>AMAZON</v>
          </cell>
          <cell r="G240" t="str">
            <v>0000000000</v>
          </cell>
        </row>
        <row r="240">
          <cell r="I240" t="str">
            <v>110 Aeropark Blvd MOUNT HOPE ON CA L0R 1W1</v>
          </cell>
        </row>
        <row r="240">
          <cell r="L240" t="str">
            <v>Ontario</v>
          </cell>
        </row>
        <row r="240">
          <cell r="N240" t="str">
            <v>CA</v>
          </cell>
          <cell r="O240" t="str">
            <v>L0R 1W1</v>
          </cell>
        </row>
        <row r="241">
          <cell r="A241" t="str">
            <v>YOW1</v>
          </cell>
          <cell r="B241" t="str">
            <v>YOW1</v>
          </cell>
        </row>
        <row r="241">
          <cell r="D241" t="str">
            <v>YOW1</v>
          </cell>
          <cell r="E241" t="str">
            <v>YOW1</v>
          </cell>
          <cell r="F241" t="str">
            <v>AMAZON</v>
          </cell>
          <cell r="G241" t="str">
            <v>0000000000</v>
          </cell>
        </row>
        <row r="241">
          <cell r="I241" t="str">
            <v>5225 Bounndary Road Navan，ON K4B0L3</v>
          </cell>
        </row>
        <row r="241">
          <cell r="L241" t="str">
            <v>Ontario</v>
          </cell>
        </row>
        <row r="241">
          <cell r="N241" t="str">
            <v>CA</v>
          </cell>
          <cell r="O241" t="str">
            <v>K4B0L3</v>
          </cell>
        </row>
        <row r="242">
          <cell r="A242" t="str">
            <v>YXX2</v>
          </cell>
          <cell r="B242" t="str">
            <v>YXX2</v>
          </cell>
        </row>
        <row r="242">
          <cell r="D242" t="str">
            <v>YXX2</v>
          </cell>
          <cell r="E242" t="str">
            <v>YXX2</v>
          </cell>
          <cell r="F242" t="str">
            <v>AMAZON</v>
          </cell>
          <cell r="G242" t="str">
            <v>0000000000</v>
          </cell>
        </row>
        <row r="242">
          <cell r="I242" t="str">
            <v>16131 Blundell Rd,Richmond,BC V6W OA1</v>
          </cell>
        </row>
        <row r="242">
          <cell r="L242" t="str">
            <v>RICHMOND</v>
          </cell>
        </row>
        <row r="242">
          <cell r="N242" t="str">
            <v>CA</v>
          </cell>
          <cell r="O242" t="str">
            <v>V6W OA1</v>
          </cell>
        </row>
        <row r="243">
          <cell r="A243" t="str">
            <v>YOO1</v>
          </cell>
          <cell r="B243" t="str">
            <v>YOO1</v>
          </cell>
        </row>
        <row r="243">
          <cell r="D243" t="str">
            <v>YOO1</v>
          </cell>
          <cell r="E243" t="str">
            <v>YOO1</v>
          </cell>
          <cell r="F243" t="str">
            <v>AMAZON</v>
          </cell>
          <cell r="G243" t="str">
            <v>0000000000</v>
          </cell>
        </row>
        <row r="243">
          <cell r="I243" t="str">
            <v>789 Salem Rd,Ajax,ON L1Z OJ2</v>
          </cell>
        </row>
        <row r="243">
          <cell r="L243" t="str">
            <v>Ajax</v>
          </cell>
        </row>
        <row r="243">
          <cell r="N243" t="str">
            <v>CA</v>
          </cell>
          <cell r="O243" t="str">
            <v>L1Z OJ2</v>
          </cell>
        </row>
        <row r="244">
          <cell r="A244" t="str">
            <v>DEN8</v>
          </cell>
          <cell r="B244" t="str">
            <v>DEN8</v>
          </cell>
        </row>
        <row r="244">
          <cell r="D244" t="str">
            <v>DEN8</v>
          </cell>
          <cell r="E244" t="str">
            <v>DEN8</v>
          </cell>
          <cell r="F244" t="str">
            <v>AMAZON</v>
          </cell>
          <cell r="G244" t="str">
            <v>0000000000</v>
          </cell>
        </row>
        <row r="244">
          <cell r="I244" t="str">
            <v>21000 E 13th Ave</v>
          </cell>
        </row>
        <row r="244">
          <cell r="L244" t="str">
            <v>Aurora</v>
          </cell>
          <cell r="M244" t="str">
            <v>CO</v>
          </cell>
          <cell r="N244" t="str">
            <v>US</v>
          </cell>
          <cell r="O244" t="str">
            <v>80018</v>
          </cell>
        </row>
        <row r="245">
          <cell r="A245" t="str">
            <v>MCE1</v>
          </cell>
          <cell r="B245" t="str">
            <v>MCE1</v>
          </cell>
        </row>
        <row r="245">
          <cell r="D245" t="str">
            <v>MCE1</v>
          </cell>
          <cell r="E245" t="str">
            <v>MCE1</v>
          </cell>
          <cell r="F245" t="str">
            <v>AMAZON</v>
          </cell>
          <cell r="G245" t="str">
            <v>0000000000</v>
          </cell>
        </row>
        <row r="245">
          <cell r="I245" t="str">
            <v>3200 Fulkerth Road</v>
          </cell>
        </row>
        <row r="245">
          <cell r="L245" t="str">
            <v>TURLOCK</v>
          </cell>
          <cell r="M245" t="str">
            <v>CA</v>
          </cell>
          <cell r="N245" t="str">
            <v>US</v>
          </cell>
          <cell r="O245" t="str">
            <v>95380</v>
          </cell>
        </row>
        <row r="246">
          <cell r="A246" t="str">
            <v>QXY9</v>
          </cell>
          <cell r="B246" t="str">
            <v>QXY9</v>
          </cell>
        </row>
        <row r="246">
          <cell r="D246" t="str">
            <v>QXY9</v>
          </cell>
          <cell r="E246" t="str">
            <v>QXY9</v>
          </cell>
          <cell r="F246" t="str">
            <v>AMAZON</v>
          </cell>
          <cell r="G246" t="str">
            <v>0000000000</v>
          </cell>
        </row>
        <row r="246">
          <cell r="I246" t="str">
            <v>36900 W FOURTH ST 92223 - BEAUMONT, CA US</v>
          </cell>
        </row>
        <row r="246">
          <cell r="L246" t="str">
            <v>BEAUMONT</v>
          </cell>
          <cell r="M246" t="str">
            <v>CA</v>
          </cell>
          <cell r="N246" t="str">
            <v>US</v>
          </cell>
          <cell r="O246" t="str">
            <v>92223</v>
          </cell>
        </row>
        <row r="247">
          <cell r="A247" t="str">
            <v>BFI9</v>
          </cell>
          <cell r="B247" t="str">
            <v>BFI9</v>
          </cell>
        </row>
        <row r="247">
          <cell r="D247" t="str">
            <v>BFI9</v>
          </cell>
          <cell r="E247" t="str">
            <v>BFI9</v>
          </cell>
          <cell r="F247" t="str">
            <v>AMAZON</v>
          </cell>
          <cell r="G247" t="str">
            <v>0000000000</v>
          </cell>
        </row>
        <row r="247">
          <cell r="I247" t="str">
            <v>3230 INTERNATIONAL PL</v>
          </cell>
        </row>
        <row r="247">
          <cell r="L247" t="str">
            <v>DUPONT</v>
          </cell>
          <cell r="M247" t="str">
            <v>WA</v>
          </cell>
          <cell r="N247" t="str">
            <v>US</v>
          </cell>
          <cell r="O247" t="str">
            <v>98327</v>
          </cell>
        </row>
        <row r="248">
          <cell r="A248" t="str">
            <v>AMA1</v>
          </cell>
          <cell r="B248" t="str">
            <v>AMA1</v>
          </cell>
        </row>
        <row r="248">
          <cell r="D248" t="str">
            <v>AMA1</v>
          </cell>
          <cell r="E248" t="str">
            <v>AMA1</v>
          </cell>
          <cell r="F248" t="str">
            <v>AMAZON</v>
          </cell>
          <cell r="G248" t="str">
            <v>0000000000</v>
          </cell>
        </row>
        <row r="248">
          <cell r="I248" t="str">
            <v>8590 NE 24th Avenue</v>
          </cell>
        </row>
        <row r="248">
          <cell r="L248" t="str">
            <v>Amarillo</v>
          </cell>
          <cell r="M248" t="str">
            <v>TX</v>
          </cell>
          <cell r="N248" t="str">
            <v>US</v>
          </cell>
          <cell r="O248" t="str">
            <v>79108</v>
          </cell>
        </row>
        <row r="249">
          <cell r="A249" t="str">
            <v>SMF7</v>
          </cell>
          <cell r="B249" t="str">
            <v>SMF7</v>
          </cell>
        </row>
        <row r="249">
          <cell r="D249" t="str">
            <v>SMF7</v>
          </cell>
          <cell r="E249" t="str">
            <v>SMF7</v>
          </cell>
          <cell r="F249" t="str">
            <v>AMAZON</v>
          </cell>
          <cell r="G249" t="str">
            <v>0000000000</v>
          </cell>
        </row>
        <row r="249">
          <cell r="I249" t="str">
            <v>4800 Midway Road</v>
          </cell>
        </row>
        <row r="249">
          <cell r="L249" t="str">
            <v>VACAVILLE</v>
          </cell>
          <cell r="M249" t="str">
            <v>CA</v>
          </cell>
          <cell r="N249" t="str">
            <v>US</v>
          </cell>
          <cell r="O249" t="str">
            <v>95688</v>
          </cell>
        </row>
        <row r="250">
          <cell r="A250" t="str">
            <v>RFD2</v>
          </cell>
          <cell r="B250" t="str">
            <v>RFD2</v>
          </cell>
        </row>
        <row r="250">
          <cell r="D250" t="str">
            <v>RFD2</v>
          </cell>
          <cell r="E250" t="str">
            <v>RFD2</v>
          </cell>
          <cell r="F250" t="str">
            <v>Amazon</v>
          </cell>
          <cell r="G250" t="str">
            <v>0000000000</v>
          </cell>
        </row>
        <row r="250">
          <cell r="I250" t="str">
            <v>11500 Freeman Road</v>
          </cell>
        </row>
        <row r="250">
          <cell r="L250" t="str">
            <v>HUNTLEY</v>
          </cell>
          <cell r="M250" t="str">
            <v>IL</v>
          </cell>
          <cell r="N250" t="str">
            <v>US</v>
          </cell>
          <cell r="O250" t="str">
            <v>60142</v>
          </cell>
        </row>
        <row r="251">
          <cell r="A251" t="str">
            <v>XLX7</v>
          </cell>
          <cell r="B251" t="str">
            <v>XLX7</v>
          </cell>
        </row>
        <row r="251">
          <cell r="D251" t="str">
            <v>XLX7</v>
          </cell>
          <cell r="E251" t="str">
            <v>XLX7</v>
          </cell>
          <cell r="F251" t="str">
            <v>AMAZON</v>
          </cell>
          <cell r="G251" t="str">
            <v>000000000</v>
          </cell>
        </row>
        <row r="251">
          <cell r="I251" t="str">
            <v>18580 GATEWAY DR</v>
          </cell>
        </row>
        <row r="251">
          <cell r="L251" t="str">
            <v>Victorville</v>
          </cell>
          <cell r="M251" t="str">
            <v>CA</v>
          </cell>
          <cell r="N251" t="str">
            <v>US</v>
          </cell>
          <cell r="O251" t="str">
            <v>92394</v>
          </cell>
        </row>
        <row r="252">
          <cell r="A252" t="str">
            <v>RDU4</v>
          </cell>
          <cell r="B252" t="str">
            <v>RDU4</v>
          </cell>
        </row>
        <row r="252">
          <cell r="D252" t="str">
            <v>RDU4</v>
          </cell>
          <cell r="E252" t="str">
            <v>RDU4</v>
          </cell>
          <cell r="F252" t="str">
            <v>AMAZON</v>
          </cell>
          <cell r="G252" t="str">
            <v>0000000000</v>
          </cell>
        </row>
        <row r="252">
          <cell r="I252" t="str">
            <v>6309 Bragg Blvd</v>
          </cell>
        </row>
        <row r="252">
          <cell r="L252" t="str">
            <v>Fayetteville</v>
          </cell>
          <cell r="M252" t="str">
            <v>NC</v>
          </cell>
          <cell r="N252" t="str">
            <v>US</v>
          </cell>
          <cell r="O252" t="str">
            <v>28303</v>
          </cell>
        </row>
        <row r="253">
          <cell r="A253" t="str">
            <v>LBE1-UPS</v>
          </cell>
          <cell r="B253" t="str">
            <v>LBE1-UPS</v>
          </cell>
        </row>
        <row r="253">
          <cell r="D253" t="str">
            <v>LBE1-UPS</v>
          </cell>
          <cell r="E253" t="str">
            <v>LBE1</v>
          </cell>
          <cell r="F253" t="str">
            <v>Amazon</v>
          </cell>
          <cell r="G253" t="str">
            <v>0000000000</v>
          </cell>
        </row>
        <row r="253">
          <cell r="I253" t="str">
            <v>165 Glen Fox Road</v>
          </cell>
        </row>
        <row r="253">
          <cell r="L253" t="str">
            <v>Greensburg</v>
          </cell>
          <cell r="M253" t="str">
            <v>PA</v>
          </cell>
          <cell r="N253" t="str">
            <v>US</v>
          </cell>
          <cell r="O253" t="str">
            <v>15605</v>
          </cell>
        </row>
        <row r="254">
          <cell r="A254" t="str">
            <v>SCK8</v>
          </cell>
          <cell r="B254" t="str">
            <v>SCK8</v>
          </cell>
        </row>
        <row r="254">
          <cell r="D254" t="str">
            <v>SCK8</v>
          </cell>
          <cell r="E254" t="str">
            <v>SCK8</v>
          </cell>
          <cell r="F254" t="str">
            <v>AMAZON</v>
          </cell>
          <cell r="G254" t="str">
            <v>0000000000</v>
          </cell>
        </row>
        <row r="254">
          <cell r="I254" t="str">
            <v>4700 WILBUR AVE</v>
          </cell>
        </row>
        <row r="254">
          <cell r="L254" t="str">
            <v>OAKLEY</v>
          </cell>
          <cell r="M254" t="str">
            <v>CA</v>
          </cell>
          <cell r="N254" t="str">
            <v>US</v>
          </cell>
          <cell r="O254" t="str">
            <v>94561</v>
          </cell>
        </row>
        <row r="255">
          <cell r="A255" t="str">
            <v>LBE1-FEDEX</v>
          </cell>
          <cell r="B255" t="str">
            <v>LBE1-FEDEX</v>
          </cell>
        </row>
        <row r="255">
          <cell r="D255" t="str">
            <v>LBE1-FEDEX</v>
          </cell>
          <cell r="E255" t="str">
            <v>LBE1</v>
          </cell>
          <cell r="F255" t="str">
            <v>AMAZON</v>
          </cell>
          <cell r="G255" t="str">
            <v>0000000000</v>
          </cell>
        </row>
        <row r="255">
          <cell r="I255" t="str">
            <v>165 GLENN FOX RD</v>
          </cell>
        </row>
        <row r="255">
          <cell r="L255" t="str">
            <v>NEW STANTON</v>
          </cell>
          <cell r="M255" t="str">
            <v>PA</v>
          </cell>
          <cell r="N255" t="str">
            <v>US</v>
          </cell>
          <cell r="O255" t="str">
            <v>15672</v>
          </cell>
        </row>
        <row r="256">
          <cell r="A256" t="str">
            <v>WBW2-UPS</v>
          </cell>
          <cell r="B256" t="str">
            <v>WBW2-UPS</v>
          </cell>
        </row>
        <row r="256">
          <cell r="D256" t="str">
            <v>WBW2-UPS</v>
          </cell>
          <cell r="E256" t="str">
            <v>WBW2</v>
          </cell>
          <cell r="F256" t="str">
            <v>AMAZON</v>
          </cell>
          <cell r="G256" t="str">
            <v>0000000000</v>
          </cell>
        </row>
        <row r="256">
          <cell r="I256" t="str">
            <v>1300 Corporate Way</v>
          </cell>
        </row>
        <row r="256">
          <cell r="L256" t="str">
            <v>Pocono Lake Preserve</v>
          </cell>
          <cell r="M256" t="str">
            <v>PA</v>
          </cell>
          <cell r="N256" t="str">
            <v>US</v>
          </cell>
          <cell r="O256" t="str">
            <v>18348</v>
          </cell>
        </row>
        <row r="257">
          <cell r="A257" t="str">
            <v>WBW2-FEDEX</v>
          </cell>
          <cell r="B257" t="str">
            <v>WBW2-FEDEX</v>
          </cell>
        </row>
        <row r="257">
          <cell r="D257" t="str">
            <v>WBW2-FEDEX</v>
          </cell>
          <cell r="E257" t="str">
            <v>WBW2</v>
          </cell>
          <cell r="F257" t="str">
            <v>AMAZON</v>
          </cell>
          <cell r="G257" t="str">
            <v>0000000000</v>
          </cell>
        </row>
        <row r="257">
          <cell r="I257" t="str">
            <v>1300 Corporate Way</v>
          </cell>
        </row>
        <row r="257">
          <cell r="L257" t="str">
            <v>OLYPHANT</v>
          </cell>
          <cell r="M257" t="str">
            <v>PA</v>
          </cell>
          <cell r="N257" t="str">
            <v>US</v>
          </cell>
          <cell r="O257" t="str">
            <v>18447</v>
          </cell>
        </row>
        <row r="258">
          <cell r="A258" t="str">
            <v>RYY2-UPS</v>
          </cell>
          <cell r="B258" t="str">
            <v>RYY2-UPS</v>
          </cell>
        </row>
        <row r="258">
          <cell r="D258" t="str">
            <v>RYY2-UPS</v>
          </cell>
          <cell r="E258" t="str">
            <v>RYY2</v>
          </cell>
          <cell r="F258" t="str">
            <v>AMAZON</v>
          </cell>
          <cell r="G258" t="str">
            <v>0000000000</v>
          </cell>
        </row>
        <row r="258">
          <cell r="I258" t="str">
            <v>1250 Cassville White Road</v>
          </cell>
        </row>
        <row r="258">
          <cell r="L258" t="str">
            <v>Atlanta</v>
          </cell>
          <cell r="M258" t="str">
            <v>GA</v>
          </cell>
          <cell r="N258" t="str">
            <v>US</v>
          </cell>
          <cell r="O258" t="str">
            <v>30325</v>
          </cell>
        </row>
        <row r="259">
          <cell r="A259" t="str">
            <v>TMB8-UPS</v>
          </cell>
          <cell r="B259" t="str">
            <v>TMB8-UPS</v>
          </cell>
        </row>
        <row r="259">
          <cell r="D259" t="str">
            <v>TMB8-UPS</v>
          </cell>
          <cell r="E259" t="str">
            <v>TMB8</v>
          </cell>
          <cell r="F259" t="str">
            <v>AMAZON</v>
          </cell>
          <cell r="G259" t="str">
            <v>0000000000</v>
          </cell>
        </row>
        <row r="259">
          <cell r="I259" t="str">
            <v>8675309 Jenny Ln</v>
          </cell>
        </row>
        <row r="259">
          <cell r="L259" t="str">
            <v>Miami Gardens</v>
          </cell>
          <cell r="M259" t="str">
            <v>FL</v>
          </cell>
          <cell r="N259" t="str">
            <v>US</v>
          </cell>
          <cell r="O259" t="str">
            <v>33055</v>
          </cell>
        </row>
        <row r="260">
          <cell r="A260" t="str">
            <v>TMB8-FEDEX</v>
          </cell>
          <cell r="B260" t="str">
            <v>TMB8-FEDEX</v>
          </cell>
        </row>
        <row r="260">
          <cell r="D260" t="str">
            <v>TMB8-FEDEX</v>
          </cell>
          <cell r="E260" t="str">
            <v>TMB8</v>
          </cell>
          <cell r="F260" t="str">
            <v>AMAZON</v>
          </cell>
          <cell r="G260" t="str">
            <v>0000000000</v>
          </cell>
        </row>
        <row r="260">
          <cell r="I260" t="str">
            <v>27505 SW 132nd AVE</v>
          </cell>
        </row>
        <row r="260">
          <cell r="L260" t="str">
            <v>HOMESTEAD</v>
          </cell>
          <cell r="M260" t="str">
            <v>FL</v>
          </cell>
          <cell r="N260" t="str">
            <v>US</v>
          </cell>
          <cell r="O260" t="str">
            <v>33032</v>
          </cell>
        </row>
        <row r="261">
          <cell r="A261" t="str">
            <v>HGR6</v>
          </cell>
          <cell r="B261" t="str">
            <v>HGR6</v>
          </cell>
        </row>
        <row r="261">
          <cell r="D261" t="str">
            <v>HGR6</v>
          </cell>
          <cell r="E261" t="str">
            <v>HGR6</v>
          </cell>
          <cell r="F261" t="str">
            <v>Amazon</v>
          </cell>
          <cell r="G261" t="str">
            <v>0000000000</v>
          </cell>
        </row>
        <row r="261">
          <cell r="I261" t="str">
            <v>55 West Oak Ridge Drive</v>
          </cell>
        </row>
        <row r="261">
          <cell r="L261" t="str">
            <v>HAGERSTOWN</v>
          </cell>
          <cell r="M261" t="str">
            <v>MD</v>
          </cell>
          <cell r="N261" t="str">
            <v>US</v>
          </cell>
          <cell r="O261" t="str">
            <v>21740</v>
          </cell>
        </row>
        <row r="262">
          <cell r="A262" t="str">
            <v>XLG1</v>
          </cell>
          <cell r="B262" t="str">
            <v>XLG1</v>
          </cell>
        </row>
        <row r="262">
          <cell r="D262" t="str">
            <v>XLG1</v>
          </cell>
          <cell r="E262" t="str">
            <v>XLG1</v>
          </cell>
          <cell r="F262" t="str">
            <v>Amazon</v>
          </cell>
          <cell r="G262" t="str">
            <v>0000000000</v>
          </cell>
        </row>
        <row r="262">
          <cell r="I262" t="str">
            <v>1901 California St</v>
          </cell>
        </row>
        <row r="262">
          <cell r="L262" t="str">
            <v>Redlands</v>
          </cell>
          <cell r="M262" t="str">
            <v>CA</v>
          </cell>
          <cell r="N262" t="str">
            <v>US</v>
          </cell>
          <cell r="O262" t="str">
            <v>92374</v>
          </cell>
        </row>
        <row r="263">
          <cell r="A263" t="str">
            <v>CMH7</v>
          </cell>
          <cell r="B263" t="str">
            <v>CMH7</v>
          </cell>
        </row>
        <row r="263">
          <cell r="D263" t="str">
            <v>CMH7</v>
          </cell>
          <cell r="E263" t="str">
            <v>CMH7</v>
          </cell>
          <cell r="F263" t="str">
            <v>Amazon</v>
          </cell>
          <cell r="G263" t="str">
            <v>0000000000</v>
          </cell>
        </row>
        <row r="263">
          <cell r="I263" t="str">
            <v>1245 BEECH RD SW</v>
          </cell>
        </row>
        <row r="263">
          <cell r="L263" t="str">
            <v>NEW ALBANY</v>
          </cell>
          <cell r="M263" t="str">
            <v>OH</v>
          </cell>
          <cell r="N263" t="str">
            <v>US</v>
          </cell>
          <cell r="O263" t="str">
            <v>43054</v>
          </cell>
        </row>
        <row r="264">
          <cell r="A264" t="str">
            <v>RYY2-FEDEX</v>
          </cell>
          <cell r="B264" t="str">
            <v>RYY2-FEDEX</v>
          </cell>
        </row>
        <row r="264">
          <cell r="D264" t="str">
            <v>RYY2-FEDEX</v>
          </cell>
          <cell r="E264" t="str">
            <v>RYY2</v>
          </cell>
          <cell r="F264" t="str">
            <v>Amazon</v>
          </cell>
          <cell r="G264" t="str">
            <v>0000000000</v>
          </cell>
        </row>
        <row r="264">
          <cell r="I264" t="str">
            <v>1250 Cassville White Rd</v>
          </cell>
        </row>
        <row r="264">
          <cell r="L264" t="str">
            <v>White</v>
          </cell>
          <cell r="M264" t="str">
            <v>GA</v>
          </cell>
          <cell r="N264" t="str">
            <v>US</v>
          </cell>
          <cell r="O264" t="str">
            <v>30184</v>
          </cell>
        </row>
        <row r="265">
          <cell r="A265" t="str">
            <v>ACY1</v>
          </cell>
          <cell r="B265" t="str">
            <v>ACY1</v>
          </cell>
        </row>
        <row r="265">
          <cell r="D265" t="str">
            <v>ACY1</v>
          </cell>
          <cell r="E265" t="str">
            <v>ACY1</v>
          </cell>
          <cell r="F265" t="str">
            <v>AMAZON</v>
          </cell>
          <cell r="G265" t="str">
            <v>0000000000</v>
          </cell>
        </row>
        <row r="265">
          <cell r="I265" t="str">
            <v>240 Mantua Grove Road</v>
          </cell>
        </row>
        <row r="265">
          <cell r="L265" t="str">
            <v>West Deptford</v>
          </cell>
          <cell r="M265" t="str">
            <v>NJ</v>
          </cell>
          <cell r="N265" t="str">
            <v>US</v>
          </cell>
          <cell r="O265" t="str">
            <v>08066</v>
          </cell>
        </row>
        <row r="266">
          <cell r="A266" t="str">
            <v>BDL3</v>
          </cell>
          <cell r="B266" t="str">
            <v>BDL3</v>
          </cell>
        </row>
        <row r="266">
          <cell r="D266" t="str">
            <v>BDL3</v>
          </cell>
          <cell r="E266" t="str">
            <v>BDL3</v>
          </cell>
          <cell r="F266" t="str">
            <v>AMAZON</v>
          </cell>
          <cell r="G266" t="str">
            <v>0000000000</v>
          </cell>
        </row>
        <row r="266">
          <cell r="I266" t="str">
            <v>409 Washington Avenue</v>
          </cell>
        </row>
        <row r="266">
          <cell r="L266" t="str">
            <v>North Haven</v>
          </cell>
          <cell r="M266" t="str">
            <v>CT</v>
          </cell>
          <cell r="N266" t="str">
            <v>US</v>
          </cell>
          <cell r="O266" t="str">
            <v>06473</v>
          </cell>
        </row>
        <row r="267">
          <cell r="A267" t="str">
            <v>BWI1</v>
          </cell>
          <cell r="B267" t="str">
            <v>BWI1</v>
          </cell>
        </row>
        <row r="267">
          <cell r="D267" t="str">
            <v>BWI1</v>
          </cell>
          <cell r="E267" t="str">
            <v>BWI1</v>
          </cell>
          <cell r="F267" t="str">
            <v>AMAZON</v>
          </cell>
          <cell r="G267" t="str">
            <v>0000000000</v>
          </cell>
        </row>
        <row r="267">
          <cell r="I267" t="str">
            <v>45121 Global Plaza</v>
          </cell>
        </row>
        <row r="267">
          <cell r="L267" t="str">
            <v>STERLING</v>
          </cell>
          <cell r="M267" t="str">
            <v>VA</v>
          </cell>
          <cell r="N267" t="str">
            <v>US</v>
          </cell>
          <cell r="O267" t="str">
            <v>20166</v>
          </cell>
        </row>
        <row r="268">
          <cell r="A268" t="str">
            <v>CHA1</v>
          </cell>
          <cell r="B268" t="str">
            <v>CHA1</v>
          </cell>
        </row>
        <row r="268">
          <cell r="D268" t="str">
            <v>CHA1</v>
          </cell>
          <cell r="E268" t="str">
            <v>CHA1</v>
          </cell>
          <cell r="F268" t="str">
            <v>AMAZON</v>
          </cell>
          <cell r="G268" t="str">
            <v>0000000000</v>
          </cell>
        </row>
        <row r="268">
          <cell r="I268" t="str">
            <v>7200 Discovery Drive</v>
          </cell>
        </row>
        <row r="268">
          <cell r="L268" t="str">
            <v>Chattanooga</v>
          </cell>
          <cell r="M268" t="str">
            <v>TN</v>
          </cell>
          <cell r="N268" t="str">
            <v>US</v>
          </cell>
          <cell r="O268" t="str">
            <v>37416</v>
          </cell>
        </row>
        <row r="269">
          <cell r="A269" t="str">
            <v>EWR5</v>
          </cell>
          <cell r="B269" t="str">
            <v>EWR5</v>
          </cell>
        </row>
        <row r="269">
          <cell r="D269" t="str">
            <v>EWR5</v>
          </cell>
          <cell r="E269" t="str">
            <v>EWR5</v>
          </cell>
          <cell r="F269" t="str">
            <v>AMAZON</v>
          </cell>
          <cell r="G269" t="str">
            <v>0000000000</v>
          </cell>
        </row>
        <row r="269">
          <cell r="I269" t="str">
            <v>301 Blair Rd.</v>
          </cell>
        </row>
        <row r="269">
          <cell r="L269" t="str">
            <v>Avenel</v>
          </cell>
          <cell r="M269" t="str">
            <v>NJ</v>
          </cell>
          <cell r="N269" t="str">
            <v>US</v>
          </cell>
          <cell r="O269" t="str">
            <v>07001</v>
          </cell>
        </row>
        <row r="270">
          <cell r="A270" t="str">
            <v>EWR7</v>
          </cell>
          <cell r="B270" t="str">
            <v>EWR7</v>
          </cell>
        </row>
        <row r="270">
          <cell r="D270" t="str">
            <v>EWR7</v>
          </cell>
          <cell r="E270" t="str">
            <v>EWR7</v>
          </cell>
          <cell r="F270" t="str">
            <v>AMAZON</v>
          </cell>
          <cell r="G270" t="str">
            <v>0000000000</v>
          </cell>
        </row>
        <row r="270">
          <cell r="I270" t="str">
            <v>301 Blair Rd.</v>
          </cell>
        </row>
        <row r="270">
          <cell r="L270" t="str">
            <v>Avenel</v>
          </cell>
          <cell r="M270" t="str">
            <v>NJ</v>
          </cell>
          <cell r="N270" t="str">
            <v>US</v>
          </cell>
          <cell r="O270" t="str">
            <v>07001</v>
          </cell>
        </row>
        <row r="271">
          <cell r="A271" t="str">
            <v>ICT2</v>
          </cell>
          <cell r="B271" t="str">
            <v>ICT2</v>
          </cell>
        </row>
        <row r="271">
          <cell r="D271" t="str">
            <v>ICT2</v>
          </cell>
          <cell r="E271" t="str">
            <v>ICT2</v>
          </cell>
          <cell r="F271" t="str">
            <v>AMAZON</v>
          </cell>
          <cell r="G271" t="str">
            <v>0000000000</v>
          </cell>
        </row>
        <row r="271">
          <cell r="I271" t="str">
            <v>7130 N BROADWAY AVE</v>
          </cell>
        </row>
        <row r="271">
          <cell r="L271" t="str">
            <v>PARK CITY</v>
          </cell>
          <cell r="M271" t="str">
            <v>KS</v>
          </cell>
          <cell r="N271" t="str">
            <v>US</v>
          </cell>
          <cell r="O271" t="str">
            <v>67219</v>
          </cell>
        </row>
        <row r="272">
          <cell r="A272" t="str">
            <v>IGQ2</v>
          </cell>
          <cell r="B272" t="str">
            <v>IGQ2</v>
          </cell>
        </row>
        <row r="272">
          <cell r="D272" t="str">
            <v>IGQ2</v>
          </cell>
          <cell r="E272" t="str">
            <v>IGQ2</v>
          </cell>
          <cell r="F272" t="str">
            <v>AMAZON</v>
          </cell>
          <cell r="G272" t="str">
            <v>0000000000</v>
          </cell>
        </row>
        <row r="272">
          <cell r="I272" t="str">
            <v>23257 S. Central Ave</v>
          </cell>
        </row>
        <row r="272">
          <cell r="L272" t="str">
            <v>University Park</v>
          </cell>
          <cell r="M272" t="str">
            <v>IL</v>
          </cell>
          <cell r="N272" t="str">
            <v>US</v>
          </cell>
          <cell r="O272" t="str">
            <v>60484</v>
          </cell>
        </row>
        <row r="273">
          <cell r="A273" t="str">
            <v>IND2</v>
          </cell>
          <cell r="B273" t="str">
            <v>IND2</v>
          </cell>
        </row>
        <row r="273">
          <cell r="D273" t="str">
            <v>IND2</v>
          </cell>
          <cell r="E273" t="str">
            <v>IND2</v>
          </cell>
          <cell r="F273" t="str">
            <v>AMAZON</v>
          </cell>
          <cell r="G273" t="str">
            <v>0000000000</v>
          </cell>
        </row>
        <row r="273">
          <cell r="I273" t="str">
            <v>715 Airtech Pkwy</v>
          </cell>
        </row>
        <row r="273">
          <cell r="L273" t="str">
            <v>Plainfield</v>
          </cell>
          <cell r="M273" t="str">
            <v>IN</v>
          </cell>
          <cell r="N273" t="str">
            <v>US</v>
          </cell>
          <cell r="O273" t="str">
            <v>46168</v>
          </cell>
        </row>
        <row r="274">
          <cell r="A274" t="str">
            <v>IND4</v>
          </cell>
          <cell r="B274" t="str">
            <v>IND4</v>
          </cell>
        </row>
        <row r="274">
          <cell r="D274" t="str">
            <v>IND4</v>
          </cell>
          <cell r="E274" t="str">
            <v>IND4</v>
          </cell>
          <cell r="F274" t="str">
            <v>AMAZON</v>
          </cell>
          <cell r="G274" t="str">
            <v>0000000000</v>
          </cell>
        </row>
        <row r="274">
          <cell r="I274" t="str">
            <v>710 S. Girls School Rd</v>
          </cell>
        </row>
        <row r="274">
          <cell r="L274" t="str">
            <v>Indianapolis</v>
          </cell>
          <cell r="M274" t="str">
            <v>IN</v>
          </cell>
          <cell r="N274" t="str">
            <v>US</v>
          </cell>
          <cell r="O274" t="str">
            <v>46231</v>
          </cell>
        </row>
        <row r="275">
          <cell r="A275" t="str">
            <v>JAX2</v>
          </cell>
          <cell r="B275" t="str">
            <v>JAX2</v>
          </cell>
        </row>
        <row r="275">
          <cell r="D275" t="str">
            <v>JAX2</v>
          </cell>
          <cell r="E275" t="str">
            <v>JAX2</v>
          </cell>
          <cell r="F275" t="str">
            <v>AMAZON</v>
          </cell>
          <cell r="G275" t="str">
            <v>0000000000</v>
          </cell>
        </row>
        <row r="275">
          <cell r="I275" t="str">
            <v>12900 Pecan Park Road</v>
          </cell>
        </row>
        <row r="275">
          <cell r="L275" t="str">
            <v>Jacksonville</v>
          </cell>
          <cell r="M275" t="str">
            <v>FL</v>
          </cell>
          <cell r="N275" t="str">
            <v>US</v>
          </cell>
          <cell r="O275" t="str">
            <v>32218</v>
          </cell>
        </row>
        <row r="276">
          <cell r="A276" t="str">
            <v>JFK8</v>
          </cell>
          <cell r="B276" t="str">
            <v>JFK8</v>
          </cell>
        </row>
        <row r="276">
          <cell r="D276" t="str">
            <v>JFK8</v>
          </cell>
          <cell r="E276" t="str">
            <v>JFK8</v>
          </cell>
          <cell r="F276" t="str">
            <v>AMAZON</v>
          </cell>
          <cell r="G276" t="str">
            <v>0000000000</v>
          </cell>
        </row>
        <row r="276">
          <cell r="I276" t="str">
            <v>546 Gulf Avenue</v>
          </cell>
        </row>
        <row r="276">
          <cell r="L276" t="str">
            <v>Staten Island</v>
          </cell>
          <cell r="M276" t="str">
            <v>NY</v>
          </cell>
          <cell r="N276" t="str">
            <v>US</v>
          </cell>
          <cell r="O276" t="str">
            <v>10314</v>
          </cell>
        </row>
        <row r="277">
          <cell r="A277" t="str">
            <v>JVL1</v>
          </cell>
          <cell r="B277" t="str">
            <v>JVL1</v>
          </cell>
        </row>
        <row r="277">
          <cell r="D277" t="str">
            <v>JVL1</v>
          </cell>
          <cell r="E277" t="str">
            <v>JVL1</v>
          </cell>
          <cell r="F277" t="str">
            <v>AMAZON</v>
          </cell>
          <cell r="G277" t="str">
            <v>0000000000</v>
          </cell>
        </row>
        <row r="277">
          <cell r="I277" t="str">
            <v>1255 GATEWAY BLVD</v>
          </cell>
        </row>
        <row r="277">
          <cell r="L277" t="str">
            <v>BELOIT</v>
          </cell>
          <cell r="M277" t="str">
            <v>WI</v>
          </cell>
          <cell r="N277" t="str">
            <v>US</v>
          </cell>
          <cell r="O277" t="str">
            <v>53511</v>
          </cell>
        </row>
        <row r="278">
          <cell r="A278" t="str">
            <v>LGA9</v>
          </cell>
          <cell r="B278" t="str">
            <v>LGA9</v>
          </cell>
        </row>
        <row r="278">
          <cell r="D278" t="str">
            <v>LGA9</v>
          </cell>
          <cell r="E278" t="str">
            <v>LGA9</v>
          </cell>
          <cell r="F278" t="str">
            <v>AMAZON</v>
          </cell>
          <cell r="G278" t="str">
            <v>0000000000</v>
          </cell>
        </row>
        <row r="278">
          <cell r="I278" t="str">
            <v>2170 Route 27</v>
          </cell>
        </row>
        <row r="278">
          <cell r="L278" t="str">
            <v>Edison</v>
          </cell>
          <cell r="M278" t="str">
            <v>NJ</v>
          </cell>
          <cell r="N278" t="str">
            <v>US</v>
          </cell>
          <cell r="O278" t="str">
            <v>08817</v>
          </cell>
        </row>
        <row r="279">
          <cell r="A279" t="str">
            <v>MCO1</v>
          </cell>
          <cell r="B279" t="str">
            <v>MCO1</v>
          </cell>
        </row>
        <row r="279">
          <cell r="D279" t="str">
            <v>MCO1</v>
          </cell>
          <cell r="E279" t="str">
            <v>MCO1</v>
          </cell>
          <cell r="F279" t="str">
            <v>AMAZON</v>
          </cell>
          <cell r="G279" t="str">
            <v>0000000000</v>
          </cell>
        </row>
        <row r="279">
          <cell r="I279" t="str">
            <v>12340 Boggy Creek Rd</v>
          </cell>
        </row>
        <row r="279">
          <cell r="L279" t="str">
            <v>Orlando</v>
          </cell>
          <cell r="M279" t="str">
            <v>FL</v>
          </cell>
          <cell r="N279" t="str">
            <v>US</v>
          </cell>
          <cell r="O279" t="str">
            <v>32824</v>
          </cell>
        </row>
        <row r="280">
          <cell r="A280" t="str">
            <v>MEM2</v>
          </cell>
          <cell r="B280" t="str">
            <v>MEM2</v>
          </cell>
        </row>
        <row r="280">
          <cell r="D280" t="str">
            <v>MEM2</v>
          </cell>
          <cell r="E280" t="str">
            <v>MEM2</v>
          </cell>
          <cell r="F280" t="str">
            <v>AMAZON</v>
          </cell>
          <cell r="G280" t="str">
            <v>0000000000</v>
          </cell>
        </row>
        <row r="280">
          <cell r="I280" t="str">
            <v>191 NORFOLK SOUTHERN WAY</v>
          </cell>
        </row>
        <row r="280">
          <cell r="L280" t="str">
            <v>BYHALIA</v>
          </cell>
          <cell r="M280" t="str">
            <v>MS</v>
          </cell>
          <cell r="N280" t="str">
            <v>US</v>
          </cell>
          <cell r="O280" t="str">
            <v>38611</v>
          </cell>
        </row>
        <row r="281">
          <cell r="A281" t="str">
            <v>MEM6</v>
          </cell>
          <cell r="B281" t="str">
            <v>MEM6</v>
          </cell>
        </row>
        <row r="281">
          <cell r="D281" t="str">
            <v>MEM6</v>
          </cell>
          <cell r="E281" t="str">
            <v>MEM6</v>
          </cell>
          <cell r="F281" t="str">
            <v>AMAZON</v>
          </cell>
          <cell r="G281" t="str">
            <v>0000000000</v>
          </cell>
        </row>
        <row r="281">
          <cell r="I281" t="str">
            <v>11505 Progress Way</v>
          </cell>
        </row>
        <row r="281">
          <cell r="L281" t="str">
            <v>OLIVE BRANCH</v>
          </cell>
          <cell r="M281" t="str">
            <v>MS</v>
          </cell>
          <cell r="N281" t="str">
            <v>US</v>
          </cell>
          <cell r="O281" t="str">
            <v>38654</v>
          </cell>
        </row>
        <row r="282">
          <cell r="A282" t="str">
            <v>PHL3</v>
          </cell>
          <cell r="B282" t="str">
            <v>PHL3</v>
          </cell>
        </row>
        <row r="282">
          <cell r="D282" t="str">
            <v>PHL3</v>
          </cell>
          <cell r="E282" t="str">
            <v>PHL3</v>
          </cell>
          <cell r="F282" t="str">
            <v>AMAZON</v>
          </cell>
          <cell r="G282" t="str">
            <v>0000000000</v>
          </cell>
        </row>
        <row r="282">
          <cell r="I282" t="str">
            <v>1600 Johnson Way</v>
          </cell>
        </row>
        <row r="282">
          <cell r="L282" t="str">
            <v>New Castle</v>
          </cell>
          <cell r="M282" t="str">
            <v>DE</v>
          </cell>
          <cell r="N282" t="str">
            <v>US</v>
          </cell>
          <cell r="O282" t="str">
            <v>19720</v>
          </cell>
        </row>
        <row r="283">
          <cell r="A283" t="str">
            <v>RDG1</v>
          </cell>
          <cell r="B283" t="str">
            <v>RDG1</v>
          </cell>
        </row>
        <row r="283">
          <cell r="D283" t="str">
            <v>RDG1</v>
          </cell>
          <cell r="E283" t="str">
            <v>RDG1</v>
          </cell>
          <cell r="F283" t="str">
            <v>AMAZON</v>
          </cell>
          <cell r="G283" t="str">
            <v>0000000000</v>
          </cell>
        </row>
        <row r="283">
          <cell r="I283" t="str">
            <v>3563 Mountain Road</v>
          </cell>
        </row>
        <row r="283">
          <cell r="L283" t="str">
            <v>HAMBURG</v>
          </cell>
          <cell r="M283" t="str">
            <v>PA</v>
          </cell>
          <cell r="N283" t="str">
            <v>US</v>
          </cell>
          <cell r="O283" t="str">
            <v>19526</v>
          </cell>
        </row>
        <row r="284">
          <cell r="A284" t="str">
            <v>RIC3</v>
          </cell>
          <cell r="B284" t="str">
            <v>RIC3</v>
          </cell>
        </row>
        <row r="284">
          <cell r="D284" t="str">
            <v>RIC3</v>
          </cell>
          <cell r="E284" t="str">
            <v>RIC3</v>
          </cell>
          <cell r="F284" t="str">
            <v>AMAZON</v>
          </cell>
          <cell r="G284" t="str">
            <v>0000000000</v>
          </cell>
        </row>
        <row r="284">
          <cell r="I284" t="str">
            <v>4949 Commerce Rd</v>
          </cell>
        </row>
        <row r="284">
          <cell r="L284" t="str">
            <v>RICHMOND</v>
          </cell>
          <cell r="M284" t="str">
            <v>VA</v>
          </cell>
          <cell r="N284" t="str">
            <v>US</v>
          </cell>
          <cell r="O284" t="str">
            <v>23234</v>
          </cell>
        </row>
        <row r="285">
          <cell r="A285" t="str">
            <v>STL3</v>
          </cell>
          <cell r="B285" t="str">
            <v>STL3</v>
          </cell>
        </row>
        <row r="285">
          <cell r="D285" t="str">
            <v>STL3</v>
          </cell>
          <cell r="E285" t="str">
            <v>STL3</v>
          </cell>
          <cell r="F285" t="str">
            <v>AMAZON</v>
          </cell>
          <cell r="G285" t="str">
            <v>0000000000</v>
          </cell>
        </row>
        <row r="285">
          <cell r="I285" t="str">
            <v>3200 E SAWYER RD</v>
          </cell>
        </row>
        <row r="285">
          <cell r="L285" t="str">
            <v>REPUBLIC</v>
          </cell>
          <cell r="M285" t="str">
            <v>MO</v>
          </cell>
          <cell r="N285" t="str">
            <v>US</v>
          </cell>
          <cell r="O285" t="str">
            <v>65738</v>
          </cell>
        </row>
        <row r="286">
          <cell r="A286" t="str">
            <v>STL4</v>
          </cell>
          <cell r="B286" t="str">
            <v>STL4</v>
          </cell>
        </row>
        <row r="286">
          <cell r="D286" t="str">
            <v>STL4</v>
          </cell>
          <cell r="E286" t="str">
            <v>STL4</v>
          </cell>
          <cell r="F286" t="str">
            <v>AMAZON</v>
          </cell>
          <cell r="G286" t="str">
            <v>0000000000</v>
          </cell>
        </row>
        <row r="286">
          <cell r="I286" t="str">
            <v>3050 GATEWAY COMMERCE CENTER DR S</v>
          </cell>
        </row>
        <row r="286">
          <cell r="L286" t="str">
            <v>Edwardsville</v>
          </cell>
          <cell r="M286" t="str">
            <v>IL</v>
          </cell>
          <cell r="N286" t="str">
            <v>US</v>
          </cell>
          <cell r="O286" t="str">
            <v>62025</v>
          </cell>
        </row>
        <row r="287">
          <cell r="A287" t="str">
            <v>TPA1</v>
          </cell>
          <cell r="B287" t="str">
            <v>TPA1</v>
          </cell>
        </row>
        <row r="287">
          <cell r="D287" t="str">
            <v>TPA1</v>
          </cell>
          <cell r="E287" t="str">
            <v>TPA1</v>
          </cell>
          <cell r="F287" t="str">
            <v>AMAZON</v>
          </cell>
          <cell r="G287" t="str">
            <v>0000000000</v>
          </cell>
        </row>
        <row r="287">
          <cell r="I287" t="str">
            <v>3350 Laurel Ridge Ave.</v>
          </cell>
        </row>
        <row r="287">
          <cell r="L287" t="str">
            <v>Ruskin</v>
          </cell>
          <cell r="M287" t="str">
            <v>FL</v>
          </cell>
          <cell r="N287" t="str">
            <v>US</v>
          </cell>
          <cell r="O287" t="str">
            <v>33570</v>
          </cell>
        </row>
        <row r="288">
          <cell r="A288" t="str">
            <v>FOE1</v>
          </cell>
          <cell r="B288" t="str">
            <v>FOE1</v>
          </cell>
        </row>
        <row r="288">
          <cell r="D288" t="str">
            <v>FOE1</v>
          </cell>
          <cell r="E288" t="str">
            <v>FOE1</v>
          </cell>
          <cell r="F288" t="str">
            <v>AMAZON</v>
          </cell>
          <cell r="G288" t="str">
            <v>0000000000</v>
          </cell>
        </row>
        <row r="288">
          <cell r="I288" t="str">
            <v>9400 LEAVENWORTH RD</v>
          </cell>
        </row>
        <row r="288">
          <cell r="L288" t="str">
            <v>KANSAS CITY</v>
          </cell>
          <cell r="M288" t="str">
            <v>KS</v>
          </cell>
          <cell r="N288" t="str">
            <v>US</v>
          </cell>
          <cell r="O288" t="str">
            <v>66109</v>
          </cell>
        </row>
        <row r="289">
          <cell r="A289" t="str">
            <v>AKR1</v>
          </cell>
          <cell r="B289" t="str">
            <v>AKR1</v>
          </cell>
        </row>
        <row r="289">
          <cell r="D289" t="str">
            <v>AKR1</v>
          </cell>
          <cell r="E289" t="str">
            <v>AKR1</v>
          </cell>
          <cell r="F289" t="str">
            <v>AMAZON</v>
          </cell>
          <cell r="G289" t="str">
            <v>0000000000</v>
          </cell>
        </row>
        <row r="289">
          <cell r="I289" t="str">
            <v>4747 Rebar Ave NE</v>
          </cell>
        </row>
        <row r="289">
          <cell r="L289" t="str">
            <v>CANTON</v>
          </cell>
          <cell r="M289" t="str">
            <v>OH</v>
          </cell>
          <cell r="N289" t="str">
            <v>US</v>
          </cell>
          <cell r="O289" t="str">
            <v>44705</v>
          </cell>
        </row>
        <row r="290">
          <cell r="A290" t="str">
            <v>MCI3</v>
          </cell>
          <cell r="B290" t="str">
            <v>MCI3</v>
          </cell>
        </row>
        <row r="290">
          <cell r="D290" t="str">
            <v>MCI3</v>
          </cell>
          <cell r="E290" t="str">
            <v>MCI3</v>
          </cell>
          <cell r="F290" t="str">
            <v>AMAZON</v>
          </cell>
          <cell r="G290" t="str">
            <v>0000000000</v>
          </cell>
        </row>
        <row r="290">
          <cell r="I290" t="str">
            <v>2361 S. Withers Road</v>
          </cell>
        </row>
        <row r="290">
          <cell r="L290" t="str">
            <v>LIBERTY</v>
          </cell>
          <cell r="M290" t="str">
            <v>MO</v>
          </cell>
          <cell r="N290" t="str">
            <v>US</v>
          </cell>
          <cell r="O290" t="str">
            <v>64068</v>
          </cell>
        </row>
        <row r="291">
          <cell r="A291" t="str">
            <v>RFD4</v>
          </cell>
          <cell r="B291" t="str">
            <v>RFD4</v>
          </cell>
        </row>
        <row r="291">
          <cell r="D291" t="str">
            <v>RFD4</v>
          </cell>
          <cell r="E291" t="str">
            <v>RFD4</v>
          </cell>
          <cell r="F291" t="str">
            <v>Amazon</v>
          </cell>
          <cell r="G291" t="str">
            <v>0000000000</v>
          </cell>
        </row>
        <row r="291">
          <cell r="I291" t="str">
            <v>11400 Venture Court</v>
          </cell>
        </row>
        <row r="291">
          <cell r="L291" t="str">
            <v>HUNTLEY</v>
          </cell>
          <cell r="M291" t="str">
            <v>IL</v>
          </cell>
          <cell r="N291" t="str">
            <v>US</v>
          </cell>
          <cell r="O291" t="str">
            <v>60142</v>
          </cell>
        </row>
        <row r="292">
          <cell r="A292" t="str">
            <v>HIA1</v>
          </cell>
          <cell r="B292" t="str">
            <v>HIA1</v>
          </cell>
        </row>
        <row r="292">
          <cell r="D292" t="str">
            <v>HIA1</v>
          </cell>
          <cell r="E292" t="str">
            <v>HIA1</v>
          </cell>
          <cell r="F292" t="str">
            <v>Amazon</v>
          </cell>
          <cell r="G292" t="str">
            <v>0000000000</v>
          </cell>
        </row>
        <row r="292">
          <cell r="I292" t="str">
            <v>3327 E Harrisburg Pik</v>
          </cell>
        </row>
        <row r="292">
          <cell r="L292" t="str">
            <v>MIDDLETOWN</v>
          </cell>
          <cell r="M292" t="str">
            <v>PA</v>
          </cell>
          <cell r="N292" t="str">
            <v>US</v>
          </cell>
          <cell r="O292" t="str">
            <v>17057</v>
          </cell>
        </row>
        <row r="293">
          <cell r="A293" t="str">
            <v>IUSL</v>
          </cell>
          <cell r="B293" t="str">
            <v>IUSL</v>
          </cell>
        </row>
        <row r="293">
          <cell r="D293" t="str">
            <v>IUSL</v>
          </cell>
          <cell r="E293" t="str">
            <v>IUSL</v>
          </cell>
          <cell r="F293" t="str">
            <v>AMAZON</v>
          </cell>
          <cell r="G293" t="str">
            <v>0000000000</v>
          </cell>
        </row>
        <row r="293">
          <cell r="I293" t="str">
            <v>600 PRINCIPIO PKWY W</v>
          </cell>
        </row>
        <row r="293">
          <cell r="L293" t="str">
            <v>NORTH EAST</v>
          </cell>
          <cell r="M293" t="str">
            <v>MD</v>
          </cell>
          <cell r="N293" t="str">
            <v>US</v>
          </cell>
          <cell r="O293" t="str">
            <v>21901</v>
          </cell>
        </row>
        <row r="294">
          <cell r="A294" t="str">
            <v>BOS4</v>
          </cell>
          <cell r="B294" t="str">
            <v>BOS4</v>
          </cell>
        </row>
        <row r="294">
          <cell r="D294" t="str">
            <v>BOS4</v>
          </cell>
          <cell r="E294" t="str">
            <v>BOS4</v>
          </cell>
          <cell r="F294" t="str">
            <v>AMAZON</v>
          </cell>
          <cell r="G294" t="str">
            <v>0000000000</v>
          </cell>
        </row>
        <row r="294">
          <cell r="I294" t="str">
            <v>1 National St</v>
          </cell>
        </row>
        <row r="294">
          <cell r="L294" t="str">
            <v>Milford</v>
          </cell>
          <cell r="M294" t="str">
            <v>MA</v>
          </cell>
          <cell r="N294" t="str">
            <v>US</v>
          </cell>
          <cell r="O294" t="str">
            <v>01757</v>
          </cell>
        </row>
        <row r="295">
          <cell r="A295" t="str">
            <v>BOS6</v>
          </cell>
          <cell r="B295" t="str">
            <v>BOS6</v>
          </cell>
        </row>
        <row r="295">
          <cell r="D295" t="str">
            <v>BOS6</v>
          </cell>
          <cell r="E295" t="str">
            <v>BOS6</v>
          </cell>
          <cell r="F295" t="str">
            <v>AMAZON</v>
          </cell>
          <cell r="G295" t="str">
            <v>0000000000</v>
          </cell>
        </row>
        <row r="295">
          <cell r="I295" t="str">
            <v>201 BEACHAM ST</v>
          </cell>
        </row>
        <row r="295">
          <cell r="L295" t="str">
            <v>EVERETT</v>
          </cell>
          <cell r="M295" t="str">
            <v>MA</v>
          </cell>
          <cell r="N295" t="str">
            <v>US</v>
          </cell>
          <cell r="O295" t="str">
            <v>02149</v>
          </cell>
        </row>
        <row r="296">
          <cell r="A296" t="str">
            <v>BOS8</v>
          </cell>
          <cell r="B296" t="str">
            <v>BOS8</v>
          </cell>
        </row>
        <row r="296">
          <cell r="D296" t="str">
            <v>BOS8</v>
          </cell>
          <cell r="E296" t="str">
            <v>BOS8</v>
          </cell>
          <cell r="F296" t="str">
            <v>AMAZON</v>
          </cell>
          <cell r="G296" t="str">
            <v>0000000000</v>
          </cell>
        </row>
        <row r="296">
          <cell r="I296" t="str">
            <v>870 Commonwealth Ave</v>
          </cell>
        </row>
        <row r="296">
          <cell r="L296" t="str">
            <v>Brookline</v>
          </cell>
          <cell r="M296" t="str">
            <v>MA</v>
          </cell>
          <cell r="N296" t="str">
            <v>US</v>
          </cell>
          <cell r="O296" t="str">
            <v>02215</v>
          </cell>
        </row>
        <row r="297">
          <cell r="A297" t="str">
            <v>AVP9</v>
          </cell>
          <cell r="B297" t="str">
            <v>AVP9</v>
          </cell>
        </row>
        <row r="297">
          <cell r="D297" t="str">
            <v>AVP9</v>
          </cell>
          <cell r="E297" t="str">
            <v>AVP9</v>
          </cell>
          <cell r="F297" t="str">
            <v>AMAZON</v>
          </cell>
          <cell r="G297" t="str">
            <v>0000000000</v>
          </cell>
        </row>
        <row r="297">
          <cell r="I297" t="str">
            <v>45 VALLEY VIEW DR</v>
          </cell>
        </row>
        <row r="297">
          <cell r="L297" t="str">
            <v>JESSUP</v>
          </cell>
          <cell r="M297" t="str">
            <v>PA</v>
          </cell>
          <cell r="N297" t="str">
            <v>US</v>
          </cell>
          <cell r="O297" t="str">
            <v>18434</v>
          </cell>
        </row>
        <row r="298">
          <cell r="A298" t="str">
            <v>MEM1</v>
          </cell>
          <cell r="B298" t="str">
            <v>MEM1</v>
          </cell>
        </row>
        <row r="298">
          <cell r="D298" t="str">
            <v>MEM1</v>
          </cell>
          <cell r="E298" t="str">
            <v>MEM1</v>
          </cell>
          <cell r="F298" t="str">
            <v>AMAZON</v>
          </cell>
          <cell r="G298" t="str">
            <v>0000000000</v>
          </cell>
        </row>
        <row r="298">
          <cell r="I298" t="str">
            <v>3292 E Holmes Rd</v>
          </cell>
        </row>
        <row r="298">
          <cell r="L298" t="str">
            <v>Memphis</v>
          </cell>
          <cell r="M298" t="str">
            <v>TN</v>
          </cell>
          <cell r="N298" t="str">
            <v>US</v>
          </cell>
          <cell r="O298" t="str">
            <v>38118</v>
          </cell>
        </row>
        <row r="299">
          <cell r="A299" t="str">
            <v>ABE8</v>
          </cell>
          <cell r="B299" t="str">
            <v>ABE8</v>
          </cell>
        </row>
        <row r="299">
          <cell r="D299" t="str">
            <v>ABE8</v>
          </cell>
          <cell r="E299" t="str">
            <v>ABE8</v>
          </cell>
          <cell r="F299" t="str">
            <v>AMAZON</v>
          </cell>
          <cell r="G299" t="str">
            <v>0000000000</v>
          </cell>
        </row>
        <row r="299">
          <cell r="I299" t="str">
            <v>401 Independence Road</v>
          </cell>
        </row>
        <row r="299">
          <cell r="L299" t="str">
            <v>Florence</v>
          </cell>
          <cell r="M299" t="str">
            <v>NJ</v>
          </cell>
          <cell r="N299" t="str">
            <v>US</v>
          </cell>
          <cell r="O299" t="str">
            <v>08518</v>
          </cell>
        </row>
        <row r="300">
          <cell r="A300" t="str">
            <v>AVP1</v>
          </cell>
          <cell r="B300" t="str">
            <v>AVP1</v>
          </cell>
        </row>
        <row r="300">
          <cell r="D300" t="str">
            <v>AVP1</v>
          </cell>
          <cell r="E300" t="str">
            <v>AVP1</v>
          </cell>
          <cell r="F300" t="str">
            <v>AMAZON</v>
          </cell>
          <cell r="G300" t="str">
            <v>0000000000</v>
          </cell>
        </row>
        <row r="300">
          <cell r="I300" t="str">
            <v>550 Oak Ridge Road</v>
          </cell>
        </row>
        <row r="300">
          <cell r="L300" t="str">
            <v>Hazle Township</v>
          </cell>
          <cell r="M300" t="str">
            <v>PA</v>
          </cell>
          <cell r="N300" t="str">
            <v>US</v>
          </cell>
          <cell r="O300" t="str">
            <v>18202</v>
          </cell>
        </row>
        <row r="301">
          <cell r="A301" t="str">
            <v>CLT2</v>
          </cell>
          <cell r="B301" t="str">
            <v>CLT2</v>
          </cell>
        </row>
        <row r="301">
          <cell r="D301" t="str">
            <v>CLT2</v>
          </cell>
          <cell r="E301" t="str">
            <v>CLT2</v>
          </cell>
          <cell r="F301" t="str">
            <v>AMAZON</v>
          </cell>
          <cell r="G301" t="str">
            <v>0000000000</v>
          </cell>
        </row>
        <row r="301">
          <cell r="I301" t="str">
            <v>10240 Old Dowd Rd</v>
          </cell>
        </row>
        <row r="301">
          <cell r="L301" t="str">
            <v>Charlotte</v>
          </cell>
          <cell r="M301" t="str">
            <v>NC</v>
          </cell>
          <cell r="N301" t="str">
            <v>US</v>
          </cell>
          <cell r="O301" t="str">
            <v>28214</v>
          </cell>
        </row>
        <row r="302">
          <cell r="A302" t="str">
            <v>ABE2</v>
          </cell>
          <cell r="B302" t="str">
            <v>ABE2</v>
          </cell>
        </row>
        <row r="302">
          <cell r="D302" t="str">
            <v>ABE2</v>
          </cell>
          <cell r="E302" t="str">
            <v>ABE2</v>
          </cell>
          <cell r="F302" t="str">
            <v>AMAZON</v>
          </cell>
          <cell r="G302" t="str">
            <v>0000000000</v>
          </cell>
        </row>
        <row r="302">
          <cell r="I302" t="str">
            <v>705 Boulder Drive</v>
          </cell>
        </row>
        <row r="302">
          <cell r="L302" t="str">
            <v>Breinigsville</v>
          </cell>
          <cell r="M302" t="str">
            <v>PA</v>
          </cell>
          <cell r="N302" t="str">
            <v>US</v>
          </cell>
          <cell r="O302" t="str">
            <v>18031</v>
          </cell>
        </row>
        <row r="303">
          <cell r="A303" t="str">
            <v>ABE3</v>
          </cell>
          <cell r="B303" t="str">
            <v>ABE3</v>
          </cell>
        </row>
        <row r="303">
          <cell r="D303" t="str">
            <v>ABE3</v>
          </cell>
          <cell r="E303" t="str">
            <v>ABE3</v>
          </cell>
          <cell r="F303" t="str">
            <v>AMAZON</v>
          </cell>
          <cell r="G303" t="str">
            <v>0000000000</v>
          </cell>
        </row>
        <row r="303">
          <cell r="I303" t="str">
            <v>650 Boulder Drive</v>
          </cell>
        </row>
        <row r="303">
          <cell r="L303" t="str">
            <v>Breinigsville</v>
          </cell>
          <cell r="M303" t="str">
            <v>PA</v>
          </cell>
          <cell r="N303" t="str">
            <v>US</v>
          </cell>
          <cell r="O303" t="str">
            <v>18031</v>
          </cell>
        </row>
        <row r="304">
          <cell r="A304" t="str">
            <v>ABE4</v>
          </cell>
          <cell r="B304" t="str">
            <v>ABE4</v>
          </cell>
        </row>
        <row r="304">
          <cell r="D304" t="str">
            <v>ABE4</v>
          </cell>
          <cell r="E304" t="str">
            <v>ABE4</v>
          </cell>
          <cell r="F304" t="str">
            <v>AMAZON</v>
          </cell>
          <cell r="G304" t="str">
            <v>0000000000</v>
          </cell>
        </row>
        <row r="304">
          <cell r="I304" t="str">
            <v>1610 Van Buren Road</v>
          </cell>
        </row>
        <row r="304">
          <cell r="L304" t="str">
            <v>Easton</v>
          </cell>
          <cell r="M304" t="str">
            <v>PA</v>
          </cell>
          <cell r="N304" t="str">
            <v>US</v>
          </cell>
          <cell r="O304" t="str">
            <v>18045</v>
          </cell>
        </row>
        <row r="305">
          <cell r="A305" t="str">
            <v>ACY2</v>
          </cell>
          <cell r="B305" t="str">
            <v>ACY2</v>
          </cell>
        </row>
        <row r="305">
          <cell r="D305" t="str">
            <v>ACY2</v>
          </cell>
          <cell r="E305" t="str">
            <v>ACY2</v>
          </cell>
          <cell r="F305" t="str">
            <v>AMAZON</v>
          </cell>
          <cell r="G305" t="str">
            <v>0000000000</v>
          </cell>
        </row>
        <row r="305">
          <cell r="I305" t="str">
            <v>1101 E PEARL ST</v>
          </cell>
        </row>
        <row r="305">
          <cell r="L305" t="str">
            <v>BURLINGTON</v>
          </cell>
          <cell r="M305" t="str">
            <v>NJ</v>
          </cell>
          <cell r="N305" t="str">
            <v>US</v>
          </cell>
          <cell r="O305" t="str">
            <v>08016</v>
          </cell>
        </row>
        <row r="306">
          <cell r="A306" t="str">
            <v>ALB1</v>
          </cell>
          <cell r="B306" t="str">
            <v>ALB1</v>
          </cell>
        </row>
        <row r="306">
          <cell r="D306" t="str">
            <v>ALB1</v>
          </cell>
          <cell r="E306" t="str">
            <v>ALB1</v>
          </cell>
          <cell r="F306" t="str">
            <v>AMAZON</v>
          </cell>
          <cell r="G306" t="str">
            <v>0000000000</v>
          </cell>
        </row>
        <row r="306">
          <cell r="I306" t="str">
            <v>1835 US Route 9</v>
          </cell>
        </row>
        <row r="306">
          <cell r="L306" t="str">
            <v>Castleton</v>
          </cell>
          <cell r="M306" t="str">
            <v>NY</v>
          </cell>
          <cell r="N306" t="str">
            <v>US</v>
          </cell>
          <cell r="O306" t="str">
            <v>12033</v>
          </cell>
        </row>
        <row r="307">
          <cell r="A307" t="str">
            <v>AVP3</v>
          </cell>
          <cell r="B307" t="str">
            <v>AVP3</v>
          </cell>
        </row>
        <row r="307">
          <cell r="D307" t="str">
            <v>AVP3</v>
          </cell>
          <cell r="E307" t="str">
            <v>AVP3</v>
          </cell>
          <cell r="F307" t="str">
            <v>AMAZON</v>
          </cell>
          <cell r="G307" t="str">
            <v>0000000000</v>
          </cell>
        </row>
        <row r="307">
          <cell r="I307" t="str">
            <v>298 1ST AVE</v>
          </cell>
        </row>
        <row r="307">
          <cell r="L307" t="str">
            <v>GOULDSBORO</v>
          </cell>
          <cell r="M307" t="str">
            <v>PA</v>
          </cell>
          <cell r="N307" t="str">
            <v>US</v>
          </cell>
          <cell r="O307" t="str">
            <v>18424</v>
          </cell>
        </row>
        <row r="308">
          <cell r="A308" t="str">
            <v>BDL6</v>
          </cell>
          <cell r="B308" t="str">
            <v>BDL6</v>
          </cell>
        </row>
        <row r="308">
          <cell r="D308" t="str">
            <v>BDL6</v>
          </cell>
          <cell r="E308" t="str">
            <v>BDL6</v>
          </cell>
          <cell r="F308" t="str">
            <v>AMAZON</v>
          </cell>
          <cell r="G308" t="str">
            <v>0000000000</v>
          </cell>
        </row>
        <row r="308">
          <cell r="I308" t="str">
            <v>120 County Line Dr</v>
          </cell>
        </row>
        <row r="308">
          <cell r="L308" t="str">
            <v>CROMWELL</v>
          </cell>
          <cell r="M308" t="str">
            <v>CT</v>
          </cell>
          <cell r="N308" t="str">
            <v>US</v>
          </cell>
          <cell r="O308" t="str">
            <v>06416</v>
          </cell>
        </row>
        <row r="309">
          <cell r="A309" t="str">
            <v>BOS7</v>
          </cell>
          <cell r="B309" t="str">
            <v>BOS7</v>
          </cell>
        </row>
        <row r="309">
          <cell r="D309" t="str">
            <v>BOS7</v>
          </cell>
          <cell r="E309" t="str">
            <v>BOS7</v>
          </cell>
          <cell r="F309" t="str">
            <v>AMAZON</v>
          </cell>
          <cell r="G309" t="str">
            <v>0000000000</v>
          </cell>
        </row>
        <row r="309">
          <cell r="I309" t="str">
            <v>1180 Innovation Way</v>
          </cell>
        </row>
        <row r="309">
          <cell r="L309" t="str">
            <v>Fall River</v>
          </cell>
          <cell r="M309" t="str">
            <v>MA</v>
          </cell>
          <cell r="N309" t="str">
            <v>US</v>
          </cell>
          <cell r="O309" t="str">
            <v>02720</v>
          </cell>
        </row>
        <row r="310">
          <cell r="A310" t="str">
            <v>BWI4</v>
          </cell>
          <cell r="B310" t="str">
            <v>BWI4</v>
          </cell>
        </row>
        <row r="310">
          <cell r="D310" t="str">
            <v>BWI4</v>
          </cell>
          <cell r="E310" t="str">
            <v>BWI4</v>
          </cell>
          <cell r="F310" t="str">
            <v>AMAZON</v>
          </cell>
          <cell r="G310" t="str">
            <v>0000000000</v>
          </cell>
        </row>
        <row r="310">
          <cell r="I310" t="str">
            <v>165 Business Blvd</v>
          </cell>
        </row>
        <row r="310">
          <cell r="L310" t="str">
            <v>Clear Brook</v>
          </cell>
          <cell r="M310" t="str">
            <v>VA</v>
          </cell>
          <cell r="N310" t="str">
            <v>US</v>
          </cell>
          <cell r="O310" t="str">
            <v>22624</v>
          </cell>
        </row>
        <row r="311">
          <cell r="A311" t="str">
            <v>CMH2</v>
          </cell>
          <cell r="B311" t="str">
            <v>CMH2</v>
          </cell>
        </row>
        <row r="311">
          <cell r="D311" t="str">
            <v>CMH2</v>
          </cell>
          <cell r="E311" t="str">
            <v>CMH2</v>
          </cell>
          <cell r="F311" t="str">
            <v>AMAZON</v>
          </cell>
          <cell r="G311" t="str">
            <v>0000000000</v>
          </cell>
        </row>
        <row r="311">
          <cell r="I311" t="str">
            <v>6050 Gateway Court</v>
          </cell>
        </row>
        <row r="311">
          <cell r="L311" t="str">
            <v>Groveport</v>
          </cell>
          <cell r="M311" t="str">
            <v>OH</v>
          </cell>
          <cell r="N311" t="str">
            <v>US</v>
          </cell>
          <cell r="O311" t="str">
            <v>43125</v>
          </cell>
        </row>
        <row r="312">
          <cell r="A312" t="str">
            <v>CMH3</v>
          </cell>
          <cell r="B312" t="str">
            <v>CMH3</v>
          </cell>
        </row>
        <row r="312">
          <cell r="D312" t="str">
            <v>CMH3</v>
          </cell>
          <cell r="E312" t="str">
            <v>CMH3</v>
          </cell>
          <cell r="F312" t="str">
            <v>AMAZON</v>
          </cell>
          <cell r="G312" t="str">
            <v>0000000000</v>
          </cell>
        </row>
        <row r="312">
          <cell r="I312" t="str">
            <v>700 GATEWAY BLVD</v>
          </cell>
        </row>
        <row r="312">
          <cell r="L312" t="str">
            <v>Monroe</v>
          </cell>
          <cell r="M312" t="str">
            <v>OH</v>
          </cell>
          <cell r="N312" t="str">
            <v>US</v>
          </cell>
          <cell r="O312" t="str">
            <v>45050</v>
          </cell>
        </row>
        <row r="313">
          <cell r="A313" t="str">
            <v>CMH6</v>
          </cell>
          <cell r="B313" t="str">
            <v>CMH6</v>
          </cell>
        </row>
        <row r="313">
          <cell r="D313" t="str">
            <v>CMH6</v>
          </cell>
          <cell r="E313" t="str">
            <v>CMH6</v>
          </cell>
          <cell r="F313" t="str">
            <v>AMAZON</v>
          </cell>
          <cell r="G313" t="str">
            <v>0000000000</v>
          </cell>
        </row>
        <row r="313">
          <cell r="I313" t="str">
            <v>3538 TRADEPORT CT</v>
          </cell>
        </row>
        <row r="313">
          <cell r="L313" t="str">
            <v>LOCKBOURNE</v>
          </cell>
          <cell r="M313" t="str">
            <v>OH</v>
          </cell>
          <cell r="N313" t="str">
            <v>US</v>
          </cell>
          <cell r="O313" t="str">
            <v>43137</v>
          </cell>
        </row>
        <row r="314">
          <cell r="A314" t="str">
            <v>DCA6</v>
          </cell>
          <cell r="B314" t="str">
            <v>DCA6</v>
          </cell>
        </row>
        <row r="314">
          <cell r="D314" t="str">
            <v>DCA6</v>
          </cell>
          <cell r="E314" t="str">
            <v>DCA6</v>
          </cell>
          <cell r="F314" t="str">
            <v>AMAZON</v>
          </cell>
          <cell r="G314" t="str">
            <v>0000000000</v>
          </cell>
        </row>
        <row r="314">
          <cell r="I314" t="str">
            <v>6001 Bethlehem Blvd</v>
          </cell>
        </row>
        <row r="314">
          <cell r="L314" t="str">
            <v>BALTIMORE</v>
          </cell>
          <cell r="M314" t="str">
            <v>MD</v>
          </cell>
          <cell r="N314" t="str">
            <v>US</v>
          </cell>
          <cell r="O314" t="str">
            <v>21219</v>
          </cell>
        </row>
        <row r="315">
          <cell r="A315" t="str">
            <v>DET1</v>
          </cell>
          <cell r="B315" t="str">
            <v>DET1</v>
          </cell>
        </row>
        <row r="315">
          <cell r="D315" t="str">
            <v>DET1</v>
          </cell>
          <cell r="E315" t="str">
            <v>DET1</v>
          </cell>
          <cell r="F315" t="str">
            <v>AMAZON</v>
          </cell>
          <cell r="G315" t="str">
            <v>0000000000</v>
          </cell>
        </row>
        <row r="315">
          <cell r="I315" t="str">
            <v>39000 Amrhein Road</v>
          </cell>
        </row>
        <row r="315">
          <cell r="L315" t="str">
            <v>Livonia</v>
          </cell>
          <cell r="M315" t="str">
            <v>MI</v>
          </cell>
          <cell r="N315" t="str">
            <v>US</v>
          </cell>
          <cell r="O315" t="str">
            <v>48150</v>
          </cell>
        </row>
        <row r="316">
          <cell r="A316" t="str">
            <v>DET2</v>
          </cell>
          <cell r="B316" t="str">
            <v>DET2</v>
          </cell>
        </row>
        <row r="316">
          <cell r="D316" t="str">
            <v>DET2</v>
          </cell>
          <cell r="E316" t="str">
            <v>DET2</v>
          </cell>
          <cell r="F316" t="str">
            <v>AMAZON</v>
          </cell>
          <cell r="G316" t="str">
            <v>0000000000</v>
          </cell>
        </row>
        <row r="316">
          <cell r="I316" t="str">
            <v>50500 Mound Rd</v>
          </cell>
        </row>
        <row r="316">
          <cell r="L316" t="str">
            <v>Shelby Township</v>
          </cell>
          <cell r="M316" t="str">
            <v>MI</v>
          </cell>
          <cell r="N316" t="str">
            <v>US</v>
          </cell>
          <cell r="O316" t="str">
            <v>48317</v>
          </cell>
        </row>
        <row r="317">
          <cell r="A317" t="str">
            <v>EWR4</v>
          </cell>
          <cell r="B317" t="str">
            <v>EWR4</v>
          </cell>
        </row>
        <row r="317">
          <cell r="D317" t="str">
            <v>EWR4</v>
          </cell>
          <cell r="E317" t="str">
            <v>EWR4</v>
          </cell>
          <cell r="F317" t="str">
            <v>AMAZON</v>
          </cell>
          <cell r="G317" t="str">
            <v>0000000000</v>
          </cell>
        </row>
        <row r="317">
          <cell r="I317" t="str">
            <v>50 New Canton Way</v>
          </cell>
        </row>
        <row r="317">
          <cell r="L317" t="str">
            <v>Robbinsville</v>
          </cell>
          <cell r="M317" t="str">
            <v>NJ</v>
          </cell>
          <cell r="N317" t="str">
            <v>US</v>
          </cell>
          <cell r="O317" t="str">
            <v>08691</v>
          </cell>
        </row>
        <row r="318">
          <cell r="A318" t="str">
            <v>EWR9</v>
          </cell>
          <cell r="B318" t="str">
            <v>EWR9</v>
          </cell>
        </row>
        <row r="318">
          <cell r="D318" t="str">
            <v>EWR9</v>
          </cell>
          <cell r="E318" t="str">
            <v>EWR9</v>
          </cell>
          <cell r="F318" t="str">
            <v>AMAZON</v>
          </cell>
          <cell r="G318" t="str">
            <v>0000000000</v>
          </cell>
        </row>
        <row r="318">
          <cell r="I318" t="str">
            <v>8003 Industrial Parkway</v>
          </cell>
        </row>
        <row r="318">
          <cell r="L318" t="str">
            <v>Carteret</v>
          </cell>
          <cell r="M318" t="str">
            <v>NJ</v>
          </cell>
          <cell r="N318" t="str">
            <v>US</v>
          </cell>
          <cell r="O318" t="str">
            <v>07008</v>
          </cell>
        </row>
        <row r="319">
          <cell r="A319" t="str">
            <v>KRB2</v>
          </cell>
          <cell r="B319" t="str">
            <v>KRB2</v>
          </cell>
        </row>
        <row r="319">
          <cell r="D319" t="str">
            <v>KRB2</v>
          </cell>
          <cell r="E319" t="str">
            <v>KRB2</v>
          </cell>
          <cell r="F319" t="str">
            <v>AMAZON</v>
          </cell>
          <cell r="G319" t="str">
            <v>0000000000</v>
          </cell>
        </row>
        <row r="319">
          <cell r="I319" t="str">
            <v>7000 HARDWARE DR</v>
          </cell>
        </row>
        <row r="319">
          <cell r="L319" t="str">
            <v>PRINCE GEORGE</v>
          </cell>
          <cell r="M319" t="str">
            <v>VA</v>
          </cell>
          <cell r="N319" t="str">
            <v>US</v>
          </cell>
          <cell r="O319" t="str">
            <v>23875</v>
          </cell>
        </row>
        <row r="320">
          <cell r="A320" t="str">
            <v>MDT1</v>
          </cell>
          <cell r="B320" t="str">
            <v>MDT1</v>
          </cell>
        </row>
        <row r="320">
          <cell r="D320" t="str">
            <v>MDT1</v>
          </cell>
          <cell r="E320" t="str">
            <v>MDT1</v>
          </cell>
          <cell r="F320" t="str">
            <v>AMAZON</v>
          </cell>
          <cell r="G320" t="str">
            <v>0000000000</v>
          </cell>
        </row>
        <row r="320">
          <cell r="I320" t="str">
            <v>2 Ames Drive</v>
          </cell>
        </row>
        <row r="320">
          <cell r="L320" t="str">
            <v>Carlisle</v>
          </cell>
          <cell r="M320" t="str">
            <v>PA</v>
          </cell>
          <cell r="N320" t="str">
            <v>US</v>
          </cell>
          <cell r="O320" t="str">
            <v>17015</v>
          </cell>
        </row>
        <row r="321">
          <cell r="A321" t="str">
            <v>MDT2</v>
          </cell>
          <cell r="B321" t="str">
            <v>MDT2</v>
          </cell>
        </row>
        <row r="321">
          <cell r="D321" t="str">
            <v>MDT2</v>
          </cell>
          <cell r="E321" t="str">
            <v>MDT2</v>
          </cell>
          <cell r="F321" t="str">
            <v>AMAZON</v>
          </cell>
          <cell r="G321" t="str">
            <v>0000000000</v>
          </cell>
        </row>
        <row r="321">
          <cell r="I321" t="str">
            <v>600 Principio Parkway  West</v>
          </cell>
        </row>
        <row r="321">
          <cell r="L321" t="str">
            <v>North East</v>
          </cell>
          <cell r="M321" t="str">
            <v>MD</v>
          </cell>
          <cell r="N321" t="str">
            <v>US</v>
          </cell>
          <cell r="O321" t="str">
            <v>21901</v>
          </cell>
        </row>
        <row r="322">
          <cell r="A322" t="str">
            <v>MQJ2</v>
          </cell>
          <cell r="B322" t="str">
            <v>MQJ2</v>
          </cell>
        </row>
        <row r="322">
          <cell r="D322" t="str">
            <v>MQJ2</v>
          </cell>
          <cell r="E322" t="str">
            <v>MQJ2</v>
          </cell>
          <cell r="F322" t="str">
            <v>AMAZON</v>
          </cell>
          <cell r="G322" t="str">
            <v>0000000000</v>
          </cell>
        </row>
        <row r="322">
          <cell r="I322" t="str">
            <v>19 BOB GLIDDEN BLVD</v>
          </cell>
        </row>
        <row r="322">
          <cell r="L322" t="str">
            <v>WHITELAND</v>
          </cell>
          <cell r="M322" t="str">
            <v>IN</v>
          </cell>
          <cell r="N322" t="str">
            <v>US</v>
          </cell>
          <cell r="O322" t="str">
            <v>46184</v>
          </cell>
        </row>
        <row r="323">
          <cell r="A323" t="str">
            <v>ORD2</v>
          </cell>
          <cell r="B323" t="str">
            <v>ORD2</v>
          </cell>
        </row>
        <row r="323">
          <cell r="D323" t="str">
            <v>ORD2</v>
          </cell>
          <cell r="E323" t="str">
            <v>ORD2</v>
          </cell>
          <cell r="F323" t="str">
            <v>AMAZON</v>
          </cell>
          <cell r="G323" t="str">
            <v>0000000000</v>
          </cell>
        </row>
        <row r="323">
          <cell r="I323" t="str">
            <v>23714 W Amoco Rd</v>
          </cell>
        </row>
        <row r="323">
          <cell r="L323" t="str">
            <v>CHANNAHON</v>
          </cell>
          <cell r="M323" t="str">
            <v>IL</v>
          </cell>
          <cell r="N323" t="str">
            <v>US</v>
          </cell>
          <cell r="O323" t="str">
            <v>60410</v>
          </cell>
        </row>
        <row r="324">
          <cell r="A324" t="str">
            <v>PHL4</v>
          </cell>
          <cell r="B324" t="str">
            <v>PHL4</v>
          </cell>
        </row>
        <row r="324">
          <cell r="D324" t="str">
            <v>PHL4</v>
          </cell>
          <cell r="E324" t="str">
            <v>PHL4</v>
          </cell>
          <cell r="F324" t="str">
            <v>AMAZON</v>
          </cell>
          <cell r="G324" t="str">
            <v>0000000000</v>
          </cell>
        </row>
        <row r="324">
          <cell r="I324" t="str">
            <v>21 Roadway Dr</v>
          </cell>
        </row>
        <row r="324">
          <cell r="L324" t="str">
            <v>Carlisle</v>
          </cell>
          <cell r="M324" t="str">
            <v>PA</v>
          </cell>
          <cell r="N324" t="str">
            <v>US</v>
          </cell>
          <cell r="O324" t="str">
            <v>17015</v>
          </cell>
        </row>
        <row r="325">
          <cell r="A325" t="str">
            <v>PHL5</v>
          </cell>
          <cell r="B325" t="str">
            <v>PHL5</v>
          </cell>
        </row>
        <row r="325">
          <cell r="D325" t="str">
            <v>PHL5</v>
          </cell>
          <cell r="E325" t="str">
            <v>PHL5</v>
          </cell>
          <cell r="F325" t="str">
            <v>AMAZON</v>
          </cell>
          <cell r="G325" t="str">
            <v>0000000000</v>
          </cell>
        </row>
        <row r="325">
          <cell r="I325" t="str">
            <v>500 McCarthy Dr</v>
          </cell>
        </row>
        <row r="325">
          <cell r="L325" t="str">
            <v>Lewisberry</v>
          </cell>
          <cell r="M325" t="str">
            <v>PA</v>
          </cell>
          <cell r="N325" t="str">
            <v>US</v>
          </cell>
          <cell r="O325" t="str">
            <v>17339</v>
          </cell>
        </row>
        <row r="326">
          <cell r="A326" t="str">
            <v>PHL6</v>
          </cell>
          <cell r="B326" t="str">
            <v>PHL6</v>
          </cell>
        </row>
        <row r="326">
          <cell r="D326" t="str">
            <v>PHL6</v>
          </cell>
          <cell r="E326" t="str">
            <v>PHL6</v>
          </cell>
          <cell r="F326" t="str">
            <v>AMAZON</v>
          </cell>
          <cell r="G326" t="str">
            <v>0000000000</v>
          </cell>
        </row>
        <row r="326">
          <cell r="I326" t="str">
            <v>675 Allen Rd</v>
          </cell>
        </row>
        <row r="326">
          <cell r="L326" t="str">
            <v>Carlisle</v>
          </cell>
          <cell r="M326" t="str">
            <v>PA</v>
          </cell>
          <cell r="N326" t="str">
            <v>US</v>
          </cell>
          <cell r="O326" t="str">
            <v>17015</v>
          </cell>
        </row>
        <row r="327">
          <cell r="A327" t="str">
            <v>PIT2</v>
          </cell>
          <cell r="B327" t="str">
            <v>PIT2</v>
          </cell>
        </row>
        <row r="327">
          <cell r="D327" t="str">
            <v>PIT2</v>
          </cell>
          <cell r="E327" t="str">
            <v>PIT2</v>
          </cell>
          <cell r="F327" t="str">
            <v>AMAZON</v>
          </cell>
          <cell r="G327" t="str">
            <v>0000000000</v>
          </cell>
        </row>
        <row r="327">
          <cell r="I327" t="str">
            <v>1200 Westport Rd</v>
          </cell>
        </row>
        <row r="327">
          <cell r="L327" t="str">
            <v>IMPERIAL</v>
          </cell>
          <cell r="M327" t="str">
            <v>PA</v>
          </cell>
          <cell r="N327" t="str">
            <v>US</v>
          </cell>
          <cell r="O327" t="str">
            <v>15126</v>
          </cell>
        </row>
        <row r="328">
          <cell r="A328" t="str">
            <v>RIC1</v>
          </cell>
          <cell r="B328" t="str">
            <v>RIC1</v>
          </cell>
        </row>
        <row r="328">
          <cell r="D328" t="str">
            <v>RIC1</v>
          </cell>
          <cell r="E328" t="str">
            <v>RIC1</v>
          </cell>
          <cell r="F328" t="str">
            <v>AMAZON</v>
          </cell>
          <cell r="G328" t="str">
            <v>0000000000</v>
          </cell>
        </row>
        <row r="328">
          <cell r="I328" t="str">
            <v>5000 Commerce Way</v>
          </cell>
        </row>
        <row r="328">
          <cell r="L328" t="str">
            <v>Petersburg</v>
          </cell>
          <cell r="M328" t="str">
            <v>VA</v>
          </cell>
          <cell r="N328" t="str">
            <v>US</v>
          </cell>
          <cell r="O328" t="str">
            <v>23803</v>
          </cell>
        </row>
        <row r="329">
          <cell r="A329" t="str">
            <v>SWF1</v>
          </cell>
          <cell r="B329" t="str">
            <v>SWF1</v>
          </cell>
        </row>
        <row r="329">
          <cell r="D329" t="str">
            <v>SWF1</v>
          </cell>
          <cell r="E329" t="str">
            <v>SWF1</v>
          </cell>
          <cell r="F329" t="str">
            <v>AMAZON</v>
          </cell>
          <cell r="G329" t="str">
            <v>0000000000</v>
          </cell>
        </row>
        <row r="329">
          <cell r="I329" t="str">
            <v>635 INTERNATIONAL BLVD</v>
          </cell>
        </row>
        <row r="329">
          <cell r="L329" t="str">
            <v>ROCK TAVERN</v>
          </cell>
          <cell r="M329" t="str">
            <v>NY</v>
          </cell>
          <cell r="N329" t="str">
            <v>US</v>
          </cell>
          <cell r="O329" t="str">
            <v>12575</v>
          </cell>
        </row>
        <row r="330">
          <cell r="A330" t="str">
            <v>TEB3</v>
          </cell>
          <cell r="B330" t="str">
            <v>TEB3</v>
          </cell>
        </row>
        <row r="330">
          <cell r="D330" t="str">
            <v>TEB3</v>
          </cell>
          <cell r="E330" t="str">
            <v>TEB3</v>
          </cell>
          <cell r="F330" t="str">
            <v>AMAZON</v>
          </cell>
          <cell r="G330" t="str">
            <v>0000000000</v>
          </cell>
        </row>
        <row r="330">
          <cell r="I330" t="str">
            <v>2651 Oldmans Creek Rd</v>
          </cell>
        </row>
        <row r="330">
          <cell r="L330" t="str">
            <v>Logan Township</v>
          </cell>
          <cell r="M330" t="str">
            <v>NJ</v>
          </cell>
          <cell r="N330" t="str">
            <v>US</v>
          </cell>
          <cell r="O330" t="str">
            <v>08085</v>
          </cell>
        </row>
        <row r="331">
          <cell r="A331" t="str">
            <v>TEB4</v>
          </cell>
          <cell r="B331" t="str">
            <v>TEB4</v>
          </cell>
        </row>
        <row r="331">
          <cell r="D331" t="str">
            <v>TEB4</v>
          </cell>
          <cell r="E331" t="str">
            <v>TEB4</v>
          </cell>
          <cell r="F331" t="str">
            <v>AMAZON</v>
          </cell>
          <cell r="G331" t="str">
            <v>0000000000</v>
          </cell>
        </row>
        <row r="331">
          <cell r="I331" t="str">
            <v>747 Courses Landing Rd</v>
          </cell>
        </row>
        <row r="331">
          <cell r="L331" t="str">
            <v>Penns Grove</v>
          </cell>
          <cell r="M331" t="str">
            <v>NJ</v>
          </cell>
          <cell r="N331" t="str">
            <v>US</v>
          </cell>
          <cell r="O331" t="str">
            <v>08069</v>
          </cell>
        </row>
        <row r="332">
          <cell r="A332" t="str">
            <v>TEB6</v>
          </cell>
          <cell r="B332" t="str">
            <v>TEB6</v>
          </cell>
        </row>
        <row r="332">
          <cell r="D332" t="str">
            <v>TEB6</v>
          </cell>
          <cell r="E332" t="str">
            <v>TEB6</v>
          </cell>
          <cell r="F332" t="str">
            <v>AMAZON</v>
          </cell>
          <cell r="G332" t="str">
            <v>0000000000</v>
          </cell>
        </row>
        <row r="332">
          <cell r="I332" t="str">
            <v>22 Hightstown Cranbury State Road</v>
          </cell>
        </row>
        <row r="332">
          <cell r="L332" t="str">
            <v>Cranbury</v>
          </cell>
          <cell r="M332" t="str">
            <v>NJ</v>
          </cell>
          <cell r="N332" t="str">
            <v>US</v>
          </cell>
          <cell r="O332" t="str">
            <v>08512</v>
          </cell>
        </row>
        <row r="333">
          <cell r="A333" t="str">
            <v>TEB9</v>
          </cell>
          <cell r="B333" t="str">
            <v>TEB9</v>
          </cell>
        </row>
        <row r="333">
          <cell r="D333" t="str">
            <v>TEB9</v>
          </cell>
          <cell r="E333" t="str">
            <v>TEB9</v>
          </cell>
          <cell r="F333" t="str">
            <v>AMAZON</v>
          </cell>
          <cell r="G333" t="str">
            <v>0000000000</v>
          </cell>
        </row>
        <row r="333">
          <cell r="I333" t="str">
            <v>601 Randolph Road</v>
          </cell>
        </row>
        <row r="333">
          <cell r="L333" t="str">
            <v>SOMERSET</v>
          </cell>
          <cell r="M333" t="str">
            <v>NJ</v>
          </cell>
          <cell r="N333" t="str">
            <v>US</v>
          </cell>
          <cell r="O333" t="str">
            <v>08873</v>
          </cell>
        </row>
        <row r="334">
          <cell r="A334" t="str">
            <v>TTN2</v>
          </cell>
          <cell r="B334" t="str">
            <v>TTN2</v>
          </cell>
        </row>
        <row r="334">
          <cell r="D334" t="str">
            <v>TTN2</v>
          </cell>
          <cell r="E334" t="str">
            <v>TTN2</v>
          </cell>
          <cell r="F334" t="str">
            <v>AMAZON</v>
          </cell>
          <cell r="G334" t="str">
            <v>0000000000</v>
          </cell>
        </row>
        <row r="334">
          <cell r="I334" t="str">
            <v>343 Cranbury Half Acre Rd</v>
          </cell>
        </row>
        <row r="334">
          <cell r="L334" t="str">
            <v>East Windsor</v>
          </cell>
          <cell r="M334" t="str">
            <v>NJ</v>
          </cell>
          <cell r="N334" t="str">
            <v>US</v>
          </cell>
          <cell r="O334" t="str">
            <v>08512</v>
          </cell>
        </row>
        <row r="335">
          <cell r="A335" t="str">
            <v>ILG1</v>
          </cell>
          <cell r="B335" t="str">
            <v>ILG1</v>
          </cell>
        </row>
        <row r="335">
          <cell r="D335" t="str">
            <v>ILG1</v>
          </cell>
          <cell r="E335" t="str">
            <v>ILG1</v>
          </cell>
          <cell r="F335" t="str">
            <v>AMAZON</v>
          </cell>
          <cell r="G335" t="str">
            <v>0000000000</v>
          </cell>
        </row>
        <row r="335">
          <cell r="I335" t="str">
            <v>780 S. DuPont Highway</v>
          </cell>
        </row>
        <row r="335">
          <cell r="L335" t="str">
            <v>NEW CASTLE</v>
          </cell>
          <cell r="M335" t="str">
            <v>DE</v>
          </cell>
          <cell r="N335" t="str">
            <v>US</v>
          </cell>
          <cell r="O335" t="str">
            <v>19720</v>
          </cell>
        </row>
        <row r="336">
          <cell r="A336" t="str">
            <v>ORF2-UPS</v>
          </cell>
          <cell r="B336" t="str">
            <v>ORF2-UPS</v>
          </cell>
        </row>
        <row r="336">
          <cell r="D336" t="str">
            <v>ORF2-UPS</v>
          </cell>
          <cell r="E336" t="str">
            <v>ORF2-23297</v>
          </cell>
          <cell r="F336" t="str">
            <v>AMAZON</v>
          </cell>
          <cell r="G336" t="str">
            <v>0000000000</v>
          </cell>
        </row>
        <row r="336">
          <cell r="I336" t="str">
            <v>9603 Coach Road</v>
          </cell>
        </row>
        <row r="336">
          <cell r="L336" t="str">
            <v>Richmond</v>
          </cell>
          <cell r="M336" t="str">
            <v>VA</v>
          </cell>
          <cell r="N336" t="str">
            <v>US</v>
          </cell>
          <cell r="O336" t="str">
            <v>23297</v>
          </cell>
        </row>
        <row r="337">
          <cell r="A337" t="str">
            <v>XLX1</v>
          </cell>
          <cell r="B337" t="str">
            <v>XLX1</v>
          </cell>
        </row>
        <row r="337">
          <cell r="D337" t="str">
            <v>XLX1</v>
          </cell>
          <cell r="E337" t="str">
            <v>XLX1</v>
          </cell>
          <cell r="F337" t="str">
            <v>AMAZON</v>
          </cell>
          <cell r="G337" t="str">
            <v>0000000000</v>
          </cell>
        </row>
        <row r="337">
          <cell r="I337" t="str">
            <v>1115 Wesel Blvd</v>
          </cell>
        </row>
        <row r="337">
          <cell r="L337" t="str">
            <v>HAGERSTOWN</v>
          </cell>
          <cell r="M337" t="str">
            <v>MD</v>
          </cell>
          <cell r="N337" t="str">
            <v>US</v>
          </cell>
          <cell r="O337" t="str">
            <v>21740</v>
          </cell>
        </row>
        <row r="338">
          <cell r="A338" t="str">
            <v>ORF2-FEDEX</v>
          </cell>
          <cell r="B338" t="str">
            <v>ORF2-FEDEX</v>
          </cell>
        </row>
        <row r="338">
          <cell r="D338" t="str">
            <v>ORF2-FEDEX</v>
          </cell>
          <cell r="E338" t="str">
            <v>ORF2-23321</v>
          </cell>
          <cell r="F338" t="str">
            <v>AMAZON</v>
          </cell>
          <cell r="G338" t="str">
            <v>0000000000</v>
          </cell>
        </row>
        <row r="338">
          <cell r="I338" t="str">
            <v>5045 PORTSMOUTH BLVD</v>
          </cell>
        </row>
        <row r="338">
          <cell r="L338" t="str">
            <v>CHESAPEAKE</v>
          </cell>
          <cell r="M338" t="str">
            <v>VA</v>
          </cell>
          <cell r="N338" t="str">
            <v>US</v>
          </cell>
          <cell r="O338" t="str">
            <v>23321</v>
          </cell>
        </row>
        <row r="339">
          <cell r="A339" t="str">
            <v>MDT4</v>
          </cell>
          <cell r="B339" t="str">
            <v>MDT4</v>
          </cell>
        </row>
        <row r="339">
          <cell r="D339" t="str">
            <v>MDT4</v>
          </cell>
          <cell r="E339" t="str">
            <v>MDT4</v>
          </cell>
          <cell r="F339" t="str">
            <v>AMAZON</v>
          </cell>
          <cell r="G339" t="str">
            <v>0000000000</v>
          </cell>
        </row>
        <row r="339">
          <cell r="I339" t="str">
            <v>5125 COMMERCE DRIVE</v>
          </cell>
        </row>
        <row r="339">
          <cell r="L339" t="str">
            <v>YORK</v>
          </cell>
          <cell r="M339" t="str">
            <v>PA</v>
          </cell>
          <cell r="N339" t="str">
            <v>US</v>
          </cell>
          <cell r="O339" t="str">
            <v>17408</v>
          </cell>
        </row>
        <row r="340">
          <cell r="A340" t="str">
            <v>CHO1</v>
          </cell>
          <cell r="B340" t="str">
            <v>CHO1</v>
          </cell>
        </row>
        <row r="340">
          <cell r="D340" t="str">
            <v>CHO1</v>
          </cell>
          <cell r="E340" t="str">
            <v>CHO1</v>
          </cell>
          <cell r="F340" t="str">
            <v>AMAZON</v>
          </cell>
          <cell r="G340" t="str">
            <v>0000000000</v>
          </cell>
        </row>
        <row r="340">
          <cell r="I340" t="str">
            <v>32 TRADER RD</v>
          </cell>
        </row>
        <row r="340">
          <cell r="L340" t="str">
            <v>FISHERSVILLE</v>
          </cell>
          <cell r="M340" t="str">
            <v>VA</v>
          </cell>
          <cell r="N340" t="str">
            <v>US</v>
          </cell>
          <cell r="O340" t="str">
            <v>22939</v>
          </cell>
        </row>
        <row r="341">
          <cell r="A341" t="str">
            <v>SWF2-FEDEX</v>
          </cell>
          <cell r="B341" t="str">
            <v>SWF2-FEDEX</v>
          </cell>
        </row>
        <row r="341">
          <cell r="D341" t="str">
            <v>SWF2-FEDEX</v>
          </cell>
          <cell r="E341" t="str">
            <v>SWF2</v>
          </cell>
          <cell r="F341" t="str">
            <v>AMAZON</v>
          </cell>
          <cell r="G341" t="str">
            <v>0000000000</v>
          </cell>
        </row>
        <row r="341">
          <cell r="I341" t="str">
            <v>76 Patriot Way</v>
          </cell>
        </row>
        <row r="341">
          <cell r="L341" t="str">
            <v>Hopewell Junction</v>
          </cell>
          <cell r="M341" t="str">
            <v>NY</v>
          </cell>
          <cell r="N341" t="str">
            <v>US</v>
          </cell>
          <cell r="O341" t="str">
            <v>12533</v>
          </cell>
        </row>
        <row r="342">
          <cell r="A342" t="str">
            <v>SWF2-UPS</v>
          </cell>
          <cell r="B342" t="str">
            <v>SWF2-UPS</v>
          </cell>
        </row>
        <row r="342">
          <cell r="D342" t="str">
            <v>SWF2-UPS</v>
          </cell>
          <cell r="E342" t="str">
            <v>SWF2</v>
          </cell>
          <cell r="F342" t="str">
            <v>Amazon</v>
          </cell>
          <cell r="G342" t="str">
            <v>0000000000</v>
          </cell>
        </row>
        <row r="342">
          <cell r="I342" t="str">
            <v>557 Tuckahoe Road</v>
          </cell>
        </row>
        <row r="342">
          <cell r="L342" t="str">
            <v>Yonkers</v>
          </cell>
          <cell r="M342" t="str">
            <v>NY</v>
          </cell>
          <cell r="N342" t="str">
            <v>US</v>
          </cell>
          <cell r="O342" t="str">
            <v>10710</v>
          </cell>
        </row>
        <row r="343">
          <cell r="A343" t="str">
            <v>HGR2</v>
          </cell>
          <cell r="B343" t="str">
            <v>HGR2</v>
          </cell>
        </row>
        <row r="343">
          <cell r="D343" t="str">
            <v>HGR2</v>
          </cell>
          <cell r="E343" t="str">
            <v>HGR2</v>
          </cell>
          <cell r="F343" t="str">
            <v>AMAZON</v>
          </cell>
          <cell r="G343" t="str">
            <v>0000000000</v>
          </cell>
        </row>
        <row r="343">
          <cell r="I343" t="str">
            <v>1115 WESEL BLVD</v>
          </cell>
        </row>
        <row r="343">
          <cell r="L343" t="str">
            <v>HAGERSTOWN</v>
          </cell>
          <cell r="M343" t="str">
            <v>MD</v>
          </cell>
          <cell r="N343" t="str">
            <v>US</v>
          </cell>
          <cell r="O343" t="str">
            <v>21740</v>
          </cell>
        </row>
        <row r="344">
          <cell r="A344" t="str">
            <v>BDL5</v>
          </cell>
          <cell r="B344" t="str">
            <v>BDL5</v>
          </cell>
        </row>
        <row r="344">
          <cell r="D344" t="str">
            <v>BDL5</v>
          </cell>
          <cell r="E344" t="str">
            <v>BDL5</v>
          </cell>
          <cell r="F344" t="str">
            <v>AMAZON</v>
          </cell>
          <cell r="G344" t="str">
            <v>0000000000</v>
          </cell>
        </row>
        <row r="344">
          <cell r="I344" t="str">
            <v>29 Research Parkway</v>
          </cell>
        </row>
        <row r="344">
          <cell r="L344" t="str">
            <v>Wallingford</v>
          </cell>
          <cell r="M344" t="str">
            <v>CT</v>
          </cell>
          <cell r="N344" t="str">
            <v>US</v>
          </cell>
          <cell r="O344" t="str">
            <v>06492</v>
          </cell>
        </row>
        <row r="345">
          <cell r="A345" t="str">
            <v>BDL1</v>
          </cell>
          <cell r="B345" t="str">
            <v>BDL1</v>
          </cell>
        </row>
        <row r="345">
          <cell r="D345" t="str">
            <v>BDL1</v>
          </cell>
          <cell r="E345" t="str">
            <v>BDL1</v>
          </cell>
          <cell r="F345" t="str">
            <v>AMAZON</v>
          </cell>
          <cell r="G345" t="str">
            <v>0000000000</v>
          </cell>
        </row>
        <row r="345">
          <cell r="I345" t="str">
            <v>801 Day Hill Rd.</v>
          </cell>
        </row>
        <row r="345">
          <cell r="L345" t="str">
            <v>Windsor</v>
          </cell>
          <cell r="M345" t="str">
            <v>CT</v>
          </cell>
          <cell r="N345" t="str">
            <v>US</v>
          </cell>
          <cell r="O345" t="str">
            <v>06095</v>
          </cell>
        </row>
        <row r="346">
          <cell r="A346" t="str">
            <v>BDL2</v>
          </cell>
          <cell r="B346" t="str">
            <v>BDL2</v>
          </cell>
        </row>
        <row r="346">
          <cell r="D346" t="str">
            <v>BDL2</v>
          </cell>
          <cell r="E346" t="str">
            <v>BDL2</v>
          </cell>
          <cell r="F346" t="str">
            <v>AMAZON</v>
          </cell>
          <cell r="G346" t="str">
            <v>0000000000</v>
          </cell>
        </row>
        <row r="346">
          <cell r="I346" t="str">
            <v>200 Old Iron Ore Rd</v>
          </cell>
        </row>
        <row r="346">
          <cell r="L346" t="str">
            <v>Windsor</v>
          </cell>
          <cell r="M346" t="str">
            <v>CT</v>
          </cell>
          <cell r="N346" t="str">
            <v>US</v>
          </cell>
          <cell r="O346" t="str">
            <v>06095</v>
          </cell>
        </row>
        <row r="347">
          <cell r="A347" t="str">
            <v>CVG3</v>
          </cell>
          <cell r="B347" t="str">
            <v>CVG3</v>
          </cell>
        </row>
        <row r="347">
          <cell r="D347" t="str">
            <v>CVG3</v>
          </cell>
          <cell r="E347" t="str">
            <v>CVG3</v>
          </cell>
          <cell r="F347" t="str">
            <v>AMAZON</v>
          </cell>
          <cell r="G347" t="str">
            <v>0000000000</v>
          </cell>
        </row>
        <row r="347">
          <cell r="I347" t="str">
            <v>3680 Langley Dr.</v>
          </cell>
        </row>
        <row r="347">
          <cell r="L347" t="str">
            <v>Hebron</v>
          </cell>
          <cell r="M347" t="str">
            <v>KY</v>
          </cell>
          <cell r="N347" t="str">
            <v>US</v>
          </cell>
          <cell r="O347" t="str">
            <v>41048</v>
          </cell>
        </row>
        <row r="348">
          <cell r="A348" t="str">
            <v>DCA1</v>
          </cell>
          <cell r="B348" t="str">
            <v>DCA1</v>
          </cell>
        </row>
        <row r="348">
          <cell r="D348" t="str">
            <v>DCA1</v>
          </cell>
          <cell r="E348" t="str">
            <v>DCA1</v>
          </cell>
          <cell r="F348" t="str">
            <v>AMAZON</v>
          </cell>
          <cell r="G348" t="str">
            <v>0000000000</v>
          </cell>
        </row>
        <row r="348">
          <cell r="I348" t="str">
            <v>1700 Sparrows Point Boulevard</v>
          </cell>
        </row>
        <row r="348">
          <cell r="L348" t="str">
            <v>Sparrows Point</v>
          </cell>
          <cell r="M348" t="str">
            <v>MD</v>
          </cell>
          <cell r="N348" t="str">
            <v>US</v>
          </cell>
          <cell r="O348" t="str">
            <v>21219</v>
          </cell>
        </row>
        <row r="349">
          <cell r="A349" t="str">
            <v>PIT1</v>
          </cell>
          <cell r="B349" t="str">
            <v>PIT1</v>
          </cell>
        </row>
        <row r="349">
          <cell r="D349" t="str">
            <v>PIT1</v>
          </cell>
          <cell r="E349" t="str">
            <v>PIT1</v>
          </cell>
          <cell r="F349" t="str">
            <v>AMAZON</v>
          </cell>
          <cell r="G349" t="str">
            <v>0000000000</v>
          </cell>
        </row>
        <row r="349">
          <cell r="I349" t="str">
            <v>2250 Roswell Drive</v>
          </cell>
        </row>
        <row r="349">
          <cell r="L349" t="str">
            <v>Pittsburgh</v>
          </cell>
          <cell r="M349" t="str">
            <v>PA</v>
          </cell>
          <cell r="N349" t="str">
            <v>US</v>
          </cell>
          <cell r="O349" t="str">
            <v>15205</v>
          </cell>
        </row>
        <row r="350">
          <cell r="A350" t="str">
            <v>BNA2</v>
          </cell>
          <cell r="B350" t="str">
            <v>BNA2</v>
          </cell>
        </row>
        <row r="350">
          <cell r="D350" t="str">
            <v>BNA2</v>
          </cell>
          <cell r="E350" t="str">
            <v>BNA2</v>
          </cell>
          <cell r="F350" t="str">
            <v>AMAZON</v>
          </cell>
          <cell r="G350" t="str">
            <v>0000000000</v>
          </cell>
        </row>
        <row r="350">
          <cell r="I350" t="str">
            <v>500 Duke Dr</v>
          </cell>
        </row>
        <row r="350">
          <cell r="L350" t="str">
            <v>Lebanon</v>
          </cell>
          <cell r="M350" t="str">
            <v>TN</v>
          </cell>
          <cell r="N350" t="str">
            <v>US</v>
          </cell>
          <cell r="O350" t="str">
            <v>37090</v>
          </cell>
        </row>
        <row r="351">
          <cell r="A351" t="str">
            <v>CHA2</v>
          </cell>
          <cell r="B351" t="str">
            <v>CHA2</v>
          </cell>
        </row>
        <row r="351">
          <cell r="D351" t="str">
            <v>CHA2</v>
          </cell>
          <cell r="E351" t="str">
            <v>CHA2</v>
          </cell>
          <cell r="F351" t="str">
            <v>AMAZON</v>
          </cell>
          <cell r="G351" t="str">
            <v>0000000000</v>
          </cell>
        </row>
        <row r="351">
          <cell r="I351" t="str">
            <v>225 Infinity Dr NW</v>
          </cell>
        </row>
        <row r="351">
          <cell r="L351" t="str">
            <v>Charleston</v>
          </cell>
          <cell r="M351" t="str">
            <v>TN</v>
          </cell>
          <cell r="N351" t="str">
            <v>US</v>
          </cell>
          <cell r="O351" t="str">
            <v>37310</v>
          </cell>
        </row>
        <row r="352">
          <cell r="A352" t="str">
            <v>MGE3</v>
          </cell>
          <cell r="B352" t="str">
            <v>MGE3</v>
          </cell>
        </row>
        <row r="352">
          <cell r="D352" t="str">
            <v>MGE3</v>
          </cell>
          <cell r="E352" t="str">
            <v>MGE3</v>
          </cell>
          <cell r="F352" t="str">
            <v>AMAZON</v>
          </cell>
          <cell r="G352" t="str">
            <v>0000000000</v>
          </cell>
        </row>
        <row r="352">
          <cell r="I352" t="str">
            <v>808 Hog Mountain Road</v>
          </cell>
        </row>
        <row r="352">
          <cell r="L352" t="str">
            <v>Jefferson</v>
          </cell>
          <cell r="M352" t="str">
            <v>GA</v>
          </cell>
          <cell r="N352" t="str">
            <v>US</v>
          </cell>
          <cell r="O352" t="str">
            <v>30549</v>
          </cell>
        </row>
        <row r="353">
          <cell r="A353" t="str">
            <v>CLT3</v>
          </cell>
          <cell r="B353" t="str">
            <v>CLT3</v>
          </cell>
        </row>
        <row r="353">
          <cell r="D353" t="str">
            <v>CLT3</v>
          </cell>
          <cell r="E353" t="str">
            <v>CLT3</v>
          </cell>
          <cell r="F353" t="str">
            <v>AMAZON</v>
          </cell>
          <cell r="G353" t="str">
            <v>0000000000</v>
          </cell>
        </row>
        <row r="353">
          <cell r="I353" t="str">
            <v>6500 Davidson Hwy</v>
          </cell>
        </row>
        <row r="353">
          <cell r="L353" t="str">
            <v>Concord</v>
          </cell>
          <cell r="M353" t="str">
            <v>NC</v>
          </cell>
          <cell r="N353" t="str">
            <v>US</v>
          </cell>
          <cell r="O353" t="str">
            <v>28027</v>
          </cell>
        </row>
        <row r="354">
          <cell r="A354" t="str">
            <v>GSO1</v>
          </cell>
          <cell r="B354" t="str">
            <v>GSO1</v>
          </cell>
        </row>
        <row r="354">
          <cell r="D354" t="str">
            <v>GSO1</v>
          </cell>
          <cell r="E354" t="str">
            <v>GSO1</v>
          </cell>
          <cell r="F354" t="str">
            <v>AMAZON</v>
          </cell>
          <cell r="G354" t="str">
            <v>0000000000</v>
          </cell>
        </row>
        <row r="354">
          <cell r="I354" t="str">
            <v>1656 OLD GREENSBORO RD</v>
          </cell>
        </row>
        <row r="354">
          <cell r="L354" t="str">
            <v>KERNERSVILLE</v>
          </cell>
          <cell r="M354" t="str">
            <v>NC</v>
          </cell>
          <cell r="N354" t="str">
            <v>US</v>
          </cell>
          <cell r="O354" t="str">
            <v>27284</v>
          </cell>
        </row>
        <row r="355">
          <cell r="A355" t="str">
            <v>GSP1</v>
          </cell>
          <cell r="B355" t="str">
            <v>GSP1</v>
          </cell>
        </row>
        <row r="355">
          <cell r="D355" t="str">
            <v>GSP1</v>
          </cell>
          <cell r="E355" t="str">
            <v>GSP1</v>
          </cell>
          <cell r="F355" t="str">
            <v>AMAZON</v>
          </cell>
          <cell r="G355" t="str">
            <v>0000000000</v>
          </cell>
        </row>
        <row r="355">
          <cell r="I355" t="str">
            <v>402 John Dodd Rd</v>
          </cell>
        </row>
        <row r="355">
          <cell r="L355" t="str">
            <v>Spartanburg</v>
          </cell>
          <cell r="M355" t="str">
            <v>SC</v>
          </cell>
          <cell r="N355" t="str">
            <v>US</v>
          </cell>
          <cell r="O355" t="str">
            <v>29303</v>
          </cell>
        </row>
        <row r="356">
          <cell r="A356" t="str">
            <v>XLX6</v>
          </cell>
          <cell r="B356" t="str">
            <v>XLX6</v>
          </cell>
        </row>
        <row r="356">
          <cell r="D356" t="str">
            <v>XLX6</v>
          </cell>
          <cell r="E356" t="str">
            <v>XLX6</v>
          </cell>
          <cell r="F356" t="str">
            <v>AMAZON</v>
          </cell>
          <cell r="G356" t="str">
            <v>0000000000</v>
          </cell>
        </row>
        <row r="356">
          <cell r="I356" t="str">
            <v>12220 Carolina Logistics Drive</v>
          </cell>
        </row>
        <row r="356">
          <cell r="L356" t="str">
            <v>PINEVILLE</v>
          </cell>
          <cell r="M356" t="str">
            <v>NC</v>
          </cell>
          <cell r="N356" t="str">
            <v>US</v>
          </cell>
          <cell r="O356" t="str">
            <v>28134</v>
          </cell>
        </row>
        <row r="357">
          <cell r="A357" t="str">
            <v>MGE1</v>
          </cell>
          <cell r="B357" t="str">
            <v>MGE1</v>
          </cell>
        </row>
        <row r="357">
          <cell r="D357" t="str">
            <v>MGE1</v>
          </cell>
          <cell r="E357" t="str">
            <v>MGE1</v>
          </cell>
          <cell r="F357" t="str">
            <v>AMAZON</v>
          </cell>
          <cell r="G357" t="str">
            <v>0000000000</v>
          </cell>
        </row>
        <row r="357">
          <cell r="I357" t="str">
            <v>650 Broadway Avenue</v>
          </cell>
        </row>
        <row r="357">
          <cell r="L357" t="str">
            <v>Braselton</v>
          </cell>
          <cell r="M357" t="str">
            <v>GA</v>
          </cell>
          <cell r="N357" t="str">
            <v>US</v>
          </cell>
          <cell r="O357" t="str">
            <v>30517</v>
          </cell>
        </row>
        <row r="358">
          <cell r="A358" t="str">
            <v>TPA6</v>
          </cell>
          <cell r="B358" t="str">
            <v>TPA6</v>
          </cell>
        </row>
        <row r="358">
          <cell r="D358" t="str">
            <v>TPA6</v>
          </cell>
          <cell r="E358" t="str">
            <v>TPA6</v>
          </cell>
          <cell r="F358" t="str">
            <v>AMAZON</v>
          </cell>
          <cell r="G358" t="str">
            <v>0000000000</v>
          </cell>
        </row>
        <row r="358">
          <cell r="I358" t="str">
            <v>3400 NW 35th St Rd</v>
          </cell>
        </row>
        <row r="358">
          <cell r="L358" t="str">
            <v>OCALA</v>
          </cell>
          <cell r="M358" t="str">
            <v>FL</v>
          </cell>
          <cell r="N358" t="str">
            <v>US</v>
          </cell>
          <cell r="O358" t="str">
            <v>34475</v>
          </cell>
        </row>
        <row r="359">
          <cell r="A359" t="str">
            <v>CLT6</v>
          </cell>
          <cell r="B359" t="str">
            <v>CLT6</v>
          </cell>
        </row>
        <row r="359">
          <cell r="D359" t="str">
            <v>CLT6</v>
          </cell>
          <cell r="E359" t="str">
            <v>CLT6</v>
          </cell>
          <cell r="F359" t="str">
            <v>AMAZON</v>
          </cell>
          <cell r="G359" t="str">
            <v>0000000000</v>
          </cell>
        </row>
        <row r="359">
          <cell r="I359" t="str">
            <v>12220 Carolina Logistics Drive</v>
          </cell>
        </row>
        <row r="359">
          <cell r="L359" t="str">
            <v>Pineville</v>
          </cell>
          <cell r="M359" t="str">
            <v>NC</v>
          </cell>
          <cell r="N359" t="str">
            <v>US</v>
          </cell>
          <cell r="O359" t="str">
            <v>28134</v>
          </cell>
        </row>
        <row r="360">
          <cell r="A360" t="str">
            <v>HSV1</v>
          </cell>
          <cell r="B360" t="str">
            <v>HSV1</v>
          </cell>
        </row>
        <row r="360">
          <cell r="D360" t="str">
            <v>HSV1</v>
          </cell>
          <cell r="E360" t="str">
            <v>HSV1</v>
          </cell>
          <cell r="F360" t="str">
            <v>AMAZON</v>
          </cell>
          <cell r="G360" t="str">
            <v>0000000000</v>
          </cell>
        </row>
        <row r="360">
          <cell r="I360" t="str">
            <v>7817 Greenbrier Road</v>
          </cell>
        </row>
        <row r="360">
          <cell r="L360" t="str">
            <v>MADISON</v>
          </cell>
          <cell r="M360" t="str">
            <v>AL</v>
          </cell>
          <cell r="N360" t="str">
            <v>US</v>
          </cell>
          <cell r="O360" t="str">
            <v>35756</v>
          </cell>
        </row>
        <row r="361">
          <cell r="A361" t="str">
            <v>HSV2</v>
          </cell>
          <cell r="B361" t="str">
            <v>HSV2</v>
          </cell>
        </row>
        <row r="361">
          <cell r="D361" t="str">
            <v>HSV2</v>
          </cell>
          <cell r="E361" t="str">
            <v>HSV2</v>
          </cell>
          <cell r="F361" t="str">
            <v>AMAZON</v>
          </cell>
          <cell r="G361" t="str">
            <v>0000000000</v>
          </cell>
        </row>
        <row r="361">
          <cell r="I361" t="str">
            <v>28869 Fanning Dr NW</v>
          </cell>
        </row>
        <row r="361">
          <cell r="L361" t="str">
            <v>MADISON</v>
          </cell>
          <cell r="M361" t="str">
            <v>AL</v>
          </cell>
          <cell r="N361" t="str">
            <v>US</v>
          </cell>
          <cell r="O361" t="str">
            <v>35756</v>
          </cell>
        </row>
        <row r="362">
          <cell r="A362" t="str">
            <v>PBI2</v>
          </cell>
          <cell r="B362" t="str">
            <v>PBI2</v>
          </cell>
        </row>
        <row r="362">
          <cell r="D362" t="str">
            <v>PBI2</v>
          </cell>
          <cell r="E362" t="str">
            <v>PBI2</v>
          </cell>
          <cell r="F362" t="str">
            <v>AMAZON</v>
          </cell>
          <cell r="G362" t="str">
            <v>0000000000</v>
          </cell>
        </row>
        <row r="362">
          <cell r="I362" t="str">
            <v>14490 CORPORATE RD N</v>
          </cell>
        </row>
        <row r="362">
          <cell r="L362" t="str">
            <v>JUPITER</v>
          </cell>
          <cell r="M362" t="str">
            <v>FL</v>
          </cell>
          <cell r="N362" t="str">
            <v>US</v>
          </cell>
          <cell r="O362" t="str">
            <v>33478</v>
          </cell>
        </row>
        <row r="363">
          <cell r="A363" t="str">
            <v>MEM8</v>
          </cell>
          <cell r="B363" t="str">
            <v>MEM8</v>
          </cell>
        </row>
        <row r="363">
          <cell r="D363" t="str">
            <v>MEM8</v>
          </cell>
          <cell r="E363" t="str">
            <v>MEM8</v>
          </cell>
          <cell r="F363" t="str">
            <v>AMAZON</v>
          </cell>
          <cell r="G363" t="str">
            <v>0000000000</v>
          </cell>
        </row>
        <row r="363">
          <cell r="I363" t="str">
            <v>850 GATEWAY GLOBAL DR</v>
          </cell>
        </row>
        <row r="363">
          <cell r="L363" t="str">
            <v>BYHALIA</v>
          </cell>
          <cell r="M363" t="str">
            <v>MS</v>
          </cell>
          <cell r="N363" t="str">
            <v>US</v>
          </cell>
          <cell r="O363" t="str">
            <v>38611</v>
          </cell>
        </row>
        <row r="364">
          <cell r="A364" t="str">
            <v>PBI3-FEDEX</v>
          </cell>
          <cell r="B364" t="str">
            <v>PBI3-FEDEX</v>
          </cell>
        </row>
        <row r="364">
          <cell r="D364" t="str">
            <v>PBI3-FEDEX</v>
          </cell>
          <cell r="E364" t="str">
            <v>PBI3</v>
          </cell>
          <cell r="F364" t="str">
            <v>Amazon</v>
          </cell>
          <cell r="G364" t="str">
            <v>0000000000</v>
          </cell>
        </row>
        <row r="364">
          <cell r="I364" t="str">
            <v>7600 LTC Parkway</v>
          </cell>
        </row>
        <row r="364">
          <cell r="L364" t="str">
            <v>Port Saint Lucie</v>
          </cell>
          <cell r="M364" t="str">
            <v>FL</v>
          </cell>
          <cell r="N364" t="str">
            <v>US</v>
          </cell>
          <cell r="O364" t="str">
            <v>34986</v>
          </cell>
        </row>
        <row r="365">
          <cell r="A365" t="str">
            <v>PBI3-UPS</v>
          </cell>
          <cell r="B365" t="str">
            <v>PBI3-UPS</v>
          </cell>
        </row>
        <row r="365">
          <cell r="D365" t="str">
            <v>PBI3-UPS</v>
          </cell>
          <cell r="E365" t="str">
            <v>PBI3</v>
          </cell>
          <cell r="F365" t="str">
            <v>Amazon</v>
          </cell>
          <cell r="G365" t="str">
            <v>0000000000</v>
          </cell>
        </row>
        <row r="365">
          <cell r="I365" t="str">
            <v>21 Jump Street</v>
          </cell>
        </row>
        <row r="365">
          <cell r="L365" t="str">
            <v>Jacksonville</v>
          </cell>
          <cell r="M365" t="str">
            <v>FL</v>
          </cell>
          <cell r="N365" t="str">
            <v>US</v>
          </cell>
          <cell r="O365" t="str">
            <v>32206</v>
          </cell>
        </row>
        <row r="366">
          <cell r="A366" t="str">
            <v>CLT4</v>
          </cell>
          <cell r="B366" t="str">
            <v>CLT4</v>
          </cell>
        </row>
        <row r="366">
          <cell r="D366" t="str">
            <v>CLT4</v>
          </cell>
          <cell r="E366" t="str">
            <v>CLT4</v>
          </cell>
          <cell r="F366" t="str">
            <v>AMAZON</v>
          </cell>
          <cell r="G366" t="str">
            <v>0000000000</v>
          </cell>
        </row>
        <row r="366">
          <cell r="I366" t="str">
            <v>8000 TUCKASEEGEE RD</v>
          </cell>
        </row>
        <row r="366">
          <cell r="L366" t="str">
            <v>CHARLOTTE</v>
          </cell>
          <cell r="M366" t="str">
            <v>NC</v>
          </cell>
          <cell r="N366" t="str">
            <v>US</v>
          </cell>
          <cell r="O366" t="str">
            <v>28214</v>
          </cell>
        </row>
        <row r="367">
          <cell r="A367" t="str">
            <v>ATL2</v>
          </cell>
          <cell r="B367" t="str">
            <v>ATL2</v>
          </cell>
        </row>
        <row r="367">
          <cell r="D367" t="str">
            <v>ATL2</v>
          </cell>
          <cell r="E367" t="str">
            <v>ATL2</v>
          </cell>
          <cell r="F367" t="str">
            <v>AMAZON</v>
          </cell>
          <cell r="G367" t="str">
            <v>0000000000</v>
          </cell>
        </row>
        <row r="367">
          <cell r="I367" t="str">
            <v>2255 W PARK PLACE BLVD</v>
          </cell>
        </row>
        <row r="367">
          <cell r="L367" t="str">
            <v>STONE MOUNTAIN</v>
          </cell>
          <cell r="M367" t="str">
            <v>GA</v>
          </cell>
          <cell r="N367" t="str">
            <v>US</v>
          </cell>
          <cell r="O367" t="str">
            <v>30087</v>
          </cell>
        </row>
        <row r="368">
          <cell r="A368" t="str">
            <v>ATL3-WALMART</v>
          </cell>
          <cell r="B368" t="str">
            <v>ATL3-WALMART</v>
          </cell>
        </row>
        <row r="368">
          <cell r="D368" t="str">
            <v>ATL3-WALMART</v>
          </cell>
          <cell r="E368" t="str">
            <v>ATL3</v>
          </cell>
          <cell r="F368" t="str">
            <v>Walmart</v>
          </cell>
          <cell r="G368" t="str">
            <v>0000000000</v>
          </cell>
        </row>
        <row r="368">
          <cell r="I368" t="str">
            <v>445 Valentine Industrial Parkway</v>
          </cell>
        </row>
        <row r="368">
          <cell r="L368" t="str">
            <v>Pendergrass</v>
          </cell>
          <cell r="M368" t="str">
            <v>GA</v>
          </cell>
          <cell r="N368" t="str">
            <v>US</v>
          </cell>
          <cell r="O368" t="str">
            <v>30567</v>
          </cell>
        </row>
        <row r="369">
          <cell r="A369" t="str">
            <v>ATL2N-WALMART</v>
          </cell>
          <cell r="B369" t="str">
            <v>ATL2N-WALMART</v>
          </cell>
        </row>
        <row r="369">
          <cell r="D369" t="str">
            <v>ATL2N-WALMART</v>
          </cell>
          <cell r="E369" t="str">
            <v>ATL2n</v>
          </cell>
          <cell r="F369" t="str">
            <v>Walmart</v>
          </cell>
          <cell r="G369" t="str">
            <v>0000000000</v>
          </cell>
        </row>
        <row r="369">
          <cell r="I369" t="str">
            <v>3101 N. Highway 27</v>
          </cell>
        </row>
        <row r="369">
          <cell r="L369" t="str">
            <v>Carrollton</v>
          </cell>
          <cell r="M369" t="str">
            <v>GA</v>
          </cell>
          <cell r="N369" t="str">
            <v>US</v>
          </cell>
          <cell r="O369" t="str">
            <v>30117</v>
          </cell>
        </row>
        <row r="370">
          <cell r="A370" t="str">
            <v>ATL1-WALMART</v>
          </cell>
          <cell r="B370" t="str">
            <v>ATL1-WALMART</v>
          </cell>
        </row>
        <row r="370">
          <cell r="D370" t="str">
            <v>ATL1-WALMART</v>
          </cell>
          <cell r="E370" t="str">
            <v>ATL1</v>
          </cell>
          <cell r="F370" t="str">
            <v>Walmart</v>
          </cell>
          <cell r="G370" t="str">
            <v>0000000000</v>
          </cell>
        </row>
        <row r="370">
          <cell r="I370" t="str">
            <v>6055 S Fulton Pkwy</v>
          </cell>
        </row>
        <row r="370">
          <cell r="L370" t="str">
            <v>Atlanta</v>
          </cell>
          <cell r="M370" t="str">
            <v>GA</v>
          </cell>
          <cell r="N370" t="str">
            <v>US</v>
          </cell>
          <cell r="O370" t="str">
            <v>30349</v>
          </cell>
        </row>
        <row r="371">
          <cell r="A371" t="str">
            <v>MCO1-WALMART</v>
          </cell>
          <cell r="B371" t="str">
            <v>MCO1-WALMART</v>
          </cell>
        </row>
        <row r="371">
          <cell r="D371" t="str">
            <v>MCO1-WALMART</v>
          </cell>
          <cell r="E371" t="str">
            <v>MCO1</v>
          </cell>
          <cell r="F371" t="str">
            <v>Walmart</v>
          </cell>
          <cell r="G371" t="str">
            <v>0000000000</v>
          </cell>
        </row>
        <row r="371">
          <cell r="I371" t="str">
            <v>5100 NORTH RIDGE TRAIL</v>
          </cell>
        </row>
        <row r="371">
          <cell r="L371" t="str">
            <v>DAVENPORT</v>
          </cell>
          <cell r="M371" t="str">
            <v>FL</v>
          </cell>
          <cell r="N371" t="str">
            <v>US</v>
          </cell>
          <cell r="O371" t="str">
            <v>33897</v>
          </cell>
        </row>
        <row r="372">
          <cell r="A372" t="str">
            <v>MEM1S-WALMART</v>
          </cell>
          <cell r="B372" t="str">
            <v>MEM1S-WALMART</v>
          </cell>
        </row>
        <row r="372">
          <cell r="D372" t="str">
            <v>MEM1S-WALMART</v>
          </cell>
          <cell r="E372" t="str">
            <v>MEM1s</v>
          </cell>
          <cell r="F372" t="str">
            <v>Walmart</v>
          </cell>
          <cell r="G372" t="str">
            <v>0000000000</v>
          </cell>
        </row>
        <row r="372">
          <cell r="I372" t="str">
            <v>10480 Marina Drive</v>
          </cell>
        </row>
        <row r="372">
          <cell r="L372" t="str">
            <v>Olive Branch</v>
          </cell>
          <cell r="M372" t="str">
            <v>MS</v>
          </cell>
          <cell r="N372" t="str">
            <v>US</v>
          </cell>
          <cell r="O372" t="str">
            <v>38654</v>
          </cell>
        </row>
        <row r="373">
          <cell r="A373" t="str">
            <v>ATL8</v>
          </cell>
          <cell r="B373" t="str">
            <v>ATL8</v>
          </cell>
        </row>
        <row r="373">
          <cell r="D373" t="str">
            <v>ATL8</v>
          </cell>
          <cell r="E373" t="str">
            <v>ATL8</v>
          </cell>
          <cell r="F373" t="str">
            <v>AMAZON</v>
          </cell>
          <cell r="G373" t="str">
            <v>0000000000</v>
          </cell>
        </row>
        <row r="373">
          <cell r="I373" t="str">
            <v>2201 Thornton Road</v>
          </cell>
        </row>
        <row r="373">
          <cell r="L373" t="str">
            <v>Lithia Springs</v>
          </cell>
          <cell r="M373" t="str">
            <v>GA</v>
          </cell>
          <cell r="N373" t="str">
            <v>US</v>
          </cell>
          <cell r="O373" t="str">
            <v>30122</v>
          </cell>
        </row>
        <row r="374">
          <cell r="A374" t="str">
            <v>JAX3</v>
          </cell>
          <cell r="B374" t="str">
            <v>JAX3</v>
          </cell>
        </row>
        <row r="374">
          <cell r="D374" t="str">
            <v>JAX3</v>
          </cell>
          <cell r="E374" t="str">
            <v>JAX3</v>
          </cell>
          <cell r="F374" t="str">
            <v>AMAZON</v>
          </cell>
          <cell r="G374" t="str">
            <v>0000000000</v>
          </cell>
        </row>
        <row r="374">
          <cell r="I374" t="str">
            <v>13333 103rd Street</v>
          </cell>
        </row>
        <row r="374">
          <cell r="L374" t="str">
            <v>Jacksonville</v>
          </cell>
          <cell r="M374" t="str">
            <v>FL</v>
          </cell>
          <cell r="N374" t="str">
            <v>US</v>
          </cell>
          <cell r="O374" t="str">
            <v>32210</v>
          </cell>
        </row>
        <row r="375">
          <cell r="A375" t="str">
            <v>MCO2</v>
          </cell>
          <cell r="B375" t="str">
            <v>MCO2</v>
          </cell>
        </row>
        <row r="375">
          <cell r="D375" t="str">
            <v>MCO2</v>
          </cell>
          <cell r="E375" t="str">
            <v>MCO2</v>
          </cell>
          <cell r="F375" t="str">
            <v>AMAZON</v>
          </cell>
          <cell r="G375" t="str">
            <v>0000000000</v>
          </cell>
        </row>
        <row r="375">
          <cell r="I375" t="str">
            <v>2600 N Normandy Blvd</v>
          </cell>
        </row>
        <row r="375">
          <cell r="L375" t="str">
            <v>Deltona</v>
          </cell>
          <cell r="M375" t="str">
            <v>FL</v>
          </cell>
          <cell r="N375" t="str">
            <v>US</v>
          </cell>
          <cell r="O375" t="str">
            <v>32725</v>
          </cell>
        </row>
        <row r="376">
          <cell r="A376" t="str">
            <v>SAV3</v>
          </cell>
          <cell r="B376" t="str">
            <v>SAV3</v>
          </cell>
        </row>
        <row r="376">
          <cell r="D376" t="str">
            <v>SAV3</v>
          </cell>
          <cell r="E376" t="str">
            <v>SAV3</v>
          </cell>
          <cell r="F376" t="str">
            <v>AMAZON</v>
          </cell>
          <cell r="G376" t="str">
            <v>0000000000</v>
          </cell>
        </row>
        <row r="376">
          <cell r="I376" t="str">
            <v>7001 Skipper Rd</v>
          </cell>
        </row>
        <row r="376">
          <cell r="L376" t="str">
            <v>Macon</v>
          </cell>
          <cell r="M376" t="str">
            <v>GA</v>
          </cell>
          <cell r="N376" t="str">
            <v>US</v>
          </cell>
          <cell r="O376" t="str">
            <v>31216</v>
          </cell>
        </row>
        <row r="377">
          <cell r="A377" t="str">
            <v>TPA2</v>
          </cell>
          <cell r="B377" t="str">
            <v>TPA2</v>
          </cell>
        </row>
        <row r="377">
          <cell r="D377" t="str">
            <v>TPA2</v>
          </cell>
          <cell r="E377" t="str">
            <v>TPA2</v>
          </cell>
          <cell r="F377" t="str">
            <v>AMAZON</v>
          </cell>
          <cell r="G377" t="str">
            <v>0000000000</v>
          </cell>
        </row>
        <row r="377">
          <cell r="I377" t="str">
            <v>1760 County Line Rd</v>
          </cell>
        </row>
        <row r="377">
          <cell r="L377" t="str">
            <v>Lakeland</v>
          </cell>
          <cell r="M377" t="str">
            <v>FL</v>
          </cell>
          <cell r="N377" t="str">
            <v>US</v>
          </cell>
          <cell r="O377" t="str">
            <v>33811</v>
          </cell>
        </row>
        <row r="378">
          <cell r="A378" t="str">
            <v>TPA3</v>
          </cell>
          <cell r="B378" t="str">
            <v>TPA3</v>
          </cell>
        </row>
        <row r="378">
          <cell r="D378" t="str">
            <v>TPA3</v>
          </cell>
          <cell r="E378" t="str">
            <v>TPA3</v>
          </cell>
          <cell r="F378" t="str">
            <v>AMAZON</v>
          </cell>
          <cell r="G378" t="str">
            <v>0000000000</v>
          </cell>
        </row>
        <row r="378">
          <cell r="I378" t="str">
            <v>676 C Fred Jones Blvd</v>
          </cell>
        </row>
        <row r="378">
          <cell r="L378" t="str">
            <v>Auburndale</v>
          </cell>
          <cell r="M378" t="str">
            <v>FL</v>
          </cell>
          <cell r="N378" t="str">
            <v>US</v>
          </cell>
          <cell r="O378" t="str">
            <v>33823</v>
          </cell>
        </row>
        <row r="379">
          <cell r="A379" t="str">
            <v>RDU2</v>
          </cell>
          <cell r="B379" t="str">
            <v>RDU2</v>
          </cell>
        </row>
        <row r="379">
          <cell r="D379" t="str">
            <v>RDU2</v>
          </cell>
          <cell r="E379" t="str">
            <v>RDU2</v>
          </cell>
          <cell r="F379" t="str">
            <v>AMAZON</v>
          </cell>
          <cell r="G379" t="str">
            <v>0000000000</v>
          </cell>
        </row>
        <row r="379">
          <cell r="I379" t="str">
            <v>2150 US HWY 70 Business West</v>
          </cell>
        </row>
        <row r="379">
          <cell r="L379" t="str">
            <v>Smithfield</v>
          </cell>
          <cell r="M379" t="str">
            <v>NC</v>
          </cell>
          <cell r="N379" t="str">
            <v>US</v>
          </cell>
          <cell r="O379" t="str">
            <v>27577</v>
          </cell>
        </row>
        <row r="380">
          <cell r="B380" t="str">
            <v>私人地址</v>
          </cell>
        </row>
        <row r="380">
          <cell r="D380" t="str">
            <v>私人地址</v>
          </cell>
          <cell r="E380" t="str">
            <v>请您自行填写</v>
          </cell>
          <cell r="F380" t="str">
            <v>请您自行填写</v>
          </cell>
          <cell r="G380" t="str">
            <v>请您自行填写</v>
          </cell>
        </row>
        <row r="380">
          <cell r="I380" t="str">
            <v>请您自行填写</v>
          </cell>
        </row>
        <row r="380">
          <cell r="L380" t="str">
            <v>请您自行填写</v>
          </cell>
          <cell r="M380" t="str">
            <v>请您自行填写</v>
          </cell>
          <cell r="N380" t="str">
            <v>US</v>
          </cell>
          <cell r="O380" t="str">
            <v>请您自行填写</v>
          </cell>
        </row>
        <row r="381">
          <cell r="A381" t="str">
            <v>POC1</v>
          </cell>
          <cell r="B381" t="str">
            <v>POC1</v>
          </cell>
        </row>
        <row r="381">
          <cell r="D381" t="str">
            <v>POC1</v>
          </cell>
          <cell r="E381" t="str">
            <v>POC1</v>
          </cell>
          <cell r="F381" t="str">
            <v>AMAZON</v>
          </cell>
          <cell r="G381" t="str">
            <v>0000000000</v>
          </cell>
        </row>
        <row r="381">
          <cell r="I381" t="str">
            <v>4121 Lytle Creek Rd</v>
          </cell>
        </row>
        <row r="381">
          <cell r="L381" t="str">
            <v>Fontana</v>
          </cell>
          <cell r="M381" t="str">
            <v>CA</v>
          </cell>
          <cell r="N381" t="str">
            <v>US</v>
          </cell>
          <cell r="O381" t="str">
            <v>92336</v>
          </cell>
        </row>
        <row r="382">
          <cell r="A382" t="str">
            <v>POC2</v>
          </cell>
          <cell r="B382" t="str">
            <v>POC2</v>
          </cell>
        </row>
        <row r="382">
          <cell r="D382" t="str">
            <v>POC2</v>
          </cell>
          <cell r="E382" t="str">
            <v>POC2</v>
          </cell>
          <cell r="F382" t="str">
            <v>AMAZON</v>
          </cell>
          <cell r="G382" t="str">
            <v>0000000000</v>
          </cell>
        </row>
        <row r="382">
          <cell r="I382" t="str">
            <v>4000 Hamner Ave</v>
          </cell>
        </row>
        <row r="382">
          <cell r="L382" t="str">
            <v>Ontario</v>
          </cell>
          <cell r="M382" t="str">
            <v>CA</v>
          </cell>
          <cell r="N382" t="str">
            <v>US</v>
          </cell>
          <cell r="O382" t="str">
            <v>91761</v>
          </cell>
        </row>
        <row r="383">
          <cell r="A383" t="str">
            <v>HLI2-FEDEX</v>
          </cell>
          <cell r="B383" t="str">
            <v>HLI2-FEDEX</v>
          </cell>
        </row>
        <row r="383">
          <cell r="D383" t="str">
            <v>HLI2-FEDEX</v>
          </cell>
          <cell r="E383" t="str">
            <v>HLI2</v>
          </cell>
          <cell r="F383" t="str">
            <v>AMAZON</v>
          </cell>
          <cell r="G383" t="str">
            <v>0000000000</v>
          </cell>
        </row>
        <row r="383">
          <cell r="I383" t="str">
            <v>600 Ernie Drive</v>
          </cell>
        </row>
        <row r="383">
          <cell r="L383" t="str">
            <v>Hollister</v>
          </cell>
          <cell r="M383" t="str">
            <v>CA</v>
          </cell>
          <cell r="N383" t="str">
            <v>US</v>
          </cell>
          <cell r="O383" t="str">
            <v>95023</v>
          </cell>
        </row>
        <row r="384">
          <cell r="A384" t="str">
            <v>TCY2</v>
          </cell>
          <cell r="B384" t="str">
            <v>TCY2</v>
          </cell>
        </row>
        <row r="384">
          <cell r="D384" t="str">
            <v>TCY2</v>
          </cell>
          <cell r="E384" t="str">
            <v>TCY2</v>
          </cell>
          <cell r="F384" t="str">
            <v>AMAZON</v>
          </cell>
          <cell r="G384" t="str">
            <v>0000000000</v>
          </cell>
        </row>
        <row r="384">
          <cell r="I384" t="str">
            <v>6201 Newcastle Rd</v>
          </cell>
        </row>
        <row r="384">
          <cell r="L384" t="str">
            <v>STOCKTON</v>
          </cell>
          <cell r="M384" t="str">
            <v>CA</v>
          </cell>
          <cell r="N384" t="str">
            <v>US</v>
          </cell>
          <cell r="O384" t="str">
            <v>95215</v>
          </cell>
        </row>
        <row r="385">
          <cell r="A385" t="str">
            <v>IND2T-WALMART</v>
          </cell>
          <cell r="B385" t="str">
            <v>IND2T-WALMART</v>
          </cell>
        </row>
        <row r="385">
          <cell r="D385" t="str">
            <v>IND2T</v>
          </cell>
          <cell r="E385" t="str">
            <v>IND2T</v>
          </cell>
          <cell r="F385" t="str">
            <v>Walmart</v>
          </cell>
          <cell r="G385" t="str">
            <v>0000000000</v>
          </cell>
        </row>
        <row r="385">
          <cell r="I385" t="str">
            <v>6730 Kimball Ave</v>
          </cell>
        </row>
        <row r="385">
          <cell r="L385" t="str">
            <v>Chino</v>
          </cell>
          <cell r="M385" t="str">
            <v>CA</v>
          </cell>
          <cell r="N385" t="str">
            <v>US</v>
          </cell>
          <cell r="O385" t="str">
            <v>91708</v>
          </cell>
        </row>
        <row r="386">
          <cell r="A386" t="str">
            <v>IND2N-WALMART</v>
          </cell>
          <cell r="B386" t="str">
            <v>IND2N-WALMART</v>
          </cell>
        </row>
        <row r="386">
          <cell r="D386" t="str">
            <v>IND2N</v>
          </cell>
          <cell r="E386" t="str">
            <v>IND2N</v>
          </cell>
          <cell r="F386" t="str">
            <v>Walmart</v>
          </cell>
          <cell r="G386" t="str">
            <v>0000000000</v>
          </cell>
        </row>
        <row r="386">
          <cell r="I386" t="str">
            <v>6730 Kimball Ave</v>
          </cell>
        </row>
        <row r="386">
          <cell r="L386" t="str">
            <v>Chino</v>
          </cell>
          <cell r="M386" t="str">
            <v>CA</v>
          </cell>
          <cell r="N386" t="str">
            <v>US</v>
          </cell>
          <cell r="O386" t="str">
            <v>91708</v>
          </cell>
        </row>
        <row r="387">
          <cell r="A387" t="str">
            <v>ORD1s-WALMART</v>
          </cell>
          <cell r="B387" t="str">
            <v>ORD1S-WALMART</v>
          </cell>
        </row>
        <row r="387">
          <cell r="D387" t="str">
            <v>ORD1s</v>
          </cell>
          <cell r="E387" t="str">
            <v>ORD1s</v>
          </cell>
          <cell r="F387" t="str">
            <v>Walmart</v>
          </cell>
          <cell r="G387" t="str">
            <v>0000000000</v>
          </cell>
        </row>
        <row r="387">
          <cell r="I387" t="str">
            <v>3501 Brandon Road</v>
          </cell>
        </row>
        <row r="387">
          <cell r="L387" t="str">
            <v>Joliet</v>
          </cell>
          <cell r="M387" t="str">
            <v>IL</v>
          </cell>
          <cell r="N387" t="str">
            <v>US</v>
          </cell>
          <cell r="O387" t="str">
            <v>60436</v>
          </cell>
        </row>
        <row r="388">
          <cell r="A388" t="str">
            <v>MCI1n-WALMART</v>
          </cell>
          <cell r="B388" t="str">
            <v>MCI1N-WALMART</v>
          </cell>
        </row>
        <row r="388">
          <cell r="D388" t="str">
            <v>MCI1n</v>
          </cell>
          <cell r="E388" t="str">
            <v>MCI1n</v>
          </cell>
          <cell r="F388" t="str">
            <v>Walmart</v>
          </cell>
          <cell r="G388" t="str">
            <v>0000000000</v>
          </cell>
        </row>
        <row r="388">
          <cell r="I388" t="str">
            <v>1303 Sw Innovation Pkway</v>
          </cell>
        </row>
        <row r="388">
          <cell r="L388" t="str">
            <v>Topeka</v>
          </cell>
          <cell r="M388" t="str">
            <v>KS</v>
          </cell>
          <cell r="N388" t="str">
            <v>US</v>
          </cell>
          <cell r="O388" t="str">
            <v>66619</v>
          </cell>
        </row>
        <row r="389">
          <cell r="A389" t="str">
            <v>IUSF</v>
          </cell>
          <cell r="B389" t="str">
            <v>IUSF</v>
          </cell>
        </row>
        <row r="389">
          <cell r="D389" t="str">
            <v>IUSF</v>
          </cell>
          <cell r="E389" t="str">
            <v>IUSF</v>
          </cell>
          <cell r="F389" t="str">
            <v>Amazon</v>
          </cell>
          <cell r="G389" t="str">
            <v>0000000000</v>
          </cell>
        </row>
        <row r="389">
          <cell r="I389" t="str">
            <v>3351 Balmorhea Dr</v>
          </cell>
        </row>
        <row r="389">
          <cell r="L389" t="str">
            <v>Dallas</v>
          </cell>
          <cell r="M389" t="str">
            <v>TX</v>
          </cell>
          <cell r="N389" t="str">
            <v>US</v>
          </cell>
          <cell r="O389" t="str">
            <v>75241</v>
          </cell>
        </row>
        <row r="390">
          <cell r="A390" t="str">
            <v>TCY1</v>
          </cell>
          <cell r="B390" t="str">
            <v>TCY1</v>
          </cell>
        </row>
        <row r="390">
          <cell r="D390" t="str">
            <v>TCY1</v>
          </cell>
          <cell r="E390" t="str">
            <v>TCY1</v>
          </cell>
          <cell r="F390" t="str">
            <v>Amazon</v>
          </cell>
          <cell r="G390" t="str">
            <v>0000000000</v>
          </cell>
        </row>
        <row r="390">
          <cell r="I390" t="str">
            <v>2690 East Arch Airport Road</v>
          </cell>
        </row>
        <row r="390">
          <cell r="L390" t="str">
            <v>STOCKTON</v>
          </cell>
          <cell r="M390" t="str">
            <v>CA</v>
          </cell>
          <cell r="N390" t="str">
            <v>US</v>
          </cell>
          <cell r="O390" t="str">
            <v>95206</v>
          </cell>
        </row>
        <row r="391">
          <cell r="A391" t="str">
            <v>PPO4-FEDEX</v>
          </cell>
          <cell r="B391" t="str">
            <v>PPO4-FEDEX</v>
          </cell>
        </row>
        <row r="391">
          <cell r="D391" t="str">
            <v>PPO4-FEDEX</v>
          </cell>
          <cell r="E391" t="str">
            <v>PPO4</v>
          </cell>
          <cell r="F391" t="str">
            <v>AMAZON</v>
          </cell>
          <cell r="G391" t="str">
            <v>0000000000</v>
          </cell>
        </row>
        <row r="391">
          <cell r="I391" t="str">
            <v>9850 Mississippi Street</v>
          </cell>
        </row>
        <row r="391">
          <cell r="L391" t="str">
            <v>Merrillville</v>
          </cell>
          <cell r="M391" t="str">
            <v>IN</v>
          </cell>
          <cell r="N391" t="str">
            <v>US</v>
          </cell>
          <cell r="O391" t="str">
            <v>46410</v>
          </cell>
        </row>
        <row r="392">
          <cell r="A392" t="str">
            <v>HLI2-UPS</v>
          </cell>
          <cell r="B392" t="str">
            <v>HLI2-UPS</v>
          </cell>
        </row>
        <row r="392">
          <cell r="D392" t="str">
            <v>HLI2-UPS</v>
          </cell>
          <cell r="E392" t="str">
            <v>HLI2</v>
          </cell>
          <cell r="F392" t="str">
            <v>Amazon</v>
          </cell>
          <cell r="G392" t="str">
            <v>0000000000</v>
          </cell>
        </row>
        <row r="392">
          <cell r="I392" t="str">
            <v>8410 Pardee Dr</v>
          </cell>
        </row>
        <row r="392">
          <cell r="L392" t="str">
            <v>Oakland</v>
          </cell>
          <cell r="M392" t="str">
            <v>CA</v>
          </cell>
          <cell r="N392" t="str">
            <v>US</v>
          </cell>
          <cell r="O392" t="str">
            <v>94621</v>
          </cell>
        </row>
        <row r="393">
          <cell r="A393" t="str">
            <v>POC3-UPS</v>
          </cell>
          <cell r="B393" t="str">
            <v>POC3-UPS</v>
          </cell>
        </row>
        <row r="393">
          <cell r="D393" t="str">
            <v>POC3-UPS</v>
          </cell>
          <cell r="E393" t="str">
            <v>POC3</v>
          </cell>
          <cell r="F393" t="str">
            <v>Amazon</v>
          </cell>
          <cell r="G393" t="str">
            <v>0000000000</v>
          </cell>
        </row>
        <row r="393">
          <cell r="I393" t="str">
            <v>6120 Clinker Dr</v>
          </cell>
        </row>
        <row r="393">
          <cell r="L393" t="str">
            <v>Riverside</v>
          </cell>
          <cell r="M393" t="str">
            <v>CA</v>
          </cell>
          <cell r="N393" t="str">
            <v>US</v>
          </cell>
          <cell r="O393" t="str">
            <v>92508</v>
          </cell>
        </row>
        <row r="394">
          <cell r="A394" t="str">
            <v>POC3-FEDEX</v>
          </cell>
          <cell r="B394" t="str">
            <v>POC3-FEDEX</v>
          </cell>
        </row>
        <row r="394">
          <cell r="D394" t="str">
            <v>POC3-FEDEX</v>
          </cell>
          <cell r="E394" t="str">
            <v>POC3</v>
          </cell>
          <cell r="F394" t="str">
            <v>AMAZON</v>
          </cell>
          <cell r="G394" t="str">
            <v>0000000000</v>
          </cell>
        </row>
        <row r="394">
          <cell r="I394" t="str">
            <v>6120 Clinker Drive</v>
          </cell>
        </row>
        <row r="394">
          <cell r="L394" t="str">
            <v>Jurupa Valley</v>
          </cell>
          <cell r="M394" t="str">
            <v>CA</v>
          </cell>
          <cell r="N394" t="str">
            <v>US</v>
          </cell>
          <cell r="O394" t="str">
            <v>92509</v>
          </cell>
        </row>
      </sheetData>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REF!"/>
      <sheetName val="SZ.UPS区域表(区域排序)"/>
      <sheetName val="SZ.UPS华南内部价（暂不公布）"/>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Shipments - lb total"/>
      <sheetName val="Shipments - kg total"/>
      <sheetName val="Approved Discts-kg"/>
      <sheetName val="Code"/>
      <sheetName val="Customer Distribution List"/>
      <sheetName val="挂号 HKDGM-BQ 旧"/>
      <sheetName val="挂号 HKDGM-UDF新"/>
      <sheetName val="Express"/>
      <sheetName val="Expedited"/>
      <sheetName val="2004 Rate Lookup"/>
      <sheetName val="2005 Rate Lookup"/>
      <sheetName val="Summary Import"/>
      <sheetName val="Shipment data import"/>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0000000"/>
      <sheetName val="BLANK"/>
      <sheetName val="Conversion data"/>
      <sheetName val="doc"/>
      <sheetName val="nondoc"/>
      <sheetName val="WBs"/>
      <sheetName val="AU Cover Sheet"/>
      <sheetName val="VAS"/>
      <sheetName val="_OB_9.00"/>
      <sheetName val="_OB_12.00"/>
      <sheetName val="AU_OB_LCY"/>
      <sheetName val="AU_OB_Zone"/>
      <sheetName val="_IB_9.00"/>
      <sheetName val="_IB_12.00"/>
      <sheetName val="AU_IB_LCY"/>
      <sheetName val="AU_IB_Zone"/>
      <sheetName val="_DOM_9.00"/>
      <sheetName val="_DOM_12.00"/>
      <sheetName val="_DOM_LCY"/>
      <sheetName val="DOM_Zone"/>
      <sheetName val="_OB_ESI"/>
      <sheetName val="Export_ESI_Zone"/>
      <sheetName val="_IB_ESI"/>
      <sheetName val="Import_ESI_Zone"/>
      <sheetName val="_DOM_ESI"/>
      <sheetName val="Dom_ESI_Zone"/>
      <sheetName val="Terms and Conditions"/>
      <sheetName val="Country List"/>
      <sheetName val="country_list"/>
      <sheetName val="Tariff_Selection"/>
      <sheetName val="L"/>
      <sheetName val="WB"/>
      <sheetName val="MMM New "/>
      <sheetName val="Current Costs"/>
      <sheetName val="Current Cost Card $"/>
      <sheetName val="Current Margin card %"/>
      <sheetName val="Graph"/>
      <sheetName val="New Costs"/>
      <sheetName val="New Cost Card $"/>
      <sheetName val="New Margin card % "/>
      <sheetName val="Contract Rates"/>
      <sheetName val="Contract Rates Schedule"/>
      <sheetName val="Discount"/>
      <sheetName val="New Margin card %"/>
      <sheetName val="Module1"/>
      <sheetName val="Module2"/>
      <sheetName val="Module3"/>
      <sheetName val="Module4"/>
      <sheetName val="Module5"/>
      <sheetName val="Sheet2"/>
      <sheetName val="Sheet3"/>
      <sheetName val="Module6"/>
      <sheetName val="Module7"/>
      <sheetName val="Module8"/>
      <sheetName val="SGTRM98"/>
      <sheetName val="SPOT-POP_Request_Form"/>
      <sheetName val="AP HW - autofill form"/>
      <sheetName val="lookups"/>
      <sheetName val="Heavy Weight Oversize Set Up"/>
      <sheetName val="AM_SSC_Spot_Rate_Request_Form"/>
      <sheetName val="IATA Code Listing"/>
      <sheetName val="base"/>
      <sheetName val="Min&amp;Inc"/>
      <sheetName val="TDD DOX"/>
      <sheetName val="TDD WPX"/>
      <sheetName val="Adder_base"/>
      <sheetName val="Ref"/>
      <sheetName val="Pov"/>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kytuo.nextsls.com/tracking/app"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hyperlink" Target="https://hts.usitc.gov/"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sheetPr>
  <dimension ref="A1:H54"/>
  <sheetViews>
    <sheetView showGridLines="0" tabSelected="1" workbookViewId="0">
      <selection activeCell="M13" sqref="M13"/>
    </sheetView>
  </sheetViews>
  <sheetFormatPr defaultColWidth="9.725" defaultRowHeight="21" customHeight="1" outlineLevelCol="7"/>
  <cols>
    <col min="1" max="1" width="10.5083333333333" style="543" customWidth="1"/>
    <col min="2" max="2" width="15.6333333333333" style="543" customWidth="1"/>
    <col min="3" max="3" width="27.75" style="543" customWidth="1"/>
    <col min="4" max="5" width="14.375" style="543" customWidth="1"/>
    <col min="6" max="6" width="54.625" style="543" customWidth="1"/>
    <col min="7" max="7" width="14.375" style="543" customWidth="1"/>
    <col min="8" max="8" width="16.625" style="544" customWidth="1"/>
    <col min="9" max="244" width="5" style="543" customWidth="1"/>
    <col min="245" max="245" width="5" style="543"/>
    <col min="246" max="16384" width="9.725" style="543"/>
  </cols>
  <sheetData>
    <row r="1" ht="48" customHeight="1" spans="1:8">
      <c r="A1" s="545"/>
      <c r="B1" s="546" t="s">
        <v>0</v>
      </c>
      <c r="C1" s="546"/>
      <c r="D1" s="546"/>
      <c r="E1" s="546"/>
      <c r="F1" s="546"/>
      <c r="G1" s="546"/>
      <c r="H1" s="546"/>
    </row>
    <row r="2" ht="27" customHeight="1" spans="1:8">
      <c r="B2" s="547"/>
      <c r="C2" s="547"/>
      <c r="D2" s="547"/>
      <c r="E2" s="547"/>
      <c r="F2" s="547"/>
      <c r="G2" s="547"/>
      <c r="H2" s="547"/>
    </row>
    <row r="3" ht="29" customHeight="1" spans="1:8">
      <c r="B3" s="548" t="s">
        <v>1</v>
      </c>
      <c r="C3" s="548" t="s">
        <v>2</v>
      </c>
      <c r="D3" s="370" t="s">
        <v>3</v>
      </c>
      <c r="E3" s="370" t="s">
        <v>4</v>
      </c>
      <c r="F3" s="370" t="s">
        <v>5</v>
      </c>
      <c r="G3" s="370" t="s">
        <v>6</v>
      </c>
      <c r="H3" s="370" t="s">
        <v>7</v>
      </c>
    </row>
    <row r="4" ht="28" customHeight="1" spans="1:8">
      <c r="B4" s="549" t="s">
        <v>8</v>
      </c>
      <c r="C4" s="550" t="s">
        <v>9</v>
      </c>
      <c r="D4" s="551" t="s">
        <v>10</v>
      </c>
      <c r="E4" s="552" t="s">
        <v>11</v>
      </c>
      <c r="F4" s="553" t="s">
        <v>12</v>
      </c>
      <c r="G4" s="554" t="s">
        <v>13</v>
      </c>
      <c r="H4" s="555">
        <v>46112</v>
      </c>
    </row>
    <row r="5" ht="28" customHeight="1" spans="1:8">
      <c r="B5" s="549"/>
      <c r="C5" s="556" t="s">
        <v>14</v>
      </c>
      <c r="D5" s="551" t="s">
        <v>10</v>
      </c>
      <c r="E5" s="552" t="s">
        <v>11</v>
      </c>
      <c r="F5" s="553" t="s">
        <v>15</v>
      </c>
      <c r="G5" s="554" t="s">
        <v>13</v>
      </c>
      <c r="H5" s="555">
        <v>46112</v>
      </c>
    </row>
    <row r="6" ht="28" customHeight="1" spans="1:8">
      <c r="B6" s="549"/>
      <c r="C6" s="470" t="s">
        <v>16</v>
      </c>
      <c r="D6" s="557" t="s">
        <v>10</v>
      </c>
      <c r="E6" s="558" t="s">
        <v>11</v>
      </c>
      <c r="F6" s="559" t="s">
        <v>15</v>
      </c>
      <c r="G6" s="554" t="s">
        <v>13</v>
      </c>
      <c r="H6" s="555">
        <v>46112</v>
      </c>
    </row>
    <row r="7" ht="28" customHeight="1" spans="1:8">
      <c r="B7" s="549"/>
      <c r="C7" s="556" t="s">
        <v>17</v>
      </c>
      <c r="D7" s="551" t="s">
        <v>10</v>
      </c>
      <c r="E7" s="552" t="s">
        <v>11</v>
      </c>
      <c r="F7" s="553" t="s">
        <v>18</v>
      </c>
      <c r="G7" s="554" t="s">
        <v>13</v>
      </c>
      <c r="H7" s="555">
        <v>46112</v>
      </c>
    </row>
    <row r="8" ht="28" customHeight="1" spans="1:8">
      <c r="B8" s="549"/>
      <c r="C8" s="470" t="s">
        <v>19</v>
      </c>
      <c r="D8" s="551" t="s">
        <v>10</v>
      </c>
      <c r="E8" s="552" t="s">
        <v>11</v>
      </c>
      <c r="F8" s="553" t="s">
        <v>18</v>
      </c>
      <c r="G8" s="554" t="s">
        <v>13</v>
      </c>
      <c r="H8" s="555">
        <v>46112</v>
      </c>
    </row>
    <row r="9" ht="28" customHeight="1" spans="1:8">
      <c r="B9" s="549"/>
      <c r="C9" s="470" t="s">
        <v>20</v>
      </c>
      <c r="D9" s="557" t="s">
        <v>10</v>
      </c>
      <c r="E9" s="558" t="s">
        <v>11</v>
      </c>
      <c r="F9" s="559" t="s">
        <v>21</v>
      </c>
      <c r="G9" s="554" t="s">
        <v>13</v>
      </c>
      <c r="H9" s="555">
        <v>46112</v>
      </c>
    </row>
    <row r="10" ht="28" customHeight="1" spans="1:8">
      <c r="B10" s="549"/>
      <c r="C10" s="470" t="s">
        <v>22</v>
      </c>
      <c r="D10" s="557" t="s">
        <v>10</v>
      </c>
      <c r="E10" s="558" t="s">
        <v>11</v>
      </c>
      <c r="F10" s="559" t="s">
        <v>23</v>
      </c>
      <c r="G10" s="554" t="s">
        <v>13</v>
      </c>
      <c r="H10" s="555">
        <v>46112</v>
      </c>
    </row>
    <row r="11" ht="28" customHeight="1" spans="1:8">
      <c r="B11" s="549"/>
      <c r="C11" s="470" t="s">
        <v>24</v>
      </c>
      <c r="D11" s="557" t="s">
        <v>10</v>
      </c>
      <c r="E11" s="558" t="s">
        <v>11</v>
      </c>
      <c r="F11" s="559" t="s">
        <v>25</v>
      </c>
      <c r="G11" s="554" t="s">
        <v>13</v>
      </c>
      <c r="H11" s="555">
        <v>46112</v>
      </c>
    </row>
    <row r="12" ht="28" customHeight="1" spans="1:8">
      <c r="B12" s="560" t="s">
        <v>26</v>
      </c>
      <c r="C12" s="550" t="s">
        <v>27</v>
      </c>
      <c r="D12" s="551" t="s">
        <v>10</v>
      </c>
      <c r="E12" s="561" t="s">
        <v>28</v>
      </c>
      <c r="F12" s="562" t="s">
        <v>29</v>
      </c>
      <c r="G12" s="554" t="s">
        <v>13</v>
      </c>
      <c r="H12" s="555">
        <v>46112</v>
      </c>
    </row>
    <row r="13" ht="28" customHeight="1" spans="1:8">
      <c r="B13" s="549"/>
      <c r="C13" s="556" t="s">
        <v>30</v>
      </c>
      <c r="D13" s="551" t="s">
        <v>10</v>
      </c>
      <c r="E13" s="561" t="s">
        <v>28</v>
      </c>
      <c r="F13" s="562" t="s">
        <v>31</v>
      </c>
      <c r="G13" s="554" t="s">
        <v>13</v>
      </c>
      <c r="H13" s="555">
        <v>46112</v>
      </c>
    </row>
    <row r="14" ht="28" customHeight="1" spans="1:8">
      <c r="B14" s="549"/>
      <c r="C14" s="556" t="s">
        <v>32</v>
      </c>
      <c r="D14" s="551" t="s">
        <v>10</v>
      </c>
      <c r="E14" s="561" t="s">
        <v>28</v>
      </c>
      <c r="F14" s="562" t="s">
        <v>33</v>
      </c>
      <c r="G14" s="554" t="s">
        <v>13</v>
      </c>
      <c r="H14" s="555">
        <v>46112</v>
      </c>
    </row>
    <row r="15" ht="28" customHeight="1" spans="1:8">
      <c r="B15" s="549"/>
      <c r="C15" s="470" t="s">
        <v>34</v>
      </c>
      <c r="D15" s="551" t="s">
        <v>10</v>
      </c>
      <c r="E15" s="561" t="s">
        <v>28</v>
      </c>
      <c r="F15" s="562" t="s">
        <v>33</v>
      </c>
      <c r="G15" s="554" t="s">
        <v>13</v>
      </c>
      <c r="H15" s="555">
        <v>46112</v>
      </c>
    </row>
    <row r="16" ht="28" customHeight="1" spans="1:8">
      <c r="B16" s="549"/>
      <c r="C16" s="556" t="s">
        <v>35</v>
      </c>
      <c r="D16" s="551" t="s">
        <v>10</v>
      </c>
      <c r="E16" s="561" t="s">
        <v>28</v>
      </c>
      <c r="F16" s="553" t="s">
        <v>36</v>
      </c>
      <c r="G16" s="554" t="s">
        <v>13</v>
      </c>
      <c r="H16" s="555">
        <v>46112</v>
      </c>
    </row>
    <row r="17" ht="28" customHeight="1" spans="2:8">
      <c r="B17" s="563"/>
      <c r="C17" s="564" t="s">
        <v>37</v>
      </c>
      <c r="D17" s="551" t="s">
        <v>10</v>
      </c>
      <c r="E17" s="552" t="s">
        <v>38</v>
      </c>
      <c r="F17" s="553" t="s">
        <v>39</v>
      </c>
      <c r="G17" s="554"/>
      <c r="H17" s="555">
        <v>46112</v>
      </c>
    </row>
    <row r="18" ht="32" customHeight="1" spans="2:8">
      <c r="B18" s="565" t="s">
        <v>40</v>
      </c>
      <c r="C18" s="550" t="s">
        <v>41</v>
      </c>
      <c r="D18" s="551" t="s">
        <v>10</v>
      </c>
      <c r="E18" s="552" t="s">
        <v>42</v>
      </c>
      <c r="F18" s="553" t="s">
        <v>43</v>
      </c>
      <c r="G18" s="554"/>
      <c r="H18" s="555">
        <v>46112</v>
      </c>
    </row>
    <row r="20" s="170" customFormat="1" customHeight="1" spans="2:8">
      <c r="D20" s="566"/>
    </row>
    <row r="21" ht="30" customHeight="1" spans="2:8">
      <c r="B21" s="193" t="s">
        <v>44</v>
      </c>
      <c r="C21" s="567" t="s">
        <v>45</v>
      </c>
      <c r="D21" s="551" t="s">
        <v>10</v>
      </c>
      <c r="E21" s="552" t="s">
        <v>38</v>
      </c>
      <c r="F21" s="568" t="s">
        <v>46</v>
      </c>
      <c r="G21" s="554"/>
      <c r="H21" s="555">
        <v>46112</v>
      </c>
    </row>
    <row r="22" ht="27" customHeight="1" spans="2:8">
      <c r="B22" s="233"/>
      <c r="C22" s="569" t="s">
        <v>47</v>
      </c>
      <c r="D22" s="551" t="s">
        <v>10</v>
      </c>
      <c r="E22" s="552" t="s">
        <v>38</v>
      </c>
      <c r="F22" s="568" t="s">
        <v>46</v>
      </c>
      <c r="G22" s="554"/>
      <c r="H22" s="555">
        <v>46112</v>
      </c>
    </row>
    <row r="23" ht="27" customHeight="1" spans="2:8">
      <c r="B23" s="233"/>
      <c r="C23" s="570" t="s">
        <v>48</v>
      </c>
      <c r="D23" s="551" t="s">
        <v>10</v>
      </c>
      <c r="E23" s="552" t="s">
        <v>38</v>
      </c>
      <c r="F23" s="568" t="s">
        <v>49</v>
      </c>
      <c r="G23" s="554"/>
      <c r="H23" s="555">
        <v>46112</v>
      </c>
    </row>
    <row r="24" ht="27" customHeight="1" spans="2:8">
      <c r="B24" s="233"/>
      <c r="C24" s="570" t="s">
        <v>50</v>
      </c>
      <c r="D24" s="551" t="s">
        <v>10</v>
      </c>
      <c r="E24" s="552" t="s">
        <v>38</v>
      </c>
      <c r="F24" s="568" t="s">
        <v>51</v>
      </c>
      <c r="G24" s="554"/>
      <c r="H24" s="555">
        <v>46112</v>
      </c>
    </row>
    <row r="25" ht="27" customHeight="1" spans="2:8">
      <c r="B25" s="233"/>
      <c r="C25" s="571" t="s">
        <v>52</v>
      </c>
      <c r="D25" s="572" t="s">
        <v>10</v>
      </c>
      <c r="E25" s="552" t="s">
        <v>38</v>
      </c>
      <c r="F25" s="573" t="s">
        <v>53</v>
      </c>
      <c r="G25" s="554"/>
      <c r="H25" s="555">
        <v>46112</v>
      </c>
    </row>
    <row r="26" ht="27" customHeight="1" spans="2:8">
      <c r="B26" s="233"/>
      <c r="C26" s="574" t="s">
        <v>54</v>
      </c>
      <c r="D26" s="572" t="s">
        <v>10</v>
      </c>
      <c r="E26" s="552" t="s">
        <v>38</v>
      </c>
      <c r="F26" s="575" t="s">
        <v>55</v>
      </c>
      <c r="G26" s="554"/>
      <c r="H26" s="555">
        <v>46112</v>
      </c>
    </row>
    <row r="27" ht="27" customHeight="1" spans="2:8">
      <c r="B27" s="233"/>
      <c r="C27" s="576" t="s">
        <v>56</v>
      </c>
      <c r="D27" s="572" t="s">
        <v>10</v>
      </c>
      <c r="E27" s="552" t="s">
        <v>38</v>
      </c>
      <c r="F27" s="577" t="s">
        <v>57</v>
      </c>
      <c r="G27" s="554"/>
      <c r="H27" s="555">
        <v>46112</v>
      </c>
    </row>
    <row r="28" ht="27" customHeight="1" spans="2:8">
      <c r="B28" s="578" t="s">
        <v>58</v>
      </c>
      <c r="C28" s="579"/>
      <c r="D28" s="579"/>
      <c r="E28" s="579"/>
      <c r="F28" s="579"/>
      <c r="G28" s="579"/>
      <c r="H28" s="580"/>
    </row>
    <row r="29" s="542" customFormat="1" ht="26" customHeight="1" spans="2:8">
      <c r="B29" s="581" t="s">
        <v>59</v>
      </c>
      <c r="C29" s="582"/>
      <c r="D29" s="582"/>
      <c r="E29" s="582"/>
      <c r="F29" s="582"/>
      <c r="G29" s="582"/>
      <c r="H29" s="583"/>
    </row>
    <row r="30" s="542" customFormat="1" ht="26" customHeight="1" spans="2:8">
      <c r="B30" s="584" t="s">
        <v>60</v>
      </c>
      <c r="C30" s="582"/>
      <c r="D30" s="582"/>
      <c r="E30" s="582"/>
      <c r="F30" s="582"/>
      <c r="G30" s="582"/>
      <c r="H30" s="583"/>
    </row>
    <row r="31" ht="24" customHeight="1" spans="2:8">
      <c r="B31" s="585" t="s">
        <v>61</v>
      </c>
      <c r="C31" s="586"/>
      <c r="D31" s="586"/>
      <c r="E31" s="586"/>
      <c r="F31" s="586"/>
      <c r="G31" s="586"/>
      <c r="H31" s="587"/>
    </row>
    <row r="32" ht="65" customHeight="1" spans="2:8">
      <c r="B32" s="588" t="s">
        <v>62</v>
      </c>
      <c r="C32" s="589"/>
      <c r="D32" s="589"/>
      <c r="E32" s="589"/>
      <c r="F32" s="589"/>
      <c r="G32" s="589"/>
      <c r="H32" s="590"/>
    </row>
    <row r="33" ht="55" customHeight="1" spans="2:8">
      <c r="B33" s="591" t="s">
        <v>63</v>
      </c>
      <c r="C33" s="592"/>
      <c r="D33" s="592"/>
      <c r="E33" s="592"/>
      <c r="F33" s="592"/>
      <c r="G33" s="592"/>
      <c r="H33" s="593"/>
    </row>
    <row r="34" ht="84" customHeight="1" spans="2:8">
      <c r="B34" s="591" t="s">
        <v>64</v>
      </c>
      <c r="C34" s="594"/>
      <c r="D34" s="594"/>
      <c r="E34" s="594"/>
      <c r="F34" s="594"/>
      <c r="G34" s="594"/>
      <c r="H34" s="595"/>
    </row>
    <row r="35" ht="94" customHeight="1" spans="2:8">
      <c r="B35" s="596" t="s">
        <v>65</v>
      </c>
      <c r="C35" s="597"/>
      <c r="D35" s="597"/>
      <c r="E35" s="597"/>
      <c r="F35" s="597"/>
      <c r="G35" s="597"/>
      <c r="H35" s="598"/>
    </row>
    <row r="36" ht="90" customHeight="1" spans="2:8">
      <c r="B36" s="599" t="s">
        <v>66</v>
      </c>
      <c r="C36" s="600"/>
      <c r="D36" s="600"/>
      <c r="E36" s="600"/>
      <c r="F36" s="600"/>
      <c r="G36" s="600"/>
      <c r="H36" s="601"/>
    </row>
    <row r="37" ht="96" customHeight="1" spans="2:8">
      <c r="B37" s="599" t="s">
        <v>67</v>
      </c>
      <c r="C37" s="600"/>
      <c r="D37" s="600"/>
      <c r="E37" s="600"/>
      <c r="F37" s="600"/>
      <c r="G37" s="600"/>
      <c r="H37" s="601"/>
    </row>
    <row r="38" ht="57" customHeight="1" spans="2:8">
      <c r="B38" s="599" t="s">
        <v>68</v>
      </c>
      <c r="C38" s="600"/>
      <c r="D38" s="600"/>
      <c r="E38" s="600"/>
      <c r="F38" s="600"/>
      <c r="G38" s="600"/>
      <c r="H38" s="601"/>
    </row>
    <row r="39" customHeight="1" spans="2:8">
      <c r="B39" s="602" t="s">
        <v>69</v>
      </c>
      <c r="C39" s="603"/>
      <c r="D39" s="603"/>
      <c r="E39" s="603"/>
      <c r="F39" s="603"/>
      <c r="G39" s="603"/>
      <c r="H39" s="604"/>
    </row>
    <row r="40" customHeight="1" spans="2:8">
      <c r="B40" s="605"/>
      <c r="C40" s="606"/>
      <c r="D40" s="606"/>
      <c r="E40" s="606"/>
      <c r="F40" s="606"/>
      <c r="G40" s="606"/>
      <c r="H40" s="607"/>
    </row>
    <row r="41" customHeight="1" spans="2:8">
      <c r="B41" s="605"/>
      <c r="C41" s="606"/>
      <c r="D41" s="606"/>
      <c r="E41" s="606"/>
      <c r="F41" s="606"/>
      <c r="G41" s="606"/>
      <c r="H41" s="607"/>
    </row>
    <row r="42" customHeight="1" spans="2:8">
      <c r="B42" s="605"/>
      <c r="C42" s="606"/>
      <c r="D42" s="606"/>
      <c r="E42" s="606"/>
      <c r="F42" s="606"/>
      <c r="G42" s="606"/>
      <c r="H42" s="607"/>
    </row>
    <row r="43" customHeight="1" spans="2:8">
      <c r="B43" s="605"/>
      <c r="C43" s="608"/>
      <c r="D43" s="608"/>
      <c r="E43" s="608"/>
      <c r="F43" s="608"/>
      <c r="G43" s="608"/>
      <c r="H43" s="607"/>
    </row>
    <row r="44" customHeight="1" spans="2:8">
      <c r="B44" s="609" t="s">
        <v>70</v>
      </c>
      <c r="C44" s="594"/>
      <c r="D44" s="594"/>
      <c r="E44" s="594"/>
      <c r="F44" s="594"/>
      <c r="G44" s="594"/>
      <c r="H44" s="595"/>
    </row>
    <row r="45" customHeight="1" spans="2:8">
      <c r="B45" s="610"/>
      <c r="C45" s="611"/>
      <c r="D45" s="611"/>
      <c r="E45" s="611"/>
      <c r="F45" s="611"/>
      <c r="G45" s="611"/>
      <c r="H45" s="612"/>
    </row>
    <row r="46" customHeight="1" spans="2:8">
      <c r="B46" s="610"/>
      <c r="C46" s="611"/>
      <c r="D46" s="611"/>
      <c r="E46" s="611"/>
      <c r="F46" s="611"/>
      <c r="G46" s="611"/>
      <c r="H46" s="612"/>
    </row>
    <row r="47" customHeight="1" spans="2:8">
      <c r="B47" s="610"/>
      <c r="C47" s="611"/>
      <c r="D47" s="611"/>
      <c r="E47" s="611"/>
      <c r="F47" s="611"/>
      <c r="G47" s="611"/>
      <c r="H47" s="612"/>
    </row>
    <row r="48" customHeight="1" spans="2:8">
      <c r="B48" s="610"/>
      <c r="C48" s="611"/>
      <c r="D48" s="611"/>
      <c r="E48" s="611"/>
      <c r="F48" s="611"/>
      <c r="G48" s="611"/>
      <c r="H48" s="612"/>
    </row>
    <row r="49" customHeight="1" spans="2:8">
      <c r="B49" s="610"/>
      <c r="C49" s="611"/>
      <c r="D49" s="611"/>
      <c r="E49" s="611"/>
      <c r="F49" s="611"/>
      <c r="G49" s="611"/>
      <c r="H49" s="612"/>
    </row>
    <row r="50" customHeight="1" spans="2:8">
      <c r="B50" s="610"/>
      <c r="C50" s="611"/>
      <c r="D50" s="611"/>
      <c r="E50" s="611"/>
      <c r="F50" s="611"/>
      <c r="G50" s="611"/>
      <c r="H50" s="612"/>
    </row>
    <row r="51" customHeight="1" spans="2:8">
      <c r="B51" s="610"/>
      <c r="C51" s="611"/>
      <c r="D51" s="611"/>
      <c r="E51" s="611"/>
      <c r="F51" s="611"/>
      <c r="G51" s="611"/>
      <c r="H51" s="612"/>
    </row>
    <row r="52" customHeight="1" spans="2:8">
      <c r="B52" s="610"/>
      <c r="C52" s="611"/>
      <c r="D52" s="611"/>
      <c r="E52" s="611"/>
      <c r="F52" s="611"/>
      <c r="G52" s="611"/>
      <c r="H52" s="612"/>
    </row>
    <row r="53" customHeight="1" spans="2:8">
      <c r="B53" s="610"/>
      <c r="C53" s="611"/>
      <c r="D53" s="611"/>
      <c r="E53" s="611"/>
      <c r="F53" s="611"/>
      <c r="G53" s="611"/>
      <c r="H53" s="612"/>
    </row>
    <row r="54" customHeight="1" spans="2:8">
      <c r="B54" s="613"/>
      <c r="C54" s="614"/>
      <c r="D54" s="614"/>
      <c r="E54" s="614"/>
      <c r="F54" s="614"/>
      <c r="G54" s="614"/>
      <c r="H54" s="615"/>
    </row>
  </sheetData>
  <mergeCells count="17">
    <mergeCell ref="B1:H1"/>
    <mergeCell ref="B2:H2"/>
    <mergeCell ref="B28:H28"/>
    <mergeCell ref="B29:H29"/>
    <mergeCell ref="B31:H31"/>
    <mergeCell ref="B32:H32"/>
    <mergeCell ref="B33:H33"/>
    <mergeCell ref="B34:H34"/>
    <mergeCell ref="B35:H35"/>
    <mergeCell ref="B36:H36"/>
    <mergeCell ref="B37:H37"/>
    <mergeCell ref="B38:H38"/>
    <mergeCell ref="B4:B11"/>
    <mergeCell ref="B12:B17"/>
    <mergeCell ref="B21:B27"/>
    <mergeCell ref="B39:H43"/>
    <mergeCell ref="B44:H54"/>
  </mergeCells>
  <hyperlinks>
    <hyperlink ref="D18" location="海外仓收费明细!A1" display="点击进入"/>
    <hyperlink ref="D4" location="美森正班卡派!A1" display="点击进入"/>
    <hyperlink ref="D5" location="美森加班卡派!A1" display="点击进入"/>
    <hyperlink ref="D9" location="'普船洛杉矶卡派 '!A1" display="点击进入"/>
    <hyperlink ref="D29" r:id="rId2" location="/tracking"/>
    <hyperlink ref="D10" location="普船纽约卡派!A1" display="点击进入"/>
    <hyperlink ref="D6" location="EXX卡派!A1" display="点击进入"/>
    <hyperlink ref="D17" location="预配船期表!A1" display="点击进入"/>
    <hyperlink ref="D11" location="普船萨凡纳卡派!A1" display="点击进入"/>
    <hyperlink ref="D7" location="盐田以星南沙合德限时达卡派!A1" display="点击进入"/>
    <hyperlink ref="D24" location="FBA仓库邮编对照表!A1" display="点击进入"/>
    <hyperlink ref="D25" location="交接清单!A1" display="点击进入"/>
    <hyperlink ref="D23" location="出货模板!A1" display="点击进入"/>
    <hyperlink ref="D21" location="注意事项!A1" display="点击进入"/>
    <hyperlink ref="D22" location="赔偿说明!A1" display="点击进入"/>
    <hyperlink ref="D26" location="交接清单!A1" display="点击进入"/>
    <hyperlink ref="D27" location="美国对华反倾销产品目录!A1" display="点击进入"/>
    <hyperlink ref="D13" location="美国海派总表!A1" display="点击进入"/>
    <hyperlink ref="D14" location="美国海派总表!A1" display="点击进入"/>
    <hyperlink ref="D16" location="美国海派总表!A1" display="点击进入"/>
    <hyperlink ref="D8" location="义乌合德以星限时达卡派!A1" display="点击进入"/>
    <hyperlink ref="D15" location="美国海派总表!A37" display="点击进入"/>
  </hyperlinks>
  <pageMargins left="0.313888888888889" right="0.275" top="0.313888888888889" bottom="0.432638888888889" header="0.235416666666667" footer="0.511805555555556"/>
  <pageSetup paperSize="9" scale="85"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K26"/>
  <sheetViews>
    <sheetView showGridLines="0" zoomScale="85" zoomScaleNormal="85" workbookViewId="0">
      <pane ySplit="2" topLeftCell="A3" activePane="bottomLeft" state="frozen"/>
      <selection/>
      <selection pane="bottomLeft" activeCell="E8" sqref="E8"/>
    </sheetView>
  </sheetViews>
  <sheetFormatPr defaultColWidth="9" defaultRowHeight="13.5"/>
  <cols>
    <col min="1" max="1" width="9" style="526"/>
    <col min="2" max="2" width="29.85" style="527" customWidth="1"/>
    <col min="3" max="3" width="13.625" style="527" customWidth="1"/>
    <col min="4" max="4" width="22.75" style="527" customWidth="1"/>
    <col min="5" max="5" width="47.75" style="527" customWidth="1"/>
    <col min="6" max="6" width="16.3166666666667" style="527" customWidth="1"/>
    <col min="7" max="7" width="16.6083333333333" style="527" customWidth="1"/>
    <col min="8" max="8" width="20.125" style="527" customWidth="1"/>
    <col min="9" max="10" width="13.5083333333333" style="527" customWidth="1"/>
    <col min="11" max="11" width="14.625" style="527" customWidth="1"/>
  </cols>
  <sheetData>
    <row r="1" ht="90" customHeight="1" spans="1:11">
      <c r="B1" s="528" t="s">
        <v>71</v>
      </c>
      <c r="C1" s="528"/>
      <c r="D1" s="528"/>
      <c r="E1" s="528"/>
      <c r="F1" s="528"/>
      <c r="G1" s="528"/>
      <c r="H1" s="528"/>
      <c r="I1" s="528"/>
      <c r="J1" s="528"/>
      <c r="K1" s="528"/>
    </row>
    <row r="2" ht="45" spans="1:11">
      <c r="A2" s="529"/>
      <c r="B2" s="530" t="s">
        <v>72</v>
      </c>
      <c r="C2" s="530" t="s">
        <v>73</v>
      </c>
      <c r="D2" s="530" t="s">
        <v>74</v>
      </c>
      <c r="E2" s="530" t="s">
        <v>75</v>
      </c>
      <c r="F2" s="531" t="s">
        <v>76</v>
      </c>
      <c r="G2" s="531" t="s">
        <v>77</v>
      </c>
      <c r="H2" s="531" t="s">
        <v>78</v>
      </c>
      <c r="I2" s="531" t="s">
        <v>79</v>
      </c>
      <c r="J2" s="531" t="s">
        <v>80</v>
      </c>
      <c r="K2" s="531" t="s">
        <v>81</v>
      </c>
    </row>
    <row r="3" ht="40.5" spans="1:11">
      <c r="B3" s="532" t="s">
        <v>82</v>
      </c>
      <c r="C3" s="533" t="s">
        <v>83</v>
      </c>
      <c r="D3" s="534" t="s">
        <v>84</v>
      </c>
      <c r="E3" s="535" t="s">
        <v>85</v>
      </c>
      <c r="F3" s="536">
        <v>46120</v>
      </c>
      <c r="G3" s="536">
        <v>46131</v>
      </c>
      <c r="H3" s="537" t="s">
        <v>86</v>
      </c>
      <c r="I3" s="537" t="s">
        <v>86</v>
      </c>
      <c r="J3" s="537" t="s">
        <v>87</v>
      </c>
      <c r="K3" s="533" t="s">
        <v>88</v>
      </c>
    </row>
    <row r="4" ht="40.5" spans="1:11">
      <c r="B4" s="532" t="s">
        <v>89</v>
      </c>
      <c r="C4" s="533"/>
      <c r="D4" s="534"/>
      <c r="E4" s="535" t="s">
        <v>85</v>
      </c>
      <c r="F4" s="536">
        <v>46120</v>
      </c>
      <c r="G4" s="536">
        <v>46131</v>
      </c>
      <c r="H4" s="537" t="s">
        <v>86</v>
      </c>
      <c r="I4" s="537" t="s">
        <v>86</v>
      </c>
      <c r="J4" s="537" t="s">
        <v>90</v>
      </c>
      <c r="K4" s="533" t="s">
        <v>88</v>
      </c>
    </row>
    <row r="5" ht="40.5" spans="1:11">
      <c r="B5" s="532" t="s">
        <v>91</v>
      </c>
      <c r="C5" s="533" t="s">
        <v>83</v>
      </c>
      <c r="D5" s="534" t="s">
        <v>84</v>
      </c>
      <c r="E5" s="535" t="s">
        <v>92</v>
      </c>
      <c r="F5" s="536">
        <v>46121</v>
      </c>
      <c r="G5" s="536">
        <v>46132</v>
      </c>
      <c r="H5" s="537" t="s">
        <v>86</v>
      </c>
      <c r="I5" s="537" t="s">
        <v>86</v>
      </c>
      <c r="J5" s="538" t="s">
        <v>90</v>
      </c>
      <c r="K5" s="533" t="s">
        <v>88</v>
      </c>
    </row>
    <row r="6" ht="40.5" spans="1:11">
      <c r="B6" s="532" t="s">
        <v>93</v>
      </c>
      <c r="C6" s="533"/>
      <c r="D6" s="534"/>
      <c r="E6" s="535" t="s">
        <v>92</v>
      </c>
      <c r="F6" s="536">
        <v>46121</v>
      </c>
      <c r="G6" s="536">
        <v>46132</v>
      </c>
      <c r="H6" s="537" t="s">
        <v>86</v>
      </c>
      <c r="I6" s="537" t="s">
        <v>86</v>
      </c>
      <c r="J6" s="538" t="s">
        <v>94</v>
      </c>
      <c r="K6" s="533" t="s">
        <v>88</v>
      </c>
    </row>
    <row r="7" ht="40.5" spans="1:11">
      <c r="B7" s="532" t="s">
        <v>95</v>
      </c>
      <c r="C7" s="533" t="s">
        <v>96</v>
      </c>
      <c r="D7" s="534" t="s">
        <v>84</v>
      </c>
      <c r="E7" s="535" t="s">
        <v>92</v>
      </c>
      <c r="F7" s="539">
        <v>46119</v>
      </c>
      <c r="G7" s="536">
        <v>46132</v>
      </c>
      <c r="H7" s="540" t="s">
        <v>97</v>
      </c>
      <c r="I7" s="539" t="s">
        <v>86</v>
      </c>
      <c r="J7" s="539" t="s">
        <v>86</v>
      </c>
      <c r="K7" s="533" t="s">
        <v>88</v>
      </c>
    </row>
    <row r="8" ht="40.5" spans="1:11">
      <c r="B8" s="532" t="s">
        <v>98</v>
      </c>
      <c r="C8" s="533" t="s">
        <v>83</v>
      </c>
      <c r="D8" s="534" t="s">
        <v>99</v>
      </c>
      <c r="E8" s="535" t="s">
        <v>100</v>
      </c>
      <c r="F8" s="536">
        <v>46121</v>
      </c>
      <c r="G8" s="536">
        <v>46132</v>
      </c>
      <c r="H8" s="537" t="s">
        <v>86</v>
      </c>
      <c r="I8" s="537" t="s">
        <v>86</v>
      </c>
      <c r="J8" s="537" t="s">
        <v>90</v>
      </c>
      <c r="K8" s="533" t="s">
        <v>88</v>
      </c>
    </row>
    <row r="9" ht="40.5" spans="1:11">
      <c r="B9" s="532" t="s">
        <v>101</v>
      </c>
      <c r="C9" s="533" t="s">
        <v>83</v>
      </c>
      <c r="D9" s="534" t="s">
        <v>99</v>
      </c>
      <c r="E9" s="535" t="s">
        <v>100</v>
      </c>
      <c r="F9" s="536">
        <v>46121</v>
      </c>
      <c r="G9" s="536">
        <v>46132</v>
      </c>
      <c r="H9" s="537" t="s">
        <v>86</v>
      </c>
      <c r="I9" s="537" t="s">
        <v>86</v>
      </c>
      <c r="J9" s="537" t="s">
        <v>94</v>
      </c>
      <c r="K9" s="533" t="s">
        <v>88</v>
      </c>
    </row>
    <row r="10" ht="40.5" spans="1:11">
      <c r="B10" s="532" t="s">
        <v>102</v>
      </c>
      <c r="C10" s="533" t="s">
        <v>83</v>
      </c>
      <c r="D10" s="534" t="s">
        <v>99</v>
      </c>
      <c r="E10" s="535" t="s">
        <v>100</v>
      </c>
      <c r="F10" s="539">
        <v>46120</v>
      </c>
      <c r="G10" s="536">
        <v>46132</v>
      </c>
      <c r="H10" s="540" t="s">
        <v>97</v>
      </c>
      <c r="I10" s="539" t="s">
        <v>86</v>
      </c>
      <c r="J10" s="539" t="s">
        <v>86</v>
      </c>
      <c r="K10" s="533" t="s">
        <v>88</v>
      </c>
    </row>
    <row r="11" ht="40.5" spans="1:11">
      <c r="B11" s="532" t="s">
        <v>103</v>
      </c>
      <c r="C11" s="533" t="s">
        <v>104</v>
      </c>
      <c r="D11" s="534" t="s">
        <v>99</v>
      </c>
      <c r="E11" s="535" t="s">
        <v>105</v>
      </c>
      <c r="F11" s="536">
        <v>46120</v>
      </c>
      <c r="G11" s="536">
        <v>46133</v>
      </c>
      <c r="H11" s="537" t="s">
        <v>86</v>
      </c>
      <c r="I11" s="537" t="s">
        <v>86</v>
      </c>
      <c r="J11" s="537" t="s">
        <v>87</v>
      </c>
      <c r="K11" s="533" t="s">
        <v>88</v>
      </c>
    </row>
    <row r="12" ht="40.5" spans="1:11">
      <c r="B12" s="532" t="s">
        <v>103</v>
      </c>
      <c r="C12" s="535" t="s">
        <v>106</v>
      </c>
      <c r="D12" s="532" t="s">
        <v>99</v>
      </c>
      <c r="E12" s="535" t="s">
        <v>107</v>
      </c>
      <c r="F12" s="536">
        <v>46120</v>
      </c>
      <c r="G12" s="536">
        <v>46134</v>
      </c>
      <c r="H12" s="532" t="s">
        <v>86</v>
      </c>
      <c r="I12" s="532" t="s">
        <v>86</v>
      </c>
      <c r="J12" s="532" t="s">
        <v>87</v>
      </c>
      <c r="K12" s="535" t="s">
        <v>88</v>
      </c>
    </row>
    <row r="13" ht="40.5" spans="1:11">
      <c r="B13" s="532" t="s">
        <v>108</v>
      </c>
      <c r="C13" s="533" t="s">
        <v>83</v>
      </c>
      <c r="D13" s="534" t="s">
        <v>99</v>
      </c>
      <c r="E13" s="535" t="s">
        <v>109</v>
      </c>
      <c r="F13" s="536">
        <v>46121</v>
      </c>
      <c r="G13" s="536">
        <v>46134</v>
      </c>
      <c r="H13" s="537" t="s">
        <v>86</v>
      </c>
      <c r="I13" s="537" t="s">
        <v>86</v>
      </c>
      <c r="J13" s="537" t="s">
        <v>87</v>
      </c>
      <c r="K13" s="533" t="s">
        <v>88</v>
      </c>
    </row>
    <row r="14" ht="40.5" spans="1:11">
      <c r="B14" s="532" t="s">
        <v>108</v>
      </c>
      <c r="C14" s="533" t="s">
        <v>96</v>
      </c>
      <c r="D14" s="534" t="s">
        <v>99</v>
      </c>
      <c r="E14" s="535" t="s">
        <v>110</v>
      </c>
      <c r="F14" s="536">
        <v>46121</v>
      </c>
      <c r="G14" s="536">
        <v>46134</v>
      </c>
      <c r="H14" s="537" t="s">
        <v>86</v>
      </c>
      <c r="I14" s="537" t="s">
        <v>86</v>
      </c>
      <c r="J14" s="537" t="s">
        <v>90</v>
      </c>
      <c r="K14" s="533" t="s">
        <v>88</v>
      </c>
    </row>
    <row r="15" ht="20.25" spans="1:11">
      <c r="B15" s="532" t="s">
        <v>111</v>
      </c>
      <c r="C15" s="533" t="s">
        <v>104</v>
      </c>
      <c r="D15" s="534" t="s">
        <v>84</v>
      </c>
      <c r="E15" s="535" t="s">
        <v>112</v>
      </c>
      <c r="F15" s="536">
        <v>46122</v>
      </c>
      <c r="G15" s="536">
        <v>46137</v>
      </c>
      <c r="H15" s="537" t="s">
        <v>113</v>
      </c>
      <c r="I15" s="537" t="s">
        <v>113</v>
      </c>
      <c r="J15" s="537" t="s">
        <v>86</v>
      </c>
      <c r="K15" s="533" t="s">
        <v>88</v>
      </c>
    </row>
    <row r="16" ht="20.25" spans="1:11">
      <c r="B16" s="535" t="s">
        <v>111</v>
      </c>
      <c r="C16" s="533" t="s">
        <v>104</v>
      </c>
      <c r="D16" s="533" t="s">
        <v>84</v>
      </c>
      <c r="E16" s="535" t="s">
        <v>114</v>
      </c>
      <c r="F16" s="536">
        <v>46126</v>
      </c>
      <c r="G16" s="536">
        <v>46140</v>
      </c>
      <c r="H16" s="536" t="s">
        <v>113</v>
      </c>
      <c r="I16" s="536" t="s">
        <v>113</v>
      </c>
      <c r="J16" s="536" t="s">
        <v>113</v>
      </c>
      <c r="K16" s="533" t="s">
        <v>88</v>
      </c>
    </row>
    <row r="17" ht="40.5" spans="2:11">
      <c r="B17" s="532" t="s">
        <v>115</v>
      </c>
      <c r="C17" s="533" t="s">
        <v>116</v>
      </c>
      <c r="D17" s="534" t="s">
        <v>84</v>
      </c>
      <c r="E17" s="535" t="s">
        <v>117</v>
      </c>
      <c r="F17" s="536">
        <v>46117</v>
      </c>
      <c r="G17" s="536">
        <v>46132</v>
      </c>
      <c r="H17" s="537" t="s">
        <v>86</v>
      </c>
      <c r="I17" s="537" t="s">
        <v>86</v>
      </c>
      <c r="J17" s="537" t="s">
        <v>94</v>
      </c>
      <c r="K17" s="533" t="s">
        <v>88</v>
      </c>
    </row>
    <row r="18" ht="40.5" spans="2:11">
      <c r="B18" s="532" t="s">
        <v>118</v>
      </c>
      <c r="C18" s="533"/>
      <c r="D18" s="534"/>
      <c r="E18" s="535" t="s">
        <v>119</v>
      </c>
      <c r="F18" s="536">
        <v>46121</v>
      </c>
      <c r="G18" s="536">
        <v>46137</v>
      </c>
      <c r="H18" s="533" t="s">
        <v>86</v>
      </c>
      <c r="I18" s="533" t="s">
        <v>86</v>
      </c>
      <c r="J18" s="533" t="s">
        <v>94</v>
      </c>
      <c r="K18" s="533" t="s">
        <v>88</v>
      </c>
    </row>
    <row r="19" ht="40.5" spans="2:11">
      <c r="B19" s="532" t="s">
        <v>118</v>
      </c>
      <c r="C19" s="533" t="s">
        <v>116</v>
      </c>
      <c r="D19" s="534" t="s">
        <v>99</v>
      </c>
      <c r="E19" s="535" t="s">
        <v>120</v>
      </c>
      <c r="F19" s="536">
        <v>46119</v>
      </c>
      <c r="G19" s="536">
        <v>46133</v>
      </c>
      <c r="H19" s="537" t="s">
        <v>86</v>
      </c>
      <c r="I19" s="537" t="s">
        <v>86</v>
      </c>
      <c r="J19" s="537" t="s">
        <v>94</v>
      </c>
      <c r="K19" s="533" t="s">
        <v>88</v>
      </c>
    </row>
    <row r="20" ht="20.25" spans="2:11">
      <c r="B20" s="534" t="s">
        <v>121</v>
      </c>
      <c r="C20" s="533" t="s">
        <v>116</v>
      </c>
      <c r="D20" s="534" t="s">
        <v>122</v>
      </c>
      <c r="E20" s="535" t="s">
        <v>123</v>
      </c>
      <c r="F20" s="536">
        <v>46119</v>
      </c>
      <c r="G20" s="536">
        <v>46149</v>
      </c>
      <c r="H20" s="537" t="s">
        <v>124</v>
      </c>
      <c r="I20" s="537" t="s">
        <v>124</v>
      </c>
      <c r="J20" s="537" t="s">
        <v>124</v>
      </c>
      <c r="K20" s="533" t="s">
        <v>88</v>
      </c>
    </row>
    <row r="21" ht="20.25" spans="2:11">
      <c r="B21" s="534" t="s">
        <v>125</v>
      </c>
      <c r="C21" s="533" t="s">
        <v>116</v>
      </c>
      <c r="D21" s="534" t="s">
        <v>126</v>
      </c>
      <c r="E21" s="535" t="s">
        <v>127</v>
      </c>
      <c r="F21" s="536">
        <v>46121</v>
      </c>
      <c r="G21" s="536">
        <v>46152</v>
      </c>
      <c r="H21" s="537" t="s">
        <v>124</v>
      </c>
      <c r="I21" s="537" t="s">
        <v>124</v>
      </c>
      <c r="J21" s="537" t="s">
        <v>124</v>
      </c>
      <c r="K21" s="533" t="s">
        <v>88</v>
      </c>
    </row>
    <row r="22" ht="20.25" spans="2:11">
      <c r="B22" s="534" t="s">
        <v>121</v>
      </c>
      <c r="C22" s="533" t="s">
        <v>104</v>
      </c>
      <c r="D22" s="534" t="s">
        <v>128</v>
      </c>
      <c r="E22" s="535" t="s">
        <v>129</v>
      </c>
      <c r="F22" s="536">
        <v>46124</v>
      </c>
      <c r="G22" s="536">
        <v>46154</v>
      </c>
      <c r="H22" s="537" t="s">
        <v>94</v>
      </c>
      <c r="I22" s="537" t="s">
        <v>94</v>
      </c>
      <c r="J22" s="537" t="s">
        <v>94</v>
      </c>
      <c r="K22" s="533" t="s">
        <v>88</v>
      </c>
    </row>
    <row r="23" ht="20.25" spans="2:11">
      <c r="B23" s="534" t="s">
        <v>121</v>
      </c>
      <c r="C23" s="533"/>
      <c r="D23" s="534"/>
      <c r="E23" s="535" t="s">
        <v>130</v>
      </c>
      <c r="F23" s="536">
        <v>46125</v>
      </c>
      <c r="G23" s="536">
        <v>46161</v>
      </c>
      <c r="H23" s="537" t="s">
        <v>94</v>
      </c>
      <c r="I23" s="537" t="s">
        <v>94</v>
      </c>
      <c r="J23" s="537" t="s">
        <v>94</v>
      </c>
      <c r="K23" s="533" t="s">
        <v>88</v>
      </c>
    </row>
    <row r="24" ht="20.25" spans="2:11">
      <c r="B24" s="534" t="s">
        <v>125</v>
      </c>
      <c r="C24" s="533" t="s">
        <v>104</v>
      </c>
      <c r="D24" s="534" t="s">
        <v>131</v>
      </c>
      <c r="E24" s="535" t="s">
        <v>130</v>
      </c>
      <c r="F24" s="536">
        <v>46125</v>
      </c>
      <c r="G24" s="536">
        <v>46157</v>
      </c>
      <c r="H24" s="537" t="s">
        <v>94</v>
      </c>
      <c r="I24" s="537" t="s">
        <v>94</v>
      </c>
      <c r="J24" s="537" t="s">
        <v>94</v>
      </c>
      <c r="K24" s="533" t="s">
        <v>88</v>
      </c>
    </row>
    <row r="25" ht="20.25" spans="2:11">
      <c r="B25" s="534" t="s">
        <v>125</v>
      </c>
      <c r="C25" s="533"/>
      <c r="D25" s="534"/>
      <c r="E25" s="535" t="s">
        <v>129</v>
      </c>
      <c r="F25" s="536">
        <v>46124</v>
      </c>
      <c r="G25" s="536">
        <v>46160</v>
      </c>
      <c r="H25" s="537" t="s">
        <v>94</v>
      </c>
      <c r="I25" s="537" t="s">
        <v>94</v>
      </c>
      <c r="J25" s="537" t="s">
        <v>94</v>
      </c>
      <c r="K25" s="533" t="s">
        <v>88</v>
      </c>
    </row>
    <row r="26" ht="15" spans="2:11">
      <c r="B26" s="541" t="s">
        <v>132</v>
      </c>
      <c r="C26" s="541"/>
      <c r="D26" s="541"/>
      <c r="E26" s="541"/>
      <c r="F26" s="541"/>
      <c r="G26" s="541"/>
      <c r="H26" s="541"/>
      <c r="I26" s="541"/>
      <c r="J26" s="541"/>
      <c r="K26" s="541"/>
    </row>
  </sheetData>
  <mergeCells count="12">
    <mergeCell ref="B1:K1"/>
    <mergeCell ref="B26:K26"/>
    <mergeCell ref="C3:C4"/>
    <mergeCell ref="C5:C6"/>
    <mergeCell ref="C17:C18"/>
    <mergeCell ref="C22:C23"/>
    <mergeCell ref="C24:C25"/>
    <mergeCell ref="D3:D4"/>
    <mergeCell ref="D5:D6"/>
    <mergeCell ref="D17:D18"/>
    <mergeCell ref="D22:D23"/>
    <mergeCell ref="D24:D25"/>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15"/>
  <sheetViews>
    <sheetView workbookViewId="0">
      <selection activeCell="B35" sqref="B35"/>
    </sheetView>
  </sheetViews>
  <sheetFormatPr defaultColWidth="9" defaultRowHeight="13.5"/>
  <cols>
    <col min="1" max="1" width="12.375" customWidth="1"/>
    <col min="2" max="2" width="37.375" customWidth="1"/>
    <col min="3" max="4" width="10.25" customWidth="1"/>
    <col min="5" max="7" width="12" customWidth="1"/>
    <col min="8" max="8" width="13.625" customWidth="1"/>
    <col min="9" max="9" width="11.25" customWidth="1"/>
    <col min="10" max="10" width="12.875" customWidth="1"/>
  </cols>
  <sheetData>
    <row r="1" ht="18" spans="1:11">
      <c r="A1" s="520" t="s">
        <v>133</v>
      </c>
      <c r="B1" s="521" t="s">
        <v>2</v>
      </c>
      <c r="C1" s="188" t="s">
        <v>134</v>
      </c>
      <c r="D1" s="189"/>
      <c r="E1" s="189"/>
      <c r="F1" s="351"/>
      <c r="G1" s="190" t="s">
        <v>135</v>
      </c>
      <c r="H1" s="190"/>
      <c r="I1" s="190"/>
      <c r="J1" s="190"/>
      <c r="K1" s="190" t="s">
        <v>136</v>
      </c>
    </row>
    <row r="2" ht="36" spans="1:11">
      <c r="A2" s="522"/>
      <c r="B2" s="523"/>
      <c r="C2" s="190" t="s">
        <v>137</v>
      </c>
      <c r="D2" s="190" t="s">
        <v>138</v>
      </c>
      <c r="E2" s="190" t="s">
        <v>139</v>
      </c>
      <c r="F2" s="190" t="s">
        <v>140</v>
      </c>
      <c r="G2" s="190" t="s">
        <v>137</v>
      </c>
      <c r="H2" s="190" t="s">
        <v>138</v>
      </c>
      <c r="I2" s="190" t="s">
        <v>139</v>
      </c>
      <c r="J2" s="190" t="s">
        <v>140</v>
      </c>
      <c r="K2" s="190"/>
    </row>
    <row r="3" ht="17.25" spans="1:11">
      <c r="A3" s="524" t="s">
        <v>141</v>
      </c>
      <c r="B3" s="477" t="s">
        <v>142</v>
      </c>
      <c r="C3" s="477" cm="1">
        <f ca="1" t="array" ref="C3:K3">IFERROR(VLOOKUP("*"&amp;$A$3&amp;"*",INDIRECT("'"&amp;B3&amp;"'!B:L"),{2,3,4,5,6,7,8,9,10},0),"无")</f>
        <v>1900</v>
      </c>
      <c r="D3" s="477">
        <v>10.5</v>
      </c>
      <c r="E3" s="477">
        <v>9.5</v>
      </c>
      <c r="F3" s="477">
        <v>9.5</v>
      </c>
      <c r="G3" s="478">
        <v>1820</v>
      </c>
      <c r="H3" s="478">
        <v>10.1</v>
      </c>
      <c r="I3" s="478">
        <v>9.1</v>
      </c>
      <c r="J3" s="478">
        <v>9.1</v>
      </c>
      <c r="K3" s="478" t="str">
        <v>13-16天</v>
      </c>
    </row>
    <row r="4" ht="17.25" spans="1:11">
      <c r="A4" s="477"/>
      <c r="B4" s="477" t="s">
        <v>143</v>
      </c>
      <c r="C4" s="477" cm="1">
        <f ca="1" t="array" ref="C4:K4">IFERROR(VLOOKUP("*"&amp;$A$3&amp;"*",INDIRECT("'"&amp;B4&amp;"'!B:L"),{2,3,4,5,6,7,8,9,10},0),"无")</f>
        <v>1840</v>
      </c>
      <c r="D4" s="477">
        <v>10.2</v>
      </c>
      <c r="E4" s="477">
        <v>9.2</v>
      </c>
      <c r="F4" s="477">
        <v>9.2</v>
      </c>
      <c r="G4" s="478">
        <v>1760</v>
      </c>
      <c r="H4" s="478">
        <v>9.8</v>
      </c>
      <c r="I4" s="478">
        <v>8.8</v>
      </c>
      <c r="J4" s="478">
        <v>8.8</v>
      </c>
      <c r="K4" s="478" t="str">
        <v>14-17天</v>
      </c>
    </row>
    <row r="5" ht="17.25" spans="1:11">
      <c r="A5" s="477"/>
      <c r="B5" s="477" t="s">
        <v>144</v>
      </c>
      <c r="C5" s="477" cm="1">
        <f ca="1" t="array" ref="C5:K5">IFERROR(VLOOKUP("*"&amp;$A$3&amp;"*",INDIRECT("'"&amp;B5&amp;"'!B:L"),{2,3,4,5,6,7,8,9,10},0),"无")</f>
        <v>1360</v>
      </c>
      <c r="D5" s="477">
        <v>7.8</v>
      </c>
      <c r="E5" s="477">
        <v>6.8</v>
      </c>
      <c r="F5" s="477">
        <v>6.8</v>
      </c>
      <c r="G5" s="478">
        <v>1280</v>
      </c>
      <c r="H5" s="478">
        <v>7.4</v>
      </c>
      <c r="I5" s="478">
        <v>6.4</v>
      </c>
      <c r="J5" s="478">
        <v>6.4</v>
      </c>
      <c r="K5" s="478" t="str">
        <v>14-17天</v>
      </c>
    </row>
    <row r="6" ht="17.25" spans="1:11">
      <c r="A6" s="477"/>
      <c r="B6" s="477" t="s">
        <v>145</v>
      </c>
      <c r="C6" s="477" t="str" cm="1">
        <f ca="1" t="array" ref="C6">IFERROR(VLOOKUP("*"&amp;$A$3&amp;"*",INDIRECT("'"&amp;B6&amp;"'!B:L"),{2,3,4,5,6,7,8,9,10},0),"无")</f>
        <v>无</v>
      </c>
      <c r="D6" s="477"/>
      <c r="E6" s="477"/>
      <c r="F6" s="477"/>
      <c r="G6" s="478"/>
      <c r="H6" s="478"/>
      <c r="I6" s="478"/>
      <c r="J6" s="478"/>
      <c r="K6" s="478"/>
    </row>
    <row r="7" ht="17.25" spans="1:11">
      <c r="A7" s="477"/>
      <c r="B7" s="477" t="s">
        <v>146</v>
      </c>
      <c r="C7" s="477" cm="1">
        <f ca="1" t="array" ref="C7:K7">IFERROR(VLOOKUP("*"&amp;$A$3&amp;"*",INDIRECT("'"&amp;B7&amp;"'!B:L"),{2,3,4,5,6,7,8,9,10},0),"无")</f>
        <v>860</v>
      </c>
      <c r="D7" s="477">
        <v>5.3</v>
      </c>
      <c r="E7" s="477">
        <v>4.3</v>
      </c>
      <c r="F7" s="477">
        <v>4.3</v>
      </c>
      <c r="G7" s="478">
        <v>860</v>
      </c>
      <c r="H7" s="478">
        <v>5.3</v>
      </c>
      <c r="I7" s="478">
        <v>4.3</v>
      </c>
      <c r="J7" s="478">
        <v>4.3</v>
      </c>
      <c r="K7" s="478" t="str">
        <v>23-27天</v>
      </c>
    </row>
    <row r="8" ht="17.25" spans="1:11">
      <c r="A8" s="477"/>
      <c r="B8" s="477" t="s">
        <v>147</v>
      </c>
      <c r="C8" s="477" t="str" cm="1">
        <f ca="1" t="array" ref="C8:K8">IFERROR(VLOOKUP("*"&amp;$A$3&amp;"*",INDIRECT("'"&amp;B8&amp;"'!B:L"),{2,3,4,5,6,7,8,9,10},0),"无")</f>
        <v>无</v>
      </c>
      <c r="D8" s="477" t="str">
        <v>无</v>
      </c>
      <c r="E8" s="477" t="str">
        <v>无</v>
      </c>
      <c r="F8" s="477" t="str">
        <v>无</v>
      </c>
      <c r="G8" s="478" t="str">
        <v>无</v>
      </c>
      <c r="H8" s="478" t="str">
        <v>无</v>
      </c>
      <c r="I8" s="478" t="str">
        <v>无</v>
      </c>
      <c r="J8" s="478" t="str">
        <v>无</v>
      </c>
      <c r="K8" s="478" t="str">
        <v>22-26天</v>
      </c>
    </row>
    <row r="9" ht="18" spans="1:11">
      <c r="A9" s="520" t="s">
        <v>133</v>
      </c>
      <c r="B9" s="521" t="s">
        <v>2</v>
      </c>
      <c r="C9" s="190" t="s">
        <v>148</v>
      </c>
      <c r="D9" s="190"/>
      <c r="E9" s="190"/>
      <c r="F9" s="190" t="s">
        <v>149</v>
      </c>
      <c r="G9" s="190"/>
      <c r="H9" s="190"/>
      <c r="I9" s="190" t="s">
        <v>136</v>
      </c>
    </row>
    <row r="10" ht="36" spans="1:11">
      <c r="A10" s="522"/>
      <c r="B10" s="523"/>
      <c r="C10" s="190" t="s">
        <v>150</v>
      </c>
      <c r="D10" s="190" t="s">
        <v>138</v>
      </c>
      <c r="E10" s="190" t="s">
        <v>151</v>
      </c>
      <c r="F10" s="190" t="s">
        <v>150</v>
      </c>
      <c r="G10" s="190" t="s">
        <v>138</v>
      </c>
      <c r="H10" s="190" t="s">
        <v>151</v>
      </c>
      <c r="I10" s="190"/>
    </row>
    <row r="11" ht="17.25" spans="1:11">
      <c r="A11" s="525" t="str">
        <f>A3</f>
        <v>SCK8</v>
      </c>
      <c r="B11" s="477" t="s">
        <v>152</v>
      </c>
      <c r="C11" s="477" t="str" cm="1">
        <f ca="1" t="array" ref="C11">IFERROR(VLOOKUP("*"&amp;A11&amp;"*",INDIRECT("'"&amp;B11&amp;"'!B:L"),{2,3,4,5,6,7,8},0),"无")</f>
        <v>无</v>
      </c>
      <c r="D11" s="477"/>
      <c r="E11" s="477"/>
      <c r="F11" s="477"/>
      <c r="G11" s="478"/>
      <c r="H11" s="478"/>
      <c r="I11" s="478"/>
    </row>
    <row r="12" ht="17.25" spans="1:11">
      <c r="A12" s="477"/>
      <c r="B12" s="477" t="s">
        <v>153</v>
      </c>
      <c r="C12" s="477" t="str" cm="1">
        <f ca="1" t="array" ref="C12">IFERROR(VLOOKUP("*"&amp;A11&amp;"*",INDIRECT("'"&amp;B12&amp;"'!B:L"),{2,3,4,5,6,7,8},0),"无")</f>
        <v>无</v>
      </c>
      <c r="D12" s="477"/>
      <c r="E12" s="477"/>
      <c r="F12" s="477"/>
      <c r="G12" s="478"/>
      <c r="H12" s="478"/>
      <c r="I12" s="478"/>
    </row>
    <row r="13" ht="17.25" spans="1:11">
      <c r="A13" s="477"/>
      <c r="B13" s="477" t="s">
        <v>154</v>
      </c>
      <c r="C13" s="477" t="str" cm="1">
        <f ca="1" t="array" ref="C13">IFERROR(VLOOKUP("*"&amp;A11&amp;"*",INDIRECT("'"&amp;B13&amp;"'!B:L"),{2,3,4,5,6,7,8},0),"无")</f>
        <v>无</v>
      </c>
      <c r="D13" s="477"/>
      <c r="E13" s="477"/>
      <c r="F13" s="477"/>
      <c r="G13" s="478"/>
      <c r="H13" s="478"/>
      <c r="I13" s="478"/>
    </row>
    <row r="14" ht="17.25" spans="1:11">
      <c r="A14" s="477"/>
      <c r="B14" s="477" t="s">
        <v>155</v>
      </c>
      <c r="C14" s="477" t="str" cm="1">
        <f ca="1" t="array" ref="C14">IFERROR(VLOOKUP("*"&amp;A11&amp;"*",INDIRECT("'"&amp;B14&amp;"'!B:L"),{2,3,4,5,6,7,8},0),"无")</f>
        <v>无</v>
      </c>
      <c r="D14" s="477"/>
      <c r="E14" s="477"/>
      <c r="F14" s="477"/>
      <c r="G14" s="478"/>
      <c r="H14" s="478"/>
      <c r="I14" s="478"/>
    </row>
    <row r="15" ht="17.25" spans="1:11">
      <c r="A15" s="477"/>
      <c r="B15" s="477"/>
      <c r="C15" s="477"/>
      <c r="D15" s="477"/>
      <c r="E15" s="477"/>
      <c r="F15" s="477"/>
      <c r="G15" s="478"/>
      <c r="H15" s="478"/>
      <c r="I15" s="478"/>
    </row>
  </sheetData>
  <mergeCells count="8">
    <mergeCell ref="C1:F1"/>
    <mergeCell ref="G1:J1"/>
    <mergeCell ref="C9:E9"/>
    <mergeCell ref="F9:H9"/>
    <mergeCell ref="B1:B2"/>
    <mergeCell ref="B9:B10"/>
    <mergeCell ref="I9:I10"/>
    <mergeCell ref="K1:K2"/>
  </mergeCell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S140"/>
  <sheetViews>
    <sheetView zoomScale="85" zoomScaleNormal="85" topLeftCell="A121" workbookViewId="0">
      <selection activeCell="P130" sqref="P130"/>
    </sheetView>
  </sheetViews>
  <sheetFormatPr defaultColWidth="9" defaultRowHeight="17.25"/>
  <cols>
    <col min="1" max="1" width="19.875" style="468" customWidth="1"/>
    <col min="2" max="2" width="32.375" style="467" customWidth="1"/>
    <col min="3" max="8" width="11.125" style="467" customWidth="1"/>
    <col min="9" max="11" width="11.125" style="469" customWidth="1"/>
    <col min="12" max="13" width="11.5083333333333" style="469"/>
    <col min="14" max="15" width="9" style="469"/>
    <col min="16" max="16382" width="9" style="467"/>
  </cols>
  <sheetData>
    <row r="1" ht="18" spans="1:14">
      <c r="A1" s="470"/>
      <c r="B1" s="408" t="s">
        <v>156</v>
      </c>
      <c r="C1" s="408" t="s">
        <v>157</v>
      </c>
      <c r="D1" s="408"/>
      <c r="E1" s="408"/>
      <c r="F1" s="408" t="s">
        <v>158</v>
      </c>
      <c r="G1" s="408"/>
      <c r="H1" s="408"/>
      <c r="I1" s="471"/>
      <c r="J1" s="471"/>
      <c r="K1" s="471"/>
    </row>
    <row r="2" ht="36" spans="1:14">
      <c r="A2" s="470"/>
      <c r="B2" s="408"/>
      <c r="C2" s="408" t="s">
        <v>159</v>
      </c>
      <c r="D2" s="408" t="s">
        <v>160</v>
      </c>
      <c r="E2" s="472" t="s">
        <v>161</v>
      </c>
      <c r="F2" s="408" t="s">
        <v>159</v>
      </c>
      <c r="G2" s="408" t="s">
        <v>160</v>
      </c>
      <c r="H2" s="408" t="s">
        <v>161</v>
      </c>
      <c r="I2" s="473" t="s">
        <v>162</v>
      </c>
      <c r="J2" s="473" t="s">
        <v>163</v>
      </c>
      <c r="K2" s="473" t="s">
        <v>164</v>
      </c>
    </row>
    <row r="3" ht="25" customHeight="1" spans="1:14">
      <c r="A3" s="474" t="s">
        <v>165</v>
      </c>
      <c r="B3" s="475" t="s">
        <v>166</v>
      </c>
      <c r="C3" s="474">
        <f t="shared" ref="C3:C23" si="0">E3+J3</f>
        <v>15.4</v>
      </c>
      <c r="D3" s="474">
        <f t="shared" ref="D3:D23" si="1">E3+I3</f>
        <v>13.4</v>
      </c>
      <c r="E3" s="476">
        <v>12.4</v>
      </c>
      <c r="F3" s="477">
        <f t="shared" ref="F3:F23" si="2">H3+J3</f>
        <v>15</v>
      </c>
      <c r="G3" s="478">
        <f t="shared" ref="G3:G23" si="3">H3+I3</f>
        <v>13</v>
      </c>
      <c r="H3" s="479">
        <f t="shared" ref="H3:H23" si="4">E3-K3</f>
        <v>12</v>
      </c>
      <c r="I3" s="474">
        <v>1</v>
      </c>
      <c r="J3" s="474">
        <v>3</v>
      </c>
      <c r="K3" s="474">
        <v>0.4</v>
      </c>
      <c r="M3" s="476">
        <v>80</v>
      </c>
      <c r="N3" s="476">
        <v>0.1</v>
      </c>
    </row>
    <row r="4" ht="25" customHeight="1" spans="1:14">
      <c r="A4" s="474"/>
      <c r="B4" s="475" t="s">
        <v>167</v>
      </c>
      <c r="C4" s="474">
        <f t="shared" si="0"/>
        <v>16.6</v>
      </c>
      <c r="D4" s="474">
        <f t="shared" si="1"/>
        <v>14.6</v>
      </c>
      <c r="E4" s="476">
        <v>13.6</v>
      </c>
      <c r="F4" s="477">
        <f t="shared" si="2"/>
        <v>16.2</v>
      </c>
      <c r="G4" s="478">
        <f t="shared" si="3"/>
        <v>14.2</v>
      </c>
      <c r="H4" s="479">
        <f t="shared" si="4"/>
        <v>13.2</v>
      </c>
      <c r="I4" s="474">
        <v>1</v>
      </c>
      <c r="J4" s="474">
        <v>3</v>
      </c>
      <c r="K4" s="474">
        <v>0.4</v>
      </c>
    </row>
    <row r="5" ht="25" customHeight="1" spans="1:14">
      <c r="A5" s="474"/>
      <c r="B5" s="475" t="s">
        <v>168</v>
      </c>
      <c r="C5" s="474">
        <f t="shared" si="0"/>
        <v>17.6</v>
      </c>
      <c r="D5" s="474">
        <f t="shared" si="1"/>
        <v>15.6</v>
      </c>
      <c r="E5" s="476">
        <v>14.6</v>
      </c>
      <c r="F5" s="477">
        <f t="shared" si="2"/>
        <v>17.2</v>
      </c>
      <c r="G5" s="478">
        <f t="shared" si="3"/>
        <v>15.2</v>
      </c>
      <c r="H5" s="479">
        <f t="shared" si="4"/>
        <v>14.2</v>
      </c>
      <c r="I5" s="474">
        <v>1</v>
      </c>
      <c r="J5" s="474">
        <v>3</v>
      </c>
      <c r="K5" s="474">
        <v>0.4</v>
      </c>
    </row>
    <row r="6" ht="25" customHeight="1" spans="1:14">
      <c r="A6" s="470" t="s">
        <v>169</v>
      </c>
      <c r="B6" s="475" t="s">
        <v>166</v>
      </c>
      <c r="C6" s="474">
        <f t="shared" si="0"/>
        <v>15.1</v>
      </c>
      <c r="D6" s="474">
        <f t="shared" si="1"/>
        <v>13.1</v>
      </c>
      <c r="E6" s="476">
        <v>12.1</v>
      </c>
      <c r="F6" s="477">
        <f t="shared" si="2"/>
        <v>14.7</v>
      </c>
      <c r="G6" s="478">
        <f t="shared" si="3"/>
        <v>12.7</v>
      </c>
      <c r="H6" s="479">
        <f t="shared" si="4"/>
        <v>11.7</v>
      </c>
      <c r="I6" s="474">
        <v>1</v>
      </c>
      <c r="J6" s="474">
        <v>3</v>
      </c>
      <c r="K6" s="474">
        <v>0.4</v>
      </c>
    </row>
    <row r="7" ht="25" customHeight="1" spans="1:14">
      <c r="A7" s="470"/>
      <c r="B7" s="475" t="s">
        <v>167</v>
      </c>
      <c r="C7" s="474">
        <f t="shared" si="0"/>
        <v>16.3</v>
      </c>
      <c r="D7" s="474">
        <f t="shared" si="1"/>
        <v>14.3</v>
      </c>
      <c r="E7" s="476">
        <v>13.3</v>
      </c>
      <c r="F7" s="477">
        <f t="shared" si="2"/>
        <v>15.9</v>
      </c>
      <c r="G7" s="478">
        <f t="shared" si="3"/>
        <v>13.9</v>
      </c>
      <c r="H7" s="479">
        <f t="shared" si="4"/>
        <v>12.9</v>
      </c>
      <c r="I7" s="474">
        <v>1</v>
      </c>
      <c r="J7" s="474">
        <v>3</v>
      </c>
      <c r="K7" s="474">
        <v>0.4</v>
      </c>
    </row>
    <row r="8" ht="25" customHeight="1" spans="1:14">
      <c r="A8" s="470"/>
      <c r="B8" s="475" t="s">
        <v>168</v>
      </c>
      <c r="C8" s="474">
        <f t="shared" si="0"/>
        <v>17.3</v>
      </c>
      <c r="D8" s="474">
        <f t="shared" si="1"/>
        <v>15.3</v>
      </c>
      <c r="E8" s="476">
        <v>14.3</v>
      </c>
      <c r="F8" s="477">
        <f t="shared" si="2"/>
        <v>16.9</v>
      </c>
      <c r="G8" s="478">
        <f t="shared" si="3"/>
        <v>14.9</v>
      </c>
      <c r="H8" s="479">
        <f t="shared" si="4"/>
        <v>13.9</v>
      </c>
      <c r="I8" s="474">
        <v>1</v>
      </c>
      <c r="J8" s="474">
        <v>3</v>
      </c>
      <c r="K8" s="474">
        <v>0.4</v>
      </c>
    </row>
    <row r="9" ht="25" customHeight="1" spans="1:14">
      <c r="A9" s="470" t="s">
        <v>170</v>
      </c>
      <c r="B9" s="475" t="s">
        <v>166</v>
      </c>
      <c r="C9" s="474">
        <f t="shared" si="0"/>
        <v>13.3</v>
      </c>
      <c r="D9" s="474">
        <f t="shared" si="1"/>
        <v>11.3</v>
      </c>
      <c r="E9" s="476">
        <v>10.3</v>
      </c>
      <c r="F9" s="477">
        <f t="shared" si="2"/>
        <v>12.9</v>
      </c>
      <c r="G9" s="478">
        <f t="shared" si="3"/>
        <v>10.9</v>
      </c>
      <c r="H9" s="479">
        <f t="shared" si="4"/>
        <v>9.9</v>
      </c>
      <c r="I9" s="474">
        <v>1</v>
      </c>
      <c r="J9" s="474">
        <v>3</v>
      </c>
      <c r="K9" s="474">
        <v>0.4</v>
      </c>
    </row>
    <row r="10" ht="25" customHeight="1" spans="1:14">
      <c r="A10" s="470"/>
      <c r="B10" s="475" t="s">
        <v>167</v>
      </c>
      <c r="C10" s="474">
        <f t="shared" si="0"/>
        <v>14.5</v>
      </c>
      <c r="D10" s="474">
        <f t="shared" si="1"/>
        <v>12.5</v>
      </c>
      <c r="E10" s="476">
        <v>11.5</v>
      </c>
      <c r="F10" s="477">
        <f t="shared" si="2"/>
        <v>14.1</v>
      </c>
      <c r="G10" s="478">
        <f t="shared" si="3"/>
        <v>12.1</v>
      </c>
      <c r="H10" s="479">
        <f t="shared" si="4"/>
        <v>11.1</v>
      </c>
      <c r="I10" s="474">
        <v>1</v>
      </c>
      <c r="J10" s="474">
        <v>3</v>
      </c>
      <c r="K10" s="474">
        <v>0.4</v>
      </c>
    </row>
    <row r="11" ht="25" customHeight="1" spans="1:14">
      <c r="A11" s="470"/>
      <c r="B11" s="475" t="s">
        <v>168</v>
      </c>
      <c r="C11" s="474">
        <f t="shared" si="0"/>
        <v>15.5</v>
      </c>
      <c r="D11" s="474">
        <f t="shared" si="1"/>
        <v>13.5</v>
      </c>
      <c r="E11" s="476">
        <v>12.5</v>
      </c>
      <c r="F11" s="477">
        <f t="shared" si="2"/>
        <v>15.1</v>
      </c>
      <c r="G11" s="478">
        <f t="shared" si="3"/>
        <v>13.1</v>
      </c>
      <c r="H11" s="479">
        <f t="shared" si="4"/>
        <v>12.1</v>
      </c>
      <c r="I11" s="474">
        <v>1</v>
      </c>
      <c r="J11" s="474">
        <v>3</v>
      </c>
      <c r="K11" s="474">
        <v>0.4</v>
      </c>
    </row>
    <row r="12" ht="25" customHeight="1" spans="1:14">
      <c r="A12" s="480" t="s">
        <v>171</v>
      </c>
      <c r="B12" s="475" t="s">
        <v>166</v>
      </c>
      <c r="C12" s="474">
        <f t="shared" si="0"/>
        <v>12</v>
      </c>
      <c r="D12" s="474">
        <f t="shared" si="1"/>
        <v>10</v>
      </c>
      <c r="E12" s="476">
        <v>9</v>
      </c>
      <c r="F12" s="477">
        <f t="shared" si="2"/>
        <v>12</v>
      </c>
      <c r="G12" s="478">
        <f t="shared" si="3"/>
        <v>10</v>
      </c>
      <c r="H12" s="479">
        <f t="shared" si="4"/>
        <v>9</v>
      </c>
      <c r="I12" s="474">
        <v>1</v>
      </c>
      <c r="J12" s="474">
        <v>3</v>
      </c>
      <c r="K12" s="474">
        <v>0</v>
      </c>
    </row>
    <row r="13" ht="25" customHeight="1" spans="1:14">
      <c r="A13" s="480"/>
      <c r="B13" s="475" t="s">
        <v>167</v>
      </c>
      <c r="C13" s="474">
        <f t="shared" si="0"/>
        <v>13.2</v>
      </c>
      <c r="D13" s="474">
        <f t="shared" si="1"/>
        <v>11.2</v>
      </c>
      <c r="E13" s="476">
        <v>10.2</v>
      </c>
      <c r="F13" s="477">
        <f t="shared" si="2"/>
        <v>13.2</v>
      </c>
      <c r="G13" s="478">
        <f t="shared" si="3"/>
        <v>11.2</v>
      </c>
      <c r="H13" s="479">
        <f t="shared" si="4"/>
        <v>10.2</v>
      </c>
      <c r="I13" s="474">
        <v>1</v>
      </c>
      <c r="J13" s="474">
        <v>3</v>
      </c>
      <c r="K13" s="474">
        <v>0</v>
      </c>
    </row>
    <row r="14" ht="25" customHeight="1" spans="1:14">
      <c r="A14" s="480"/>
      <c r="B14" s="475" t="s">
        <v>168</v>
      </c>
      <c r="C14" s="474">
        <f t="shared" si="0"/>
        <v>14.2</v>
      </c>
      <c r="D14" s="474">
        <f t="shared" si="1"/>
        <v>12.2</v>
      </c>
      <c r="E14" s="476">
        <v>11.2</v>
      </c>
      <c r="F14" s="477">
        <f t="shared" si="2"/>
        <v>14.2</v>
      </c>
      <c r="G14" s="478">
        <f t="shared" si="3"/>
        <v>12.2</v>
      </c>
      <c r="H14" s="479">
        <f t="shared" si="4"/>
        <v>11.2</v>
      </c>
      <c r="I14" s="474">
        <v>1</v>
      </c>
      <c r="J14" s="474">
        <v>3</v>
      </c>
      <c r="K14" s="474">
        <v>0</v>
      </c>
    </row>
    <row r="15" ht="25" customHeight="1" spans="1:14">
      <c r="A15" s="481" t="s">
        <v>172</v>
      </c>
      <c r="B15" s="475" t="s">
        <v>166</v>
      </c>
      <c r="C15" s="474">
        <f t="shared" si="0"/>
        <v>12.3</v>
      </c>
      <c r="D15" s="474">
        <f t="shared" si="1"/>
        <v>10.3</v>
      </c>
      <c r="E15" s="476">
        <v>9.3</v>
      </c>
      <c r="F15" s="477">
        <f t="shared" si="2"/>
        <v>12</v>
      </c>
      <c r="G15" s="478">
        <f t="shared" si="3"/>
        <v>10</v>
      </c>
      <c r="H15" s="479">
        <f t="shared" si="4"/>
        <v>9</v>
      </c>
      <c r="I15" s="474">
        <v>1</v>
      </c>
      <c r="J15" s="474">
        <v>3</v>
      </c>
      <c r="K15" s="474">
        <v>0.3</v>
      </c>
    </row>
    <row r="16" ht="25" customHeight="1" spans="1:14">
      <c r="A16" s="481"/>
      <c r="B16" s="475" t="s">
        <v>167</v>
      </c>
      <c r="C16" s="474">
        <f t="shared" si="0"/>
        <v>13.5</v>
      </c>
      <c r="D16" s="474">
        <f t="shared" si="1"/>
        <v>11.5</v>
      </c>
      <c r="E16" s="476">
        <v>10.5</v>
      </c>
      <c r="F16" s="477">
        <f t="shared" si="2"/>
        <v>13.2</v>
      </c>
      <c r="G16" s="478">
        <f t="shared" si="3"/>
        <v>11.2</v>
      </c>
      <c r="H16" s="479">
        <f t="shared" si="4"/>
        <v>10.2</v>
      </c>
      <c r="I16" s="474">
        <v>1</v>
      </c>
      <c r="J16" s="474">
        <v>3</v>
      </c>
      <c r="K16" s="474">
        <v>0.3</v>
      </c>
    </row>
    <row r="17" ht="25" customHeight="1" spans="1:19">
      <c r="A17" s="481"/>
      <c r="B17" s="475" t="s">
        <v>168</v>
      </c>
      <c r="C17" s="474">
        <f t="shared" si="0"/>
        <v>14.5</v>
      </c>
      <c r="D17" s="474">
        <f t="shared" si="1"/>
        <v>12.5</v>
      </c>
      <c r="E17" s="476">
        <v>11.5</v>
      </c>
      <c r="F17" s="477">
        <f t="shared" si="2"/>
        <v>14.2</v>
      </c>
      <c r="G17" s="478">
        <f t="shared" si="3"/>
        <v>12.2</v>
      </c>
      <c r="H17" s="479">
        <f t="shared" si="4"/>
        <v>11.2</v>
      </c>
      <c r="I17" s="474">
        <v>1</v>
      </c>
      <c r="J17" s="474">
        <v>3</v>
      </c>
      <c r="K17" s="474">
        <v>0.3</v>
      </c>
    </row>
    <row r="18" ht="25" customHeight="1" spans="1:19">
      <c r="A18" s="470" t="s">
        <v>173</v>
      </c>
      <c r="B18" s="475" t="s">
        <v>166</v>
      </c>
      <c r="C18" s="474">
        <f t="shared" si="0"/>
        <v>10.8</v>
      </c>
      <c r="D18" s="474">
        <f t="shared" si="1"/>
        <v>8.8</v>
      </c>
      <c r="E18" s="476">
        <v>7.8</v>
      </c>
      <c r="F18" s="477">
        <f t="shared" si="2"/>
        <v>10.8</v>
      </c>
      <c r="G18" s="478">
        <f t="shared" si="3"/>
        <v>8.8</v>
      </c>
      <c r="H18" s="479">
        <f t="shared" si="4"/>
        <v>7.8</v>
      </c>
      <c r="I18" s="474">
        <v>1</v>
      </c>
      <c r="J18" s="474">
        <v>3</v>
      </c>
      <c r="K18" s="474">
        <v>0</v>
      </c>
    </row>
    <row r="19" ht="25" customHeight="1" spans="1:19">
      <c r="A19" s="470"/>
      <c r="B19" s="475" t="s">
        <v>167</v>
      </c>
      <c r="C19" s="474">
        <f t="shared" si="0"/>
        <v>12</v>
      </c>
      <c r="D19" s="474">
        <f t="shared" si="1"/>
        <v>10</v>
      </c>
      <c r="E19" s="476">
        <v>9</v>
      </c>
      <c r="F19" s="477">
        <f t="shared" si="2"/>
        <v>12</v>
      </c>
      <c r="G19" s="478">
        <f t="shared" si="3"/>
        <v>10</v>
      </c>
      <c r="H19" s="479">
        <f t="shared" si="4"/>
        <v>9</v>
      </c>
      <c r="I19" s="474">
        <v>1</v>
      </c>
      <c r="J19" s="474">
        <v>3</v>
      </c>
      <c r="K19" s="474">
        <v>0</v>
      </c>
    </row>
    <row r="20" ht="25" customHeight="1" spans="1:19">
      <c r="A20" s="470"/>
      <c r="B20" s="475" t="s">
        <v>168</v>
      </c>
      <c r="C20" s="474">
        <f t="shared" si="0"/>
        <v>13</v>
      </c>
      <c r="D20" s="474">
        <f t="shared" si="1"/>
        <v>11</v>
      </c>
      <c r="E20" s="476">
        <v>10</v>
      </c>
      <c r="F20" s="477">
        <f t="shared" si="2"/>
        <v>13</v>
      </c>
      <c r="G20" s="478">
        <f t="shared" si="3"/>
        <v>11</v>
      </c>
      <c r="H20" s="479">
        <f t="shared" si="4"/>
        <v>10</v>
      </c>
      <c r="I20" s="474">
        <v>1</v>
      </c>
      <c r="J20" s="474">
        <v>3</v>
      </c>
      <c r="K20" s="474">
        <v>0</v>
      </c>
    </row>
    <row r="21" s="467" customFormat="1" spans="1:19">
      <c r="A21" s="468"/>
      <c r="B21" s="482"/>
      <c r="C21" s="483"/>
      <c r="D21" s="484"/>
      <c r="E21" s="484"/>
      <c r="F21" s="485"/>
      <c r="G21" s="483"/>
      <c r="H21" s="484"/>
      <c r="I21" s="484"/>
      <c r="J21" s="485"/>
      <c r="K21" s="469"/>
      <c r="L21" s="469"/>
      <c r="M21" s="469"/>
      <c r="N21" s="469"/>
      <c r="O21" s="469"/>
    </row>
    <row r="22" s="467" customFormat="1" ht="18" spans="1:19">
      <c r="A22" s="474" t="s">
        <v>174</v>
      </c>
      <c r="B22" s="190" t="s">
        <v>175</v>
      </c>
      <c r="C22" s="190" t="s">
        <v>134</v>
      </c>
      <c r="D22" s="190"/>
      <c r="E22" s="190"/>
      <c r="F22" s="190"/>
      <c r="G22" s="190" t="s">
        <v>135</v>
      </c>
      <c r="H22" s="190"/>
      <c r="I22" s="190"/>
      <c r="J22" s="190"/>
      <c r="K22" s="471"/>
      <c r="L22" s="471"/>
      <c r="M22" s="471"/>
      <c r="N22" s="471"/>
      <c r="O22" s="469"/>
    </row>
    <row r="23" s="467" customFormat="1" ht="46" customHeight="1" spans="1:19">
      <c r="A23" s="474"/>
      <c r="B23" s="190"/>
      <c r="C23" s="190" t="s">
        <v>137</v>
      </c>
      <c r="D23" s="190" t="s">
        <v>138</v>
      </c>
      <c r="E23" s="190" t="s">
        <v>139</v>
      </c>
      <c r="F23" s="190" t="s">
        <v>140</v>
      </c>
      <c r="G23" s="190" t="s">
        <v>137</v>
      </c>
      <c r="H23" s="190" t="s">
        <v>138</v>
      </c>
      <c r="I23" s="190" t="s">
        <v>139</v>
      </c>
      <c r="J23" s="190" t="s">
        <v>140</v>
      </c>
      <c r="K23" s="190" t="s">
        <v>137</v>
      </c>
      <c r="L23" s="190" t="s">
        <v>138</v>
      </c>
      <c r="M23" s="190" t="s">
        <v>139</v>
      </c>
      <c r="N23" s="473" t="s">
        <v>164</v>
      </c>
    </row>
    <row r="24" ht="81" spans="1:19">
      <c r="A24" s="474"/>
      <c r="B24" s="278" t="s">
        <v>176</v>
      </c>
      <c r="C24" s="486">
        <f t="shared" ref="C24:C32" si="5">F24*200</f>
        <v>1800</v>
      </c>
      <c r="D24" s="487">
        <f t="shared" ref="D24:D27" si="6">F24+L24</f>
        <v>10</v>
      </c>
      <c r="E24" s="487">
        <f t="shared" ref="E24:E27" si="7">F24+M24</f>
        <v>9</v>
      </c>
      <c r="F24" s="488">
        <f t="shared" ref="F24:F32" si="8">J24+N24</f>
        <v>9</v>
      </c>
      <c r="G24" s="486">
        <f t="shared" ref="G24:G32" si="9">J24*200</f>
        <v>1720</v>
      </c>
      <c r="H24" s="487">
        <f t="shared" ref="H24:H27" si="10">D24-N24</f>
        <v>9.6</v>
      </c>
      <c r="I24" s="487">
        <f t="shared" ref="I24:I27" si="11">E24-N24</f>
        <v>8.6</v>
      </c>
      <c r="J24" s="489">
        <v>8.6</v>
      </c>
      <c r="K24" s="474">
        <v>80</v>
      </c>
      <c r="L24" s="474">
        <v>1</v>
      </c>
      <c r="M24" s="474">
        <v>0</v>
      </c>
      <c r="N24" s="474">
        <v>0.4</v>
      </c>
      <c r="P24" s="489">
        <v>0.3</v>
      </c>
      <c r="Q24" s="490">
        <v>80</v>
      </c>
      <c r="S24"/>
    </row>
    <row r="25" ht="40.5" spans="1:19">
      <c r="A25" s="474"/>
      <c r="B25" s="257" t="s">
        <v>177</v>
      </c>
      <c r="C25" s="486">
        <f t="shared" si="5"/>
        <v>1840</v>
      </c>
      <c r="D25" s="487">
        <f t="shared" si="6"/>
        <v>10.2</v>
      </c>
      <c r="E25" s="487">
        <f t="shared" si="7"/>
        <v>9.2</v>
      </c>
      <c r="F25" s="488">
        <f t="shared" si="8"/>
        <v>9.2</v>
      </c>
      <c r="G25" s="486">
        <f t="shared" si="9"/>
        <v>1760</v>
      </c>
      <c r="H25" s="487">
        <f t="shared" si="10"/>
        <v>9.8</v>
      </c>
      <c r="I25" s="487">
        <f t="shared" si="11"/>
        <v>8.8</v>
      </c>
      <c r="J25" s="489">
        <v>8.8</v>
      </c>
      <c r="K25" s="474">
        <v>80</v>
      </c>
      <c r="L25" s="474">
        <v>1</v>
      </c>
      <c r="M25" s="474">
        <v>0</v>
      </c>
      <c r="N25" s="474">
        <v>0.4</v>
      </c>
      <c r="S25"/>
    </row>
    <row r="26" ht="162" spans="1:19">
      <c r="A26" s="474"/>
      <c r="B26" s="278" t="s">
        <v>178</v>
      </c>
      <c r="C26" s="486">
        <f t="shared" si="5"/>
        <v>1900</v>
      </c>
      <c r="D26" s="487">
        <f t="shared" si="6"/>
        <v>10.5</v>
      </c>
      <c r="E26" s="487">
        <f t="shared" si="7"/>
        <v>9.5</v>
      </c>
      <c r="F26" s="488">
        <f t="shared" si="8"/>
        <v>9.5</v>
      </c>
      <c r="G26" s="486">
        <f t="shared" si="9"/>
        <v>1820</v>
      </c>
      <c r="H26" s="487">
        <f t="shared" si="10"/>
        <v>10.1</v>
      </c>
      <c r="I26" s="487">
        <f t="shared" si="11"/>
        <v>9.1</v>
      </c>
      <c r="J26" s="489">
        <v>9.1</v>
      </c>
      <c r="K26" s="474">
        <v>80</v>
      </c>
      <c r="L26" s="474">
        <v>1</v>
      </c>
      <c r="M26" s="474">
        <v>0</v>
      </c>
      <c r="N26" s="474">
        <v>0.4</v>
      </c>
      <c r="S26"/>
    </row>
    <row r="27" ht="20.25" spans="1:19">
      <c r="A27" s="474"/>
      <c r="B27" s="278" t="s">
        <v>179</v>
      </c>
      <c r="C27" s="486">
        <f t="shared" si="5"/>
        <v>2060</v>
      </c>
      <c r="D27" s="487">
        <f t="shared" si="6"/>
        <v>11.3</v>
      </c>
      <c r="E27" s="487">
        <f t="shared" si="7"/>
        <v>10.3</v>
      </c>
      <c r="F27" s="488">
        <f t="shared" si="8"/>
        <v>10.3</v>
      </c>
      <c r="G27" s="486">
        <f t="shared" si="9"/>
        <v>1980</v>
      </c>
      <c r="H27" s="487">
        <f t="shared" si="10"/>
        <v>10.9</v>
      </c>
      <c r="I27" s="487">
        <f t="shared" si="11"/>
        <v>9.9</v>
      </c>
      <c r="J27" s="489">
        <v>9.9</v>
      </c>
      <c r="K27" s="474">
        <v>80</v>
      </c>
      <c r="L27" s="474">
        <v>1</v>
      </c>
      <c r="M27" s="474">
        <v>0</v>
      </c>
      <c r="N27" s="474">
        <v>0.4</v>
      </c>
      <c r="S27"/>
    </row>
    <row r="28" ht="101.25" spans="1:19">
      <c r="A28" s="474"/>
      <c r="B28" s="284" t="s">
        <v>180</v>
      </c>
      <c r="C28" s="486">
        <f t="shared" si="5"/>
        <v>2160</v>
      </c>
      <c r="D28" s="491" t="s">
        <v>181</v>
      </c>
      <c r="E28" s="491" t="s">
        <v>181</v>
      </c>
      <c r="F28" s="488">
        <f t="shared" si="8"/>
        <v>10.8</v>
      </c>
      <c r="G28" s="486">
        <f t="shared" si="9"/>
        <v>2080</v>
      </c>
      <c r="H28" s="491" t="s">
        <v>181</v>
      </c>
      <c r="I28" s="491" t="s">
        <v>181</v>
      </c>
      <c r="J28" s="489">
        <v>10.4</v>
      </c>
      <c r="K28" s="474">
        <v>80</v>
      </c>
      <c r="L28" s="474">
        <v>1</v>
      </c>
      <c r="M28" s="474">
        <v>0</v>
      </c>
      <c r="N28" s="474">
        <v>0.4</v>
      </c>
      <c r="S28"/>
    </row>
    <row r="29" ht="121.5" spans="1:19">
      <c r="A29" s="474"/>
      <c r="B29" s="286" t="s">
        <v>182</v>
      </c>
      <c r="C29" s="486">
        <f t="shared" si="5"/>
        <v>2200</v>
      </c>
      <c r="D29" s="491" t="s">
        <v>181</v>
      </c>
      <c r="E29" s="491" t="s">
        <v>181</v>
      </c>
      <c r="F29" s="488">
        <f t="shared" si="8"/>
        <v>11</v>
      </c>
      <c r="G29" s="486">
        <f t="shared" si="9"/>
        <v>2120</v>
      </c>
      <c r="H29" s="491" t="s">
        <v>181</v>
      </c>
      <c r="I29" s="491" t="s">
        <v>181</v>
      </c>
      <c r="J29" s="489">
        <v>10.6</v>
      </c>
      <c r="K29" s="474">
        <v>80</v>
      </c>
      <c r="L29" s="474">
        <v>1</v>
      </c>
      <c r="M29" s="474">
        <v>0</v>
      </c>
      <c r="N29" s="474">
        <v>0.4</v>
      </c>
      <c r="S29"/>
    </row>
    <row r="30" ht="81" spans="1:19">
      <c r="A30" s="474"/>
      <c r="B30" s="287" t="s">
        <v>183</v>
      </c>
      <c r="C30" s="486">
        <f t="shared" si="5"/>
        <v>2380</v>
      </c>
      <c r="D30" s="491" t="s">
        <v>181</v>
      </c>
      <c r="E30" s="491" t="s">
        <v>181</v>
      </c>
      <c r="F30" s="488">
        <f t="shared" si="8"/>
        <v>11.9</v>
      </c>
      <c r="G30" s="486">
        <f t="shared" si="9"/>
        <v>2300</v>
      </c>
      <c r="H30" s="491" t="s">
        <v>181</v>
      </c>
      <c r="I30" s="491" t="s">
        <v>181</v>
      </c>
      <c r="J30" s="489">
        <v>11.5</v>
      </c>
      <c r="K30" s="474">
        <v>80</v>
      </c>
      <c r="L30" s="474">
        <v>1</v>
      </c>
      <c r="M30" s="474">
        <v>0</v>
      </c>
      <c r="N30" s="474">
        <v>0.4</v>
      </c>
      <c r="S30"/>
    </row>
    <row r="31" ht="121.5" spans="1:19">
      <c r="A31" s="474"/>
      <c r="B31" s="286" t="s">
        <v>184</v>
      </c>
      <c r="C31" s="486">
        <f t="shared" si="5"/>
        <v>2460</v>
      </c>
      <c r="D31" s="491" t="s">
        <v>181</v>
      </c>
      <c r="E31" s="491" t="s">
        <v>181</v>
      </c>
      <c r="F31" s="488">
        <f t="shared" si="8"/>
        <v>12.3</v>
      </c>
      <c r="G31" s="486">
        <f t="shared" si="9"/>
        <v>2380</v>
      </c>
      <c r="H31" s="491" t="s">
        <v>181</v>
      </c>
      <c r="I31" s="491" t="s">
        <v>181</v>
      </c>
      <c r="J31" s="489">
        <v>11.9</v>
      </c>
      <c r="K31" s="474">
        <v>80</v>
      </c>
      <c r="L31" s="474">
        <v>1.5</v>
      </c>
      <c r="M31" s="474">
        <v>0</v>
      </c>
      <c r="N31" s="474">
        <v>0.4</v>
      </c>
      <c r="S31"/>
    </row>
    <row r="32" spans="1:19">
      <c r="B32" s="492" t="s">
        <v>185</v>
      </c>
      <c r="C32" s="486">
        <f t="shared" si="5"/>
        <v>1800</v>
      </c>
      <c r="D32" s="491" t="s">
        <v>38</v>
      </c>
      <c r="E32" s="491" t="s">
        <v>38</v>
      </c>
      <c r="F32" s="488">
        <f t="shared" si="8"/>
        <v>9</v>
      </c>
      <c r="G32" s="486">
        <f t="shared" si="9"/>
        <v>1720</v>
      </c>
      <c r="H32" s="491" t="s">
        <v>38</v>
      </c>
      <c r="I32" s="474" t="s">
        <v>38</v>
      </c>
      <c r="J32" s="489">
        <v>8.6</v>
      </c>
      <c r="K32" s="474">
        <v>80</v>
      </c>
      <c r="L32" s="474"/>
      <c r="M32" s="474"/>
      <c r="N32" s="474">
        <v>0.4</v>
      </c>
      <c r="S32"/>
    </row>
    <row r="33" spans="1:19">
      <c r="S33"/>
    </row>
    <row r="34" ht="18" spans="1:19">
      <c r="A34" s="493" t="s">
        <v>186</v>
      </c>
      <c r="B34" s="190" t="s">
        <v>175</v>
      </c>
      <c r="C34" s="190" t="s">
        <v>134</v>
      </c>
      <c r="D34" s="190"/>
      <c r="E34" s="190"/>
      <c r="F34" s="190"/>
      <c r="G34" s="190" t="s">
        <v>135</v>
      </c>
      <c r="H34" s="190"/>
      <c r="I34" s="190"/>
      <c r="J34" s="190"/>
      <c r="K34" s="471"/>
      <c r="L34" s="471"/>
      <c r="M34" s="471"/>
      <c r="N34" s="471"/>
      <c r="S34"/>
    </row>
    <row r="35" ht="42" customHeight="1" spans="1:19">
      <c r="A35" s="494"/>
      <c r="B35" s="190"/>
      <c r="C35" s="190" t="s">
        <v>137</v>
      </c>
      <c r="D35" s="190" t="s">
        <v>138</v>
      </c>
      <c r="E35" s="190" t="s">
        <v>139</v>
      </c>
      <c r="F35" s="495" t="s">
        <v>140</v>
      </c>
      <c r="G35" s="495" t="s">
        <v>137</v>
      </c>
      <c r="H35" s="190" t="s">
        <v>138</v>
      </c>
      <c r="I35" s="190" t="s">
        <v>139</v>
      </c>
      <c r="J35" s="190" t="s">
        <v>140</v>
      </c>
      <c r="K35" s="190" t="s">
        <v>137</v>
      </c>
      <c r="L35" s="190" t="s">
        <v>138</v>
      </c>
      <c r="M35" s="190" t="s">
        <v>139</v>
      </c>
      <c r="N35" s="473" t="s">
        <v>164</v>
      </c>
    </row>
    <row r="36" ht="81" spans="1:19">
      <c r="A36" s="494"/>
      <c r="B36" s="278" t="s">
        <v>176</v>
      </c>
      <c r="C36" s="486">
        <f t="shared" ref="C36:C44" si="12">F36*200</f>
        <v>1740</v>
      </c>
      <c r="D36" s="487">
        <f t="shared" ref="D36:D39" si="13">F36+L36</f>
        <v>9.7</v>
      </c>
      <c r="E36" s="487">
        <f t="shared" ref="E36:E39" si="14">F36+M36</f>
        <v>8.7</v>
      </c>
      <c r="F36" s="488">
        <f t="shared" ref="F36:F44" si="15">J36+N36</f>
        <v>8.7</v>
      </c>
      <c r="G36" s="486">
        <f t="shared" ref="G36:G44" si="16">J36*200</f>
        <v>1660</v>
      </c>
      <c r="H36" s="487">
        <f t="shared" ref="H36:H39" si="17">D36-N36</f>
        <v>9.3</v>
      </c>
      <c r="I36" s="487">
        <f t="shared" ref="I36:I39" si="18">E36-N36</f>
        <v>8.3</v>
      </c>
      <c r="J36" s="489">
        <v>8.3</v>
      </c>
      <c r="K36" s="474">
        <v>80</v>
      </c>
      <c r="L36" s="474">
        <v>1</v>
      </c>
      <c r="M36" s="474">
        <v>0</v>
      </c>
      <c r="N36" s="474">
        <v>0.4</v>
      </c>
      <c r="P36" s="490">
        <v>80</v>
      </c>
      <c r="Q36" s="489">
        <v>0.3</v>
      </c>
      <c r="S36" s="489"/>
    </row>
    <row r="37" ht="40.5" spans="1:19">
      <c r="A37" s="494"/>
      <c r="B37" s="257" t="s">
        <v>177</v>
      </c>
      <c r="C37" s="486">
        <f t="shared" si="12"/>
        <v>1780</v>
      </c>
      <c r="D37" s="487">
        <f t="shared" si="13"/>
        <v>9.9</v>
      </c>
      <c r="E37" s="487">
        <f t="shared" si="14"/>
        <v>8.9</v>
      </c>
      <c r="F37" s="488">
        <f t="shared" si="15"/>
        <v>8.9</v>
      </c>
      <c r="G37" s="486">
        <f t="shared" si="16"/>
        <v>1700</v>
      </c>
      <c r="H37" s="487">
        <f t="shared" si="17"/>
        <v>9.5</v>
      </c>
      <c r="I37" s="487">
        <f t="shared" si="18"/>
        <v>8.5</v>
      </c>
      <c r="J37" s="489">
        <v>8.5</v>
      </c>
      <c r="K37" s="474">
        <v>80</v>
      </c>
      <c r="L37" s="474">
        <v>1</v>
      </c>
      <c r="M37" s="474">
        <v>0</v>
      </c>
      <c r="N37" s="474">
        <v>0.4</v>
      </c>
      <c r="S37"/>
    </row>
    <row r="38" ht="162" spans="1:19">
      <c r="A38" s="494"/>
      <c r="B38" s="278" t="s">
        <v>178</v>
      </c>
      <c r="C38" s="486">
        <f t="shared" si="12"/>
        <v>1840</v>
      </c>
      <c r="D38" s="487">
        <f t="shared" si="13"/>
        <v>10.2</v>
      </c>
      <c r="E38" s="487">
        <f t="shared" si="14"/>
        <v>9.2</v>
      </c>
      <c r="F38" s="488">
        <f t="shared" si="15"/>
        <v>9.2</v>
      </c>
      <c r="G38" s="486">
        <f t="shared" si="16"/>
        <v>1760</v>
      </c>
      <c r="H38" s="487">
        <f t="shared" si="17"/>
        <v>9.8</v>
      </c>
      <c r="I38" s="487">
        <f t="shared" si="18"/>
        <v>8.8</v>
      </c>
      <c r="J38" s="489">
        <v>8.8</v>
      </c>
      <c r="K38" s="474">
        <v>80</v>
      </c>
      <c r="L38" s="474">
        <v>1</v>
      </c>
      <c r="M38" s="474">
        <v>0</v>
      </c>
      <c r="N38" s="474">
        <v>0.4</v>
      </c>
      <c r="S38"/>
    </row>
    <row r="39" ht="20.25" spans="1:19">
      <c r="A39" s="494"/>
      <c r="B39" s="278" t="s">
        <v>179</v>
      </c>
      <c r="C39" s="486">
        <f t="shared" si="12"/>
        <v>2000</v>
      </c>
      <c r="D39" s="487">
        <f t="shared" si="13"/>
        <v>11</v>
      </c>
      <c r="E39" s="487">
        <f t="shared" si="14"/>
        <v>10</v>
      </c>
      <c r="F39" s="488">
        <f t="shared" si="15"/>
        <v>10</v>
      </c>
      <c r="G39" s="486">
        <f t="shared" si="16"/>
        <v>1920</v>
      </c>
      <c r="H39" s="487">
        <f t="shared" si="17"/>
        <v>10.6</v>
      </c>
      <c r="I39" s="487">
        <f t="shared" si="18"/>
        <v>9.6</v>
      </c>
      <c r="J39" s="489">
        <v>9.6</v>
      </c>
      <c r="K39" s="474">
        <v>80</v>
      </c>
      <c r="L39" s="474">
        <v>1</v>
      </c>
      <c r="M39" s="474">
        <v>0</v>
      </c>
      <c r="N39" s="474">
        <v>0.4</v>
      </c>
      <c r="S39"/>
    </row>
    <row r="40" ht="101.25" spans="1:19">
      <c r="A40" s="494"/>
      <c r="B40" s="284" t="s">
        <v>180</v>
      </c>
      <c r="C40" s="486">
        <f t="shared" si="12"/>
        <v>2100</v>
      </c>
      <c r="D40" s="491" t="s">
        <v>181</v>
      </c>
      <c r="E40" s="491" t="s">
        <v>181</v>
      </c>
      <c r="F40" s="488">
        <f t="shared" si="15"/>
        <v>10.5</v>
      </c>
      <c r="G40" s="486">
        <f t="shared" si="16"/>
        <v>2020</v>
      </c>
      <c r="H40" s="491" t="s">
        <v>181</v>
      </c>
      <c r="I40" s="491" t="s">
        <v>181</v>
      </c>
      <c r="J40" s="489">
        <v>10.1</v>
      </c>
      <c r="K40" s="474">
        <v>80</v>
      </c>
      <c r="L40" s="474">
        <v>1</v>
      </c>
      <c r="M40" s="474">
        <v>0</v>
      </c>
      <c r="N40" s="474">
        <v>0.4</v>
      </c>
      <c r="S40"/>
    </row>
    <row r="41" ht="121.5" spans="1:19">
      <c r="A41" s="494"/>
      <c r="B41" s="286" t="s">
        <v>182</v>
      </c>
      <c r="C41" s="486">
        <f t="shared" si="12"/>
        <v>2140</v>
      </c>
      <c r="D41" s="491" t="s">
        <v>181</v>
      </c>
      <c r="E41" s="491" t="s">
        <v>181</v>
      </c>
      <c r="F41" s="488">
        <f t="shared" si="15"/>
        <v>10.7</v>
      </c>
      <c r="G41" s="486">
        <f t="shared" si="16"/>
        <v>2060</v>
      </c>
      <c r="H41" s="491" t="s">
        <v>181</v>
      </c>
      <c r="I41" s="491" t="s">
        <v>181</v>
      </c>
      <c r="J41" s="489">
        <v>10.3</v>
      </c>
      <c r="K41" s="474">
        <v>80</v>
      </c>
      <c r="L41" s="474">
        <v>1</v>
      </c>
      <c r="M41" s="474">
        <v>0</v>
      </c>
      <c r="N41" s="474">
        <v>0.4</v>
      </c>
      <c r="S41"/>
    </row>
    <row r="42" ht="81" spans="1:19">
      <c r="A42" s="494"/>
      <c r="B42" s="287" t="s">
        <v>183</v>
      </c>
      <c r="C42" s="486">
        <f t="shared" si="12"/>
        <v>2320</v>
      </c>
      <c r="D42" s="491" t="s">
        <v>181</v>
      </c>
      <c r="E42" s="491" t="s">
        <v>181</v>
      </c>
      <c r="F42" s="488">
        <f t="shared" si="15"/>
        <v>11.6</v>
      </c>
      <c r="G42" s="486">
        <f t="shared" si="16"/>
        <v>2240</v>
      </c>
      <c r="H42" s="491" t="s">
        <v>181</v>
      </c>
      <c r="I42" s="491" t="s">
        <v>181</v>
      </c>
      <c r="J42" s="489">
        <v>11.2</v>
      </c>
      <c r="K42" s="474">
        <v>80</v>
      </c>
      <c r="L42" s="474">
        <v>1</v>
      </c>
      <c r="M42" s="474">
        <v>0</v>
      </c>
      <c r="N42" s="474">
        <v>0.4</v>
      </c>
      <c r="S42"/>
    </row>
    <row r="43" ht="121.5" spans="1:19">
      <c r="A43" s="494"/>
      <c r="B43" s="286" t="s">
        <v>184</v>
      </c>
      <c r="C43" s="486">
        <f t="shared" si="12"/>
        <v>2400</v>
      </c>
      <c r="D43" s="491" t="s">
        <v>181</v>
      </c>
      <c r="E43" s="491" t="s">
        <v>181</v>
      </c>
      <c r="F43" s="488">
        <f t="shared" si="15"/>
        <v>12</v>
      </c>
      <c r="G43" s="486">
        <f t="shared" si="16"/>
        <v>2320</v>
      </c>
      <c r="H43" s="491" t="s">
        <v>181</v>
      </c>
      <c r="I43" s="491" t="s">
        <v>181</v>
      </c>
      <c r="J43" s="489">
        <v>11.6</v>
      </c>
      <c r="K43" s="474">
        <v>80</v>
      </c>
      <c r="L43" s="474">
        <v>1.5</v>
      </c>
      <c r="M43" s="474">
        <v>0</v>
      </c>
      <c r="N43" s="474">
        <v>0.4</v>
      </c>
      <c r="S43"/>
    </row>
    <row r="44" spans="1:19">
      <c r="B44" s="492" t="s">
        <v>185</v>
      </c>
      <c r="C44" s="486">
        <f t="shared" si="12"/>
        <v>1740</v>
      </c>
      <c r="D44" s="491" t="s">
        <v>38</v>
      </c>
      <c r="E44" s="491" t="s">
        <v>38</v>
      </c>
      <c r="F44" s="488">
        <f t="shared" si="15"/>
        <v>8.7</v>
      </c>
      <c r="G44" s="486">
        <f t="shared" si="16"/>
        <v>1660</v>
      </c>
      <c r="H44" s="491" t="s">
        <v>38</v>
      </c>
      <c r="I44" s="474" t="s">
        <v>38</v>
      </c>
      <c r="J44" s="489">
        <v>8.3</v>
      </c>
      <c r="K44" s="474">
        <v>80</v>
      </c>
      <c r="L44" s="474"/>
      <c r="M44" s="474"/>
      <c r="N44" s="474">
        <v>0.4</v>
      </c>
    </row>
    <row r="46" ht="18" spans="1:19">
      <c r="A46" s="493" t="s">
        <v>187</v>
      </c>
      <c r="B46" s="190" t="s">
        <v>175</v>
      </c>
      <c r="C46" s="190" t="s">
        <v>134</v>
      </c>
      <c r="D46" s="190"/>
      <c r="E46" s="190"/>
      <c r="F46" s="190"/>
      <c r="G46" s="190" t="s">
        <v>135</v>
      </c>
      <c r="H46" s="190"/>
      <c r="I46" s="190"/>
      <c r="J46" s="190"/>
      <c r="K46" s="471"/>
      <c r="L46" s="471"/>
      <c r="M46" s="471"/>
      <c r="N46" s="471"/>
      <c r="O46" s="467"/>
    </row>
    <row r="47" ht="36" spans="1:19">
      <c r="A47" s="494"/>
      <c r="B47" s="190"/>
      <c r="C47" s="190" t="s">
        <v>137</v>
      </c>
      <c r="D47" s="190" t="s">
        <v>138</v>
      </c>
      <c r="E47" s="190" t="s">
        <v>139</v>
      </c>
      <c r="F47" s="495" t="s">
        <v>140</v>
      </c>
      <c r="G47" s="495" t="s">
        <v>137</v>
      </c>
      <c r="H47" s="190" t="s">
        <v>138</v>
      </c>
      <c r="I47" s="190" t="s">
        <v>139</v>
      </c>
      <c r="J47" s="190" t="s">
        <v>140</v>
      </c>
      <c r="K47" s="190" t="s">
        <v>137</v>
      </c>
      <c r="L47" s="190" t="s">
        <v>138</v>
      </c>
      <c r="M47" s="190" t="s">
        <v>139</v>
      </c>
      <c r="N47" s="473" t="s">
        <v>164</v>
      </c>
    </row>
    <row r="48" ht="81" spans="1:19">
      <c r="A48" s="494"/>
      <c r="B48" s="278" t="s">
        <v>176</v>
      </c>
      <c r="C48" s="486">
        <f t="shared" ref="C48:C56" si="19">F48*200</f>
        <v>1260</v>
      </c>
      <c r="D48" s="487">
        <f t="shared" ref="D48:D51" si="20">F48+L48</f>
        <v>7.3</v>
      </c>
      <c r="E48" s="487">
        <f t="shared" ref="E48:E51" si="21">F48+M48</f>
        <v>6.3</v>
      </c>
      <c r="F48" s="488">
        <f t="shared" ref="F48:F56" si="22">J48+N48</f>
        <v>6.3</v>
      </c>
      <c r="G48" s="486">
        <f t="shared" ref="G48:G56" si="23">J48*200</f>
        <v>1180</v>
      </c>
      <c r="H48" s="487">
        <f t="shared" ref="H48:H51" si="24">D48-N48</f>
        <v>6.9</v>
      </c>
      <c r="I48" s="487">
        <f t="shared" ref="I48:I51" si="25">E48-N48</f>
        <v>5.9</v>
      </c>
      <c r="J48" s="489">
        <v>5.9</v>
      </c>
      <c r="K48" s="474">
        <v>80</v>
      </c>
      <c r="L48" s="474">
        <v>1</v>
      </c>
      <c r="M48" s="474">
        <v>0</v>
      </c>
      <c r="N48" s="474">
        <v>0.4</v>
      </c>
      <c r="P48" s="490">
        <v>80</v>
      </c>
      <c r="Q48" s="489">
        <v>0.3</v>
      </c>
      <c r="S48" s="489"/>
    </row>
    <row r="49" ht="40.5" spans="1:19">
      <c r="A49" s="494"/>
      <c r="B49" s="257" t="s">
        <v>177</v>
      </c>
      <c r="C49" s="486">
        <f t="shared" si="19"/>
        <v>1300</v>
      </c>
      <c r="D49" s="487">
        <f t="shared" si="20"/>
        <v>7.5</v>
      </c>
      <c r="E49" s="487">
        <f t="shared" si="21"/>
        <v>6.5</v>
      </c>
      <c r="F49" s="488">
        <f t="shared" si="22"/>
        <v>6.5</v>
      </c>
      <c r="G49" s="486">
        <f t="shared" si="23"/>
        <v>1220</v>
      </c>
      <c r="H49" s="487">
        <f t="shared" si="24"/>
        <v>7.1</v>
      </c>
      <c r="I49" s="487">
        <f t="shared" si="25"/>
        <v>6.1</v>
      </c>
      <c r="J49" s="489">
        <v>6.1</v>
      </c>
      <c r="K49" s="474">
        <v>80</v>
      </c>
      <c r="L49" s="474">
        <v>1</v>
      </c>
      <c r="M49" s="474">
        <v>0</v>
      </c>
      <c r="N49" s="474">
        <v>0.4</v>
      </c>
      <c r="S49"/>
    </row>
    <row r="50" ht="162" spans="1:19">
      <c r="A50" s="494"/>
      <c r="B50" s="278" t="s">
        <v>178</v>
      </c>
      <c r="C50" s="486">
        <f t="shared" si="19"/>
        <v>1360</v>
      </c>
      <c r="D50" s="487">
        <f t="shared" si="20"/>
        <v>7.8</v>
      </c>
      <c r="E50" s="487">
        <f t="shared" si="21"/>
        <v>6.8</v>
      </c>
      <c r="F50" s="488">
        <f t="shared" si="22"/>
        <v>6.8</v>
      </c>
      <c r="G50" s="486">
        <f t="shared" si="23"/>
        <v>1280</v>
      </c>
      <c r="H50" s="487">
        <f t="shared" si="24"/>
        <v>7.4</v>
      </c>
      <c r="I50" s="487">
        <f t="shared" si="25"/>
        <v>6.4</v>
      </c>
      <c r="J50" s="489">
        <v>6.4</v>
      </c>
      <c r="K50" s="474">
        <v>80</v>
      </c>
      <c r="L50" s="474">
        <v>1</v>
      </c>
      <c r="M50" s="474">
        <v>0</v>
      </c>
      <c r="N50" s="474">
        <v>0.4</v>
      </c>
      <c r="S50"/>
    </row>
    <row r="51" ht="20.25" spans="1:19">
      <c r="A51" s="494"/>
      <c r="B51" s="278" t="s">
        <v>179</v>
      </c>
      <c r="C51" s="486">
        <f t="shared" si="19"/>
        <v>1520</v>
      </c>
      <c r="D51" s="487">
        <f t="shared" si="20"/>
        <v>8.6</v>
      </c>
      <c r="E51" s="487">
        <f t="shared" si="21"/>
        <v>7.6</v>
      </c>
      <c r="F51" s="488">
        <f t="shared" si="22"/>
        <v>7.6</v>
      </c>
      <c r="G51" s="486">
        <f t="shared" si="23"/>
        <v>1440</v>
      </c>
      <c r="H51" s="487">
        <f t="shared" si="24"/>
        <v>8.2</v>
      </c>
      <c r="I51" s="487">
        <f t="shared" si="25"/>
        <v>7.2</v>
      </c>
      <c r="J51" s="489">
        <v>7.2</v>
      </c>
      <c r="K51" s="474">
        <v>80</v>
      </c>
      <c r="L51" s="474">
        <v>1</v>
      </c>
      <c r="M51" s="474">
        <v>0</v>
      </c>
      <c r="N51" s="474">
        <v>0.4</v>
      </c>
      <c r="S51"/>
    </row>
    <row r="52" ht="101.25" spans="1:19">
      <c r="A52" s="494"/>
      <c r="B52" s="284" t="s">
        <v>180</v>
      </c>
      <c r="C52" s="486">
        <f t="shared" si="19"/>
        <v>1620</v>
      </c>
      <c r="D52" s="491" t="s">
        <v>181</v>
      </c>
      <c r="E52" s="491" t="s">
        <v>181</v>
      </c>
      <c r="F52" s="488">
        <f t="shared" si="22"/>
        <v>8.1</v>
      </c>
      <c r="G52" s="486">
        <f t="shared" si="23"/>
        <v>1540</v>
      </c>
      <c r="H52" s="491" t="s">
        <v>181</v>
      </c>
      <c r="I52" s="491" t="s">
        <v>181</v>
      </c>
      <c r="J52" s="489">
        <v>7.7</v>
      </c>
      <c r="K52" s="474">
        <v>80</v>
      </c>
      <c r="L52" s="474">
        <v>1</v>
      </c>
      <c r="M52" s="474">
        <v>0</v>
      </c>
      <c r="N52" s="474">
        <v>0.4</v>
      </c>
      <c r="S52"/>
    </row>
    <row r="53" ht="121.5" spans="1:19">
      <c r="A53" s="494"/>
      <c r="B53" s="286" t="s">
        <v>182</v>
      </c>
      <c r="C53" s="486">
        <f t="shared" si="19"/>
        <v>1660</v>
      </c>
      <c r="D53" s="491" t="s">
        <v>181</v>
      </c>
      <c r="E53" s="491" t="s">
        <v>181</v>
      </c>
      <c r="F53" s="488">
        <f t="shared" si="22"/>
        <v>8.3</v>
      </c>
      <c r="G53" s="486">
        <f t="shared" si="23"/>
        <v>1580</v>
      </c>
      <c r="H53" s="491" t="s">
        <v>181</v>
      </c>
      <c r="I53" s="491" t="s">
        <v>181</v>
      </c>
      <c r="J53" s="489">
        <v>7.9</v>
      </c>
      <c r="K53" s="474">
        <v>80</v>
      </c>
      <c r="L53" s="474">
        <v>1</v>
      </c>
      <c r="M53" s="474">
        <v>0</v>
      </c>
      <c r="N53" s="474">
        <v>0.4</v>
      </c>
      <c r="S53"/>
    </row>
    <row r="54" ht="81" spans="1:19">
      <c r="A54" s="494"/>
      <c r="B54" s="287" t="s">
        <v>183</v>
      </c>
      <c r="C54" s="486">
        <f t="shared" si="19"/>
        <v>1840</v>
      </c>
      <c r="D54" s="491" t="s">
        <v>181</v>
      </c>
      <c r="E54" s="491" t="s">
        <v>181</v>
      </c>
      <c r="F54" s="488">
        <f t="shared" si="22"/>
        <v>9.2</v>
      </c>
      <c r="G54" s="486">
        <f t="shared" si="23"/>
        <v>1760</v>
      </c>
      <c r="H54" s="491" t="s">
        <v>181</v>
      </c>
      <c r="I54" s="491" t="s">
        <v>181</v>
      </c>
      <c r="J54" s="489">
        <v>8.8</v>
      </c>
      <c r="K54" s="474">
        <v>80</v>
      </c>
      <c r="L54" s="474">
        <v>1</v>
      </c>
      <c r="M54" s="474">
        <v>0</v>
      </c>
      <c r="N54" s="474">
        <v>0.4</v>
      </c>
      <c r="S54"/>
    </row>
    <row r="55" ht="121.5" spans="1:19">
      <c r="A55" s="494"/>
      <c r="B55" s="286" t="s">
        <v>184</v>
      </c>
      <c r="C55" s="486">
        <f t="shared" si="19"/>
        <v>1920</v>
      </c>
      <c r="D55" s="491" t="s">
        <v>181</v>
      </c>
      <c r="E55" s="491" t="s">
        <v>181</v>
      </c>
      <c r="F55" s="488">
        <f t="shared" si="22"/>
        <v>9.6</v>
      </c>
      <c r="G55" s="486">
        <f t="shared" si="23"/>
        <v>1840</v>
      </c>
      <c r="H55" s="491" t="s">
        <v>181</v>
      </c>
      <c r="I55" s="491" t="s">
        <v>181</v>
      </c>
      <c r="J55" s="489">
        <v>9.2</v>
      </c>
      <c r="K55" s="474">
        <v>80</v>
      </c>
      <c r="L55" s="474">
        <v>1.5</v>
      </c>
      <c r="M55" s="474">
        <v>0</v>
      </c>
      <c r="N55" s="474">
        <v>0.4</v>
      </c>
      <c r="S55"/>
    </row>
    <row r="56" spans="1:19">
      <c r="B56" s="492" t="s">
        <v>185</v>
      </c>
      <c r="C56" s="486">
        <f t="shared" si="19"/>
        <v>1260</v>
      </c>
      <c r="D56" s="491" t="s">
        <v>38</v>
      </c>
      <c r="E56" s="491" t="s">
        <v>38</v>
      </c>
      <c r="F56" s="488">
        <f t="shared" si="22"/>
        <v>6.3</v>
      </c>
      <c r="G56" s="486">
        <f t="shared" si="23"/>
        <v>1180</v>
      </c>
      <c r="H56" s="491" t="s">
        <v>38</v>
      </c>
      <c r="I56" s="474" t="s">
        <v>38</v>
      </c>
      <c r="J56" s="489">
        <v>5.9</v>
      </c>
      <c r="K56" s="474">
        <v>80</v>
      </c>
      <c r="L56" s="474"/>
      <c r="M56" s="474"/>
      <c r="N56" s="474">
        <v>0.4</v>
      </c>
    </row>
    <row r="58" ht="18" spans="1:19">
      <c r="A58" s="496" t="s">
        <v>188</v>
      </c>
      <c r="B58" s="190" t="s">
        <v>175</v>
      </c>
      <c r="C58" s="190" t="s">
        <v>134</v>
      </c>
      <c r="D58" s="190"/>
      <c r="E58" s="190"/>
      <c r="F58" s="190"/>
      <c r="G58" s="190" t="s">
        <v>135</v>
      </c>
      <c r="H58" s="190"/>
      <c r="I58" s="190"/>
      <c r="J58" s="190"/>
      <c r="K58" s="471"/>
      <c r="L58" s="471"/>
      <c r="M58" s="471"/>
      <c r="N58" s="471"/>
      <c r="O58" s="467"/>
    </row>
    <row r="59" ht="36" spans="1:19">
      <c r="A59" s="497"/>
      <c r="B59" s="190"/>
      <c r="C59" s="190" t="s">
        <v>137</v>
      </c>
      <c r="D59" s="190" t="s">
        <v>138</v>
      </c>
      <c r="E59" s="190" t="s">
        <v>139</v>
      </c>
      <c r="F59" s="190" t="s">
        <v>140</v>
      </c>
      <c r="G59" s="190" t="s">
        <v>137</v>
      </c>
      <c r="H59" s="190" t="s">
        <v>138</v>
      </c>
      <c r="I59" s="190" t="s">
        <v>139</v>
      </c>
      <c r="J59" s="190" t="s">
        <v>140</v>
      </c>
      <c r="K59" s="190" t="s">
        <v>137</v>
      </c>
      <c r="L59" s="190" t="s">
        <v>138</v>
      </c>
      <c r="M59" s="190" t="s">
        <v>139</v>
      </c>
      <c r="N59" s="473" t="s">
        <v>164</v>
      </c>
    </row>
    <row r="60" ht="81" spans="1:19">
      <c r="A60" s="497"/>
      <c r="B60" s="278" t="s">
        <v>176</v>
      </c>
      <c r="C60" s="486">
        <f t="shared" ref="C60:C68" si="26">F60*200</f>
        <v>1060</v>
      </c>
      <c r="D60" s="487">
        <f t="shared" ref="D60:D63" si="27">F60+L60</f>
        <v>6.3</v>
      </c>
      <c r="E60" s="487">
        <f t="shared" ref="E60:E63" si="28">F60+M60</f>
        <v>5.3</v>
      </c>
      <c r="F60" s="488">
        <f t="shared" ref="F60:F68" si="29">J60+N60</f>
        <v>5.3</v>
      </c>
      <c r="G60" s="486">
        <f t="shared" ref="G60:G68" si="30">J60*200</f>
        <v>1060</v>
      </c>
      <c r="H60" s="487">
        <f t="shared" ref="H60:H63" si="31">D60-N60</f>
        <v>6.3</v>
      </c>
      <c r="I60" s="487">
        <f t="shared" ref="I60:I63" si="32">E60-N60</f>
        <v>5.3</v>
      </c>
      <c r="J60" s="489">
        <v>5.3</v>
      </c>
      <c r="K60" s="474">
        <v>0</v>
      </c>
      <c r="L60" s="474">
        <v>1</v>
      </c>
      <c r="M60" s="474">
        <v>0</v>
      </c>
      <c r="N60" s="474">
        <v>0</v>
      </c>
      <c r="P60" s="490">
        <v>40</v>
      </c>
      <c r="Q60" s="498">
        <v>0.1</v>
      </c>
      <c r="S60" s="489"/>
    </row>
    <row r="61" ht="40.5" spans="1:19">
      <c r="A61" s="497"/>
      <c r="B61" s="257" t="s">
        <v>177</v>
      </c>
      <c r="C61" s="486">
        <f t="shared" si="26"/>
        <v>1100</v>
      </c>
      <c r="D61" s="487">
        <f t="shared" si="27"/>
        <v>6.5</v>
      </c>
      <c r="E61" s="487">
        <f t="shared" si="28"/>
        <v>5.5</v>
      </c>
      <c r="F61" s="488">
        <f t="shared" si="29"/>
        <v>5.5</v>
      </c>
      <c r="G61" s="486">
        <f t="shared" si="30"/>
        <v>1100</v>
      </c>
      <c r="H61" s="487">
        <f t="shared" si="31"/>
        <v>6.5</v>
      </c>
      <c r="I61" s="487">
        <f t="shared" si="32"/>
        <v>5.5</v>
      </c>
      <c r="J61" s="489">
        <v>5.5</v>
      </c>
      <c r="K61" s="474">
        <v>0</v>
      </c>
      <c r="L61" s="474">
        <v>1</v>
      </c>
      <c r="M61" s="474">
        <v>0</v>
      </c>
      <c r="N61" s="474">
        <v>0</v>
      </c>
      <c r="S61"/>
    </row>
    <row r="62" ht="162" spans="1:19">
      <c r="A62" s="497"/>
      <c r="B62" s="278" t="s">
        <v>178</v>
      </c>
      <c r="C62" s="486">
        <f t="shared" si="26"/>
        <v>1160</v>
      </c>
      <c r="D62" s="487">
        <f t="shared" si="27"/>
        <v>6.8</v>
      </c>
      <c r="E62" s="487">
        <f t="shared" si="28"/>
        <v>5.8</v>
      </c>
      <c r="F62" s="488">
        <f t="shared" si="29"/>
        <v>5.8</v>
      </c>
      <c r="G62" s="486">
        <f t="shared" si="30"/>
        <v>1160</v>
      </c>
      <c r="H62" s="487">
        <f t="shared" si="31"/>
        <v>6.8</v>
      </c>
      <c r="I62" s="487">
        <f t="shared" si="32"/>
        <v>5.8</v>
      </c>
      <c r="J62" s="489">
        <v>5.8</v>
      </c>
      <c r="K62" s="474">
        <v>0</v>
      </c>
      <c r="L62" s="474">
        <v>1</v>
      </c>
      <c r="M62" s="474">
        <v>0</v>
      </c>
      <c r="N62" s="474">
        <v>0</v>
      </c>
      <c r="S62"/>
    </row>
    <row r="63" ht="20.25" spans="1:19">
      <c r="A63" s="497"/>
      <c r="B63" s="278" t="s">
        <v>179</v>
      </c>
      <c r="C63" s="486">
        <f t="shared" si="26"/>
        <v>1320</v>
      </c>
      <c r="D63" s="487">
        <f t="shared" si="27"/>
        <v>7.6</v>
      </c>
      <c r="E63" s="487">
        <f t="shared" si="28"/>
        <v>6.6</v>
      </c>
      <c r="F63" s="488">
        <f t="shared" si="29"/>
        <v>6.6</v>
      </c>
      <c r="G63" s="486">
        <f t="shared" si="30"/>
        <v>1320</v>
      </c>
      <c r="H63" s="487">
        <f t="shared" si="31"/>
        <v>7.6</v>
      </c>
      <c r="I63" s="487">
        <f t="shared" si="32"/>
        <v>6.6</v>
      </c>
      <c r="J63" s="489">
        <v>6.6</v>
      </c>
      <c r="K63" s="474">
        <v>0</v>
      </c>
      <c r="L63" s="474">
        <v>1</v>
      </c>
      <c r="M63" s="474">
        <v>0</v>
      </c>
      <c r="N63" s="474">
        <v>0</v>
      </c>
      <c r="S63"/>
    </row>
    <row r="64" ht="101.25" spans="1:19">
      <c r="A64" s="497"/>
      <c r="B64" s="284" t="s">
        <v>180</v>
      </c>
      <c r="C64" s="486">
        <f t="shared" si="26"/>
        <v>1420</v>
      </c>
      <c r="D64" s="491" t="s">
        <v>181</v>
      </c>
      <c r="E64" s="491" t="s">
        <v>181</v>
      </c>
      <c r="F64" s="488">
        <f t="shared" si="29"/>
        <v>7.1</v>
      </c>
      <c r="G64" s="486">
        <f t="shared" si="30"/>
        <v>1420</v>
      </c>
      <c r="H64" s="491" t="s">
        <v>181</v>
      </c>
      <c r="I64" s="491" t="s">
        <v>181</v>
      </c>
      <c r="J64" s="489">
        <v>7.1</v>
      </c>
      <c r="K64" s="474">
        <v>0</v>
      </c>
      <c r="L64" s="474">
        <v>1</v>
      </c>
      <c r="M64" s="474">
        <v>0</v>
      </c>
      <c r="N64" s="474">
        <v>0</v>
      </c>
      <c r="S64"/>
    </row>
    <row r="65" ht="121.5" spans="1:19">
      <c r="A65" s="497"/>
      <c r="B65" s="286" t="s">
        <v>182</v>
      </c>
      <c r="C65" s="486">
        <f t="shared" si="26"/>
        <v>1460</v>
      </c>
      <c r="D65" s="491" t="s">
        <v>181</v>
      </c>
      <c r="E65" s="491" t="s">
        <v>181</v>
      </c>
      <c r="F65" s="488">
        <f t="shared" si="29"/>
        <v>7.3</v>
      </c>
      <c r="G65" s="486">
        <f t="shared" si="30"/>
        <v>1460</v>
      </c>
      <c r="H65" s="491" t="s">
        <v>181</v>
      </c>
      <c r="I65" s="491" t="s">
        <v>181</v>
      </c>
      <c r="J65" s="489">
        <v>7.3</v>
      </c>
      <c r="K65" s="474">
        <v>0</v>
      </c>
      <c r="L65" s="474">
        <v>1</v>
      </c>
      <c r="M65" s="474">
        <v>0</v>
      </c>
      <c r="N65" s="474">
        <v>0</v>
      </c>
      <c r="S65"/>
    </row>
    <row r="66" ht="81" spans="1:19">
      <c r="A66" s="497"/>
      <c r="B66" s="287" t="s">
        <v>183</v>
      </c>
      <c r="C66" s="486">
        <f t="shared" si="26"/>
        <v>1640</v>
      </c>
      <c r="D66" s="491" t="s">
        <v>181</v>
      </c>
      <c r="E66" s="491" t="s">
        <v>181</v>
      </c>
      <c r="F66" s="488">
        <f t="shared" si="29"/>
        <v>8.2</v>
      </c>
      <c r="G66" s="486">
        <f t="shared" si="30"/>
        <v>1640</v>
      </c>
      <c r="H66" s="491" t="s">
        <v>181</v>
      </c>
      <c r="I66" s="491" t="s">
        <v>181</v>
      </c>
      <c r="J66" s="489">
        <v>8.2</v>
      </c>
      <c r="K66" s="474">
        <v>0</v>
      </c>
      <c r="L66" s="474">
        <v>1</v>
      </c>
      <c r="M66" s="474">
        <v>0</v>
      </c>
      <c r="N66" s="474">
        <v>0</v>
      </c>
      <c r="S66"/>
    </row>
    <row r="67" ht="121.5" spans="1:19">
      <c r="A67" s="497"/>
      <c r="B67" s="286" t="s">
        <v>184</v>
      </c>
      <c r="C67" s="486">
        <f t="shared" si="26"/>
        <v>1720</v>
      </c>
      <c r="D67" s="491" t="s">
        <v>181</v>
      </c>
      <c r="E67" s="491" t="s">
        <v>181</v>
      </c>
      <c r="F67" s="488">
        <f t="shared" si="29"/>
        <v>8.6</v>
      </c>
      <c r="G67" s="486">
        <f t="shared" si="30"/>
        <v>1720</v>
      </c>
      <c r="H67" s="491" t="s">
        <v>181</v>
      </c>
      <c r="I67" s="491" t="s">
        <v>181</v>
      </c>
      <c r="J67" s="489">
        <v>8.6</v>
      </c>
      <c r="K67" s="474">
        <v>0</v>
      </c>
      <c r="L67" s="474">
        <v>1.5</v>
      </c>
      <c r="M67" s="474">
        <v>0</v>
      </c>
      <c r="N67" s="474">
        <v>0</v>
      </c>
      <c r="S67"/>
    </row>
    <row r="68" spans="1:19">
      <c r="A68" s="499"/>
      <c r="B68" s="492" t="s">
        <v>185</v>
      </c>
      <c r="C68" s="486">
        <f t="shared" si="26"/>
        <v>1060</v>
      </c>
      <c r="D68" s="491" t="s">
        <v>38</v>
      </c>
      <c r="E68" s="491" t="s">
        <v>38</v>
      </c>
      <c r="F68" s="488">
        <f t="shared" si="29"/>
        <v>5.3</v>
      </c>
      <c r="G68" s="486">
        <f t="shared" si="30"/>
        <v>1060</v>
      </c>
      <c r="H68" s="491" t="s">
        <v>38</v>
      </c>
      <c r="I68" s="474" t="s">
        <v>38</v>
      </c>
      <c r="J68" s="489">
        <v>5.3</v>
      </c>
      <c r="K68" s="474">
        <v>0</v>
      </c>
      <c r="L68" s="474"/>
      <c r="M68" s="474"/>
      <c r="N68" s="474">
        <v>0</v>
      </c>
    </row>
    <row r="69" spans="1:19">
      <c r="A69" s="499"/>
    </row>
    <row r="70" spans="1:19">
      <c r="A70" s="499"/>
    </row>
    <row r="71" ht="18" spans="1:19">
      <c r="A71" s="496" t="s">
        <v>188</v>
      </c>
      <c r="B71" s="190" t="s">
        <v>175</v>
      </c>
      <c r="C71" s="190" t="s">
        <v>134</v>
      </c>
      <c r="D71" s="190"/>
      <c r="E71" s="190"/>
      <c r="F71" s="190"/>
      <c r="G71" s="190" t="s">
        <v>135</v>
      </c>
      <c r="H71" s="190"/>
      <c r="I71" s="190"/>
      <c r="J71" s="190"/>
      <c r="K71" s="471"/>
      <c r="L71" s="471"/>
      <c r="M71" s="471"/>
      <c r="N71" s="471"/>
    </row>
    <row r="72" ht="36" spans="1:19">
      <c r="A72" s="497"/>
      <c r="B72" s="190"/>
      <c r="C72" s="190" t="s">
        <v>137</v>
      </c>
      <c r="D72" s="190" t="s">
        <v>138</v>
      </c>
      <c r="E72" s="190" t="s">
        <v>139</v>
      </c>
      <c r="F72" s="190" t="s">
        <v>140</v>
      </c>
      <c r="G72" s="190" t="s">
        <v>137</v>
      </c>
      <c r="H72" s="190" t="s">
        <v>138</v>
      </c>
      <c r="I72" s="190" t="s">
        <v>139</v>
      </c>
      <c r="J72" s="190" t="s">
        <v>140</v>
      </c>
      <c r="K72" s="190" t="s">
        <v>137</v>
      </c>
      <c r="L72" s="190" t="s">
        <v>138</v>
      </c>
      <c r="M72" s="190" t="s">
        <v>139</v>
      </c>
      <c r="N72" s="473" t="s">
        <v>164</v>
      </c>
    </row>
    <row r="73" ht="81" spans="1:19">
      <c r="A73" s="497"/>
      <c r="B73" s="278" t="s">
        <v>176</v>
      </c>
      <c r="C73" s="486">
        <f t="shared" ref="C73:C81" si="33">F73*200</f>
        <v>1320</v>
      </c>
      <c r="D73" s="487">
        <f t="shared" ref="D73:D76" si="34">F73+L73</f>
        <v>7.6</v>
      </c>
      <c r="E73" s="487">
        <f t="shared" ref="E73:E76" si="35">F73+M73</f>
        <v>6.6</v>
      </c>
      <c r="F73" s="488">
        <f t="shared" ref="F73:F81" si="36">J73+N73</f>
        <v>6.6</v>
      </c>
      <c r="G73" s="486">
        <f t="shared" ref="G73:G81" si="37">J73*200</f>
        <v>1320</v>
      </c>
      <c r="H73" s="487">
        <f t="shared" ref="H73:H76" si="38">D73-N73</f>
        <v>7.6</v>
      </c>
      <c r="I73" s="487">
        <f t="shared" ref="I73:I76" si="39">E73-N73</f>
        <v>6.6</v>
      </c>
      <c r="J73" s="489">
        <v>6.6</v>
      </c>
      <c r="K73" s="474">
        <v>0</v>
      </c>
      <c r="L73" s="474">
        <v>1</v>
      </c>
      <c r="M73" s="474">
        <v>0</v>
      </c>
      <c r="N73" s="474">
        <v>0</v>
      </c>
      <c r="P73" s="467">
        <v>0.5</v>
      </c>
      <c r="S73" s="489"/>
    </row>
    <row r="74" ht="40.5" spans="1:19">
      <c r="A74" s="497"/>
      <c r="B74" s="257" t="s">
        <v>177</v>
      </c>
      <c r="C74" s="486">
        <f t="shared" si="33"/>
        <v>1360</v>
      </c>
      <c r="D74" s="487">
        <f t="shared" si="34"/>
        <v>7.8</v>
      </c>
      <c r="E74" s="487">
        <f t="shared" si="35"/>
        <v>6.8</v>
      </c>
      <c r="F74" s="488">
        <f t="shared" si="36"/>
        <v>6.8</v>
      </c>
      <c r="G74" s="486">
        <f t="shared" si="37"/>
        <v>1360</v>
      </c>
      <c r="H74" s="487">
        <f t="shared" si="38"/>
        <v>7.8</v>
      </c>
      <c r="I74" s="487">
        <f t="shared" si="39"/>
        <v>6.8</v>
      </c>
      <c r="J74" s="489">
        <v>6.8</v>
      </c>
      <c r="K74" s="474">
        <v>0</v>
      </c>
      <c r="L74" s="474">
        <v>1</v>
      </c>
      <c r="M74" s="474">
        <v>0</v>
      </c>
      <c r="N74" s="474">
        <v>0</v>
      </c>
      <c r="S74"/>
    </row>
    <row r="75" ht="162" spans="1:19">
      <c r="A75" s="497"/>
      <c r="B75" s="278" t="s">
        <v>178</v>
      </c>
      <c r="C75" s="486">
        <f t="shared" si="33"/>
        <v>1420</v>
      </c>
      <c r="D75" s="487">
        <f t="shared" si="34"/>
        <v>8.1</v>
      </c>
      <c r="E75" s="487">
        <f t="shared" si="35"/>
        <v>7.1</v>
      </c>
      <c r="F75" s="488">
        <f t="shared" si="36"/>
        <v>7.1</v>
      </c>
      <c r="G75" s="486">
        <f t="shared" si="37"/>
        <v>1420</v>
      </c>
      <c r="H75" s="487">
        <f t="shared" si="38"/>
        <v>8.1</v>
      </c>
      <c r="I75" s="487">
        <f t="shared" si="39"/>
        <v>7.1</v>
      </c>
      <c r="J75" s="489">
        <v>7.1</v>
      </c>
      <c r="K75" s="474">
        <v>0</v>
      </c>
      <c r="L75" s="474">
        <v>1</v>
      </c>
      <c r="M75" s="474">
        <v>0</v>
      </c>
      <c r="N75" s="474">
        <v>0</v>
      </c>
      <c r="S75"/>
    </row>
    <row r="76" ht="20.25" spans="1:19">
      <c r="A76" s="497"/>
      <c r="B76" s="278" t="s">
        <v>179</v>
      </c>
      <c r="C76" s="486">
        <f t="shared" si="33"/>
        <v>1580</v>
      </c>
      <c r="D76" s="487">
        <f t="shared" si="34"/>
        <v>8.9</v>
      </c>
      <c r="E76" s="487">
        <f t="shared" si="35"/>
        <v>7.9</v>
      </c>
      <c r="F76" s="488">
        <f t="shared" si="36"/>
        <v>7.9</v>
      </c>
      <c r="G76" s="486">
        <f t="shared" si="37"/>
        <v>1580</v>
      </c>
      <c r="H76" s="487">
        <f t="shared" si="38"/>
        <v>8.9</v>
      </c>
      <c r="I76" s="487">
        <f t="shared" si="39"/>
        <v>7.9</v>
      </c>
      <c r="J76" s="489">
        <v>7.9</v>
      </c>
      <c r="K76" s="474">
        <v>0</v>
      </c>
      <c r="L76" s="474">
        <v>1</v>
      </c>
      <c r="M76" s="474">
        <v>0</v>
      </c>
      <c r="N76" s="474">
        <v>0</v>
      </c>
      <c r="S76"/>
    </row>
    <row r="77" ht="101.25" spans="1:19">
      <c r="A77" s="497"/>
      <c r="B77" s="284" t="s">
        <v>180</v>
      </c>
      <c r="C77" s="486">
        <f t="shared" si="33"/>
        <v>1680</v>
      </c>
      <c r="D77" s="491" t="s">
        <v>181</v>
      </c>
      <c r="E77" s="491" t="s">
        <v>181</v>
      </c>
      <c r="F77" s="488">
        <f t="shared" si="36"/>
        <v>8.4</v>
      </c>
      <c r="G77" s="486">
        <f t="shared" si="37"/>
        <v>1680</v>
      </c>
      <c r="H77" s="491" t="s">
        <v>181</v>
      </c>
      <c r="I77" s="491" t="s">
        <v>181</v>
      </c>
      <c r="J77" s="489">
        <v>8.4</v>
      </c>
      <c r="K77" s="474">
        <v>0</v>
      </c>
      <c r="L77" s="474">
        <v>1</v>
      </c>
      <c r="M77" s="474">
        <v>0</v>
      </c>
      <c r="N77" s="474">
        <v>0</v>
      </c>
      <c r="S77"/>
    </row>
    <row r="78" ht="121.5" spans="1:19">
      <c r="A78" s="497"/>
      <c r="B78" s="286" t="s">
        <v>182</v>
      </c>
      <c r="C78" s="486">
        <f t="shared" si="33"/>
        <v>1720</v>
      </c>
      <c r="D78" s="491" t="s">
        <v>181</v>
      </c>
      <c r="E78" s="491" t="s">
        <v>181</v>
      </c>
      <c r="F78" s="488">
        <f t="shared" si="36"/>
        <v>8.6</v>
      </c>
      <c r="G78" s="486">
        <f t="shared" si="37"/>
        <v>1720</v>
      </c>
      <c r="H78" s="491" t="s">
        <v>181</v>
      </c>
      <c r="I78" s="491" t="s">
        <v>181</v>
      </c>
      <c r="J78" s="489">
        <v>8.6</v>
      </c>
      <c r="K78" s="474">
        <v>0</v>
      </c>
      <c r="L78" s="474">
        <v>1</v>
      </c>
      <c r="M78" s="474">
        <v>0</v>
      </c>
      <c r="N78" s="474">
        <v>0</v>
      </c>
      <c r="S78"/>
    </row>
    <row r="79" ht="81" spans="1:19">
      <c r="A79" s="497"/>
      <c r="B79" s="287" t="s">
        <v>183</v>
      </c>
      <c r="C79" s="486">
        <f t="shared" si="33"/>
        <v>1900</v>
      </c>
      <c r="D79" s="491" t="s">
        <v>181</v>
      </c>
      <c r="E79" s="491" t="s">
        <v>181</v>
      </c>
      <c r="F79" s="488">
        <f t="shared" si="36"/>
        <v>9.5</v>
      </c>
      <c r="G79" s="486">
        <f t="shared" si="37"/>
        <v>1900</v>
      </c>
      <c r="H79" s="491" t="s">
        <v>181</v>
      </c>
      <c r="I79" s="491" t="s">
        <v>181</v>
      </c>
      <c r="J79" s="489">
        <v>9.5</v>
      </c>
      <c r="K79" s="474">
        <v>0</v>
      </c>
      <c r="L79" s="474">
        <v>1</v>
      </c>
      <c r="M79" s="474">
        <v>0</v>
      </c>
      <c r="N79" s="474">
        <v>0</v>
      </c>
      <c r="S79"/>
    </row>
    <row r="80" ht="121.5" spans="1:19">
      <c r="A80" s="497"/>
      <c r="B80" s="286" t="s">
        <v>184</v>
      </c>
      <c r="C80" s="486">
        <f t="shared" si="33"/>
        <v>1980</v>
      </c>
      <c r="D80" s="491" t="s">
        <v>181</v>
      </c>
      <c r="E80" s="491" t="s">
        <v>181</v>
      </c>
      <c r="F80" s="488">
        <f t="shared" si="36"/>
        <v>9.9</v>
      </c>
      <c r="G80" s="486">
        <f t="shared" si="37"/>
        <v>1980</v>
      </c>
      <c r="H80" s="491" t="s">
        <v>181</v>
      </c>
      <c r="I80" s="491" t="s">
        <v>181</v>
      </c>
      <c r="J80" s="489">
        <v>9.9</v>
      </c>
      <c r="K80" s="474">
        <v>0</v>
      </c>
      <c r="L80" s="474">
        <v>1.5</v>
      </c>
      <c r="M80" s="474">
        <v>0</v>
      </c>
      <c r="N80" s="474">
        <v>0</v>
      </c>
      <c r="S80"/>
    </row>
    <row r="81" spans="1:19">
      <c r="A81" s="499"/>
      <c r="B81" s="492" t="s">
        <v>185</v>
      </c>
      <c r="C81" s="486">
        <f t="shared" si="33"/>
        <v>1320</v>
      </c>
      <c r="D81" s="491" t="s">
        <v>38</v>
      </c>
      <c r="E81" s="491" t="s">
        <v>38</v>
      </c>
      <c r="F81" s="488">
        <f t="shared" si="36"/>
        <v>6.6</v>
      </c>
      <c r="G81" s="486">
        <f t="shared" si="37"/>
        <v>1320</v>
      </c>
      <c r="H81" s="491" t="s">
        <v>38</v>
      </c>
      <c r="I81" s="474" t="s">
        <v>38</v>
      </c>
      <c r="J81" s="489">
        <v>6.6</v>
      </c>
      <c r="K81" s="474">
        <v>0</v>
      </c>
      <c r="L81" s="474"/>
      <c r="M81" s="474"/>
      <c r="N81" s="474">
        <v>0</v>
      </c>
    </row>
    <row r="82" spans="1:19">
      <c r="A82" s="499"/>
    </row>
    <row r="83" spans="1:19">
      <c r="A83" s="499"/>
    </row>
    <row r="84" ht="18" spans="1:19">
      <c r="A84" s="496" t="s">
        <v>189</v>
      </c>
      <c r="B84" s="190" t="s">
        <v>175</v>
      </c>
      <c r="C84" s="190" t="s">
        <v>134</v>
      </c>
      <c r="D84" s="190"/>
      <c r="E84" s="190"/>
      <c r="F84" s="190"/>
      <c r="G84" s="190" t="s">
        <v>135</v>
      </c>
      <c r="H84" s="190"/>
      <c r="I84" s="190"/>
      <c r="J84" s="190"/>
      <c r="K84" s="471"/>
      <c r="L84" s="471"/>
      <c r="M84" s="471"/>
      <c r="N84" s="471"/>
      <c r="O84" s="467"/>
    </row>
    <row r="85" ht="36" spans="1:19">
      <c r="A85" s="497"/>
      <c r="B85" s="190"/>
      <c r="C85" s="190" t="s">
        <v>137</v>
      </c>
      <c r="D85" s="190" t="s">
        <v>138</v>
      </c>
      <c r="E85" s="190" t="s">
        <v>139</v>
      </c>
      <c r="F85" s="190" t="s">
        <v>151</v>
      </c>
      <c r="G85" s="190" t="s">
        <v>137</v>
      </c>
      <c r="H85" s="190" t="s">
        <v>138</v>
      </c>
      <c r="I85" s="190" t="s">
        <v>139</v>
      </c>
      <c r="J85" s="190" t="s">
        <v>151</v>
      </c>
      <c r="K85" s="190" t="s">
        <v>137</v>
      </c>
      <c r="L85" s="190" t="s">
        <v>138</v>
      </c>
      <c r="M85" s="190" t="s">
        <v>139</v>
      </c>
      <c r="N85" s="473" t="s">
        <v>164</v>
      </c>
    </row>
    <row r="86" ht="81" spans="1:19">
      <c r="A86" s="497"/>
      <c r="B86" s="278" t="s">
        <v>176</v>
      </c>
      <c r="C86" s="486">
        <f t="shared" ref="C86:C94" si="40">F86*200</f>
        <v>1120</v>
      </c>
      <c r="D86" s="487">
        <f t="shared" ref="D86:D89" si="41">F86+L86</f>
        <v>6.6</v>
      </c>
      <c r="E86" s="487">
        <f t="shared" ref="E86:E89" si="42">F86+M86</f>
        <v>5.6</v>
      </c>
      <c r="F86" s="488">
        <f t="shared" ref="F86:F94" si="43">J86+N86</f>
        <v>5.6</v>
      </c>
      <c r="G86" s="486">
        <f t="shared" ref="G86:G94" si="44">J86*200</f>
        <v>1060</v>
      </c>
      <c r="H86" s="487">
        <f t="shared" ref="H86:H89" si="45">D86-N86</f>
        <v>6.3</v>
      </c>
      <c r="I86" s="487">
        <f t="shared" ref="I86:I89" si="46">E86-N86</f>
        <v>5.3</v>
      </c>
      <c r="J86" s="489">
        <v>5.3</v>
      </c>
      <c r="K86" s="474">
        <v>0</v>
      </c>
      <c r="L86" s="474">
        <v>1</v>
      </c>
      <c r="M86" s="474">
        <v>0</v>
      </c>
      <c r="N86" s="474">
        <v>0.3</v>
      </c>
      <c r="P86" s="474">
        <v>40</v>
      </c>
      <c r="Q86" s="498">
        <v>0.3</v>
      </c>
      <c r="S86" s="489"/>
    </row>
    <row r="87" ht="40.5" spans="1:19">
      <c r="A87" s="497"/>
      <c r="B87" s="257" t="s">
        <v>177</v>
      </c>
      <c r="C87" s="486">
        <f t="shared" si="40"/>
        <v>1160</v>
      </c>
      <c r="D87" s="487">
        <f t="shared" si="41"/>
        <v>6.8</v>
      </c>
      <c r="E87" s="487">
        <f t="shared" si="42"/>
        <v>5.8</v>
      </c>
      <c r="F87" s="488">
        <f t="shared" si="43"/>
        <v>5.8</v>
      </c>
      <c r="G87" s="486">
        <f t="shared" si="44"/>
        <v>1100</v>
      </c>
      <c r="H87" s="487">
        <f t="shared" si="45"/>
        <v>6.5</v>
      </c>
      <c r="I87" s="487">
        <f t="shared" si="46"/>
        <v>5.5</v>
      </c>
      <c r="J87" s="489">
        <v>5.5</v>
      </c>
      <c r="K87" s="474">
        <v>0</v>
      </c>
      <c r="L87" s="474">
        <v>1</v>
      </c>
      <c r="M87" s="474">
        <v>0</v>
      </c>
      <c r="N87" s="474">
        <v>0.3</v>
      </c>
      <c r="S87"/>
    </row>
    <row r="88" ht="162" spans="1:19">
      <c r="A88" s="497"/>
      <c r="B88" s="278" t="s">
        <v>178</v>
      </c>
      <c r="C88" s="486">
        <f t="shared" si="40"/>
        <v>1220</v>
      </c>
      <c r="D88" s="487">
        <f t="shared" si="41"/>
        <v>7.1</v>
      </c>
      <c r="E88" s="487">
        <f t="shared" si="42"/>
        <v>6.1</v>
      </c>
      <c r="F88" s="488">
        <f t="shared" si="43"/>
        <v>6.1</v>
      </c>
      <c r="G88" s="486">
        <f t="shared" si="44"/>
        <v>1160</v>
      </c>
      <c r="H88" s="487">
        <f t="shared" si="45"/>
        <v>6.8</v>
      </c>
      <c r="I88" s="487">
        <f t="shared" si="46"/>
        <v>5.8</v>
      </c>
      <c r="J88" s="489">
        <v>5.8</v>
      </c>
      <c r="K88" s="474">
        <v>0</v>
      </c>
      <c r="L88" s="474">
        <v>1</v>
      </c>
      <c r="M88" s="474">
        <v>0</v>
      </c>
      <c r="N88" s="474">
        <v>0.3</v>
      </c>
      <c r="S88"/>
    </row>
    <row r="89" ht="20.25" spans="1:19">
      <c r="A89" s="497"/>
      <c r="B89" s="278" t="s">
        <v>179</v>
      </c>
      <c r="C89" s="486">
        <f t="shared" si="40"/>
        <v>1380</v>
      </c>
      <c r="D89" s="487">
        <f t="shared" si="41"/>
        <v>7.9</v>
      </c>
      <c r="E89" s="487">
        <f t="shared" si="42"/>
        <v>6.9</v>
      </c>
      <c r="F89" s="488">
        <f t="shared" si="43"/>
        <v>6.9</v>
      </c>
      <c r="G89" s="486">
        <f t="shared" si="44"/>
        <v>1320</v>
      </c>
      <c r="H89" s="487">
        <f t="shared" si="45"/>
        <v>7.6</v>
      </c>
      <c r="I89" s="487">
        <f t="shared" si="46"/>
        <v>6.6</v>
      </c>
      <c r="J89" s="489">
        <v>6.6</v>
      </c>
      <c r="K89" s="474">
        <v>0</v>
      </c>
      <c r="L89" s="474">
        <v>1</v>
      </c>
      <c r="M89" s="474">
        <v>0</v>
      </c>
      <c r="N89" s="474">
        <v>0.3</v>
      </c>
      <c r="S89"/>
    </row>
    <row r="90" ht="101.25" spans="1:19">
      <c r="A90" s="497"/>
      <c r="B90" s="284" t="s">
        <v>180</v>
      </c>
      <c r="C90" s="486">
        <f t="shared" si="40"/>
        <v>1480</v>
      </c>
      <c r="D90" s="491" t="s">
        <v>181</v>
      </c>
      <c r="E90" s="491" t="s">
        <v>181</v>
      </c>
      <c r="F90" s="488">
        <f t="shared" si="43"/>
        <v>7.4</v>
      </c>
      <c r="G90" s="486">
        <f t="shared" si="44"/>
        <v>1420</v>
      </c>
      <c r="H90" s="491" t="s">
        <v>181</v>
      </c>
      <c r="I90" s="491" t="s">
        <v>181</v>
      </c>
      <c r="J90" s="489">
        <v>7.1</v>
      </c>
      <c r="K90" s="474">
        <v>0</v>
      </c>
      <c r="L90" s="474">
        <v>1</v>
      </c>
      <c r="M90" s="474">
        <v>0</v>
      </c>
      <c r="N90" s="474">
        <v>0.3</v>
      </c>
      <c r="S90"/>
    </row>
    <row r="91" ht="121.5" spans="1:19">
      <c r="A91" s="497"/>
      <c r="B91" s="286" t="s">
        <v>182</v>
      </c>
      <c r="C91" s="486">
        <f t="shared" si="40"/>
        <v>1520</v>
      </c>
      <c r="D91" s="491" t="s">
        <v>181</v>
      </c>
      <c r="E91" s="491" t="s">
        <v>181</v>
      </c>
      <c r="F91" s="488">
        <f t="shared" si="43"/>
        <v>7.6</v>
      </c>
      <c r="G91" s="486">
        <f t="shared" si="44"/>
        <v>1460</v>
      </c>
      <c r="H91" s="491" t="s">
        <v>181</v>
      </c>
      <c r="I91" s="491" t="s">
        <v>181</v>
      </c>
      <c r="J91" s="489">
        <v>7.3</v>
      </c>
      <c r="K91" s="474">
        <v>0</v>
      </c>
      <c r="L91" s="474">
        <v>1</v>
      </c>
      <c r="M91" s="474">
        <v>0</v>
      </c>
      <c r="N91" s="474">
        <v>0.3</v>
      </c>
      <c r="S91"/>
    </row>
    <row r="92" ht="81" spans="1:19">
      <c r="A92" s="497"/>
      <c r="B92" s="287" t="s">
        <v>183</v>
      </c>
      <c r="C92" s="486">
        <f t="shared" si="40"/>
        <v>1700</v>
      </c>
      <c r="D92" s="491" t="s">
        <v>181</v>
      </c>
      <c r="E92" s="491" t="s">
        <v>181</v>
      </c>
      <c r="F92" s="488">
        <f t="shared" si="43"/>
        <v>8.5</v>
      </c>
      <c r="G92" s="486">
        <f t="shared" si="44"/>
        <v>1640</v>
      </c>
      <c r="H92" s="491" t="s">
        <v>181</v>
      </c>
      <c r="I92" s="491" t="s">
        <v>181</v>
      </c>
      <c r="J92" s="489">
        <v>8.2</v>
      </c>
      <c r="K92" s="474">
        <v>0</v>
      </c>
      <c r="L92" s="474">
        <v>1</v>
      </c>
      <c r="M92" s="474">
        <v>0</v>
      </c>
      <c r="N92" s="474">
        <v>0.3</v>
      </c>
      <c r="S92"/>
    </row>
    <row r="93" ht="121.5" spans="1:19">
      <c r="A93" s="497"/>
      <c r="B93" s="286" t="s">
        <v>184</v>
      </c>
      <c r="C93" s="486">
        <f t="shared" si="40"/>
        <v>1780</v>
      </c>
      <c r="D93" s="491" t="s">
        <v>181</v>
      </c>
      <c r="E93" s="491" t="s">
        <v>181</v>
      </c>
      <c r="F93" s="488">
        <f t="shared" si="43"/>
        <v>8.9</v>
      </c>
      <c r="G93" s="486">
        <f t="shared" si="44"/>
        <v>1720</v>
      </c>
      <c r="H93" s="491" t="s">
        <v>181</v>
      </c>
      <c r="I93" s="491" t="s">
        <v>181</v>
      </c>
      <c r="J93" s="489">
        <v>8.6</v>
      </c>
      <c r="K93" s="474">
        <v>0</v>
      </c>
      <c r="L93" s="474">
        <v>1.5</v>
      </c>
      <c r="M93" s="474">
        <v>0</v>
      </c>
      <c r="N93" s="474">
        <v>0.3</v>
      </c>
      <c r="S93"/>
    </row>
    <row r="94" spans="1:19">
      <c r="A94" s="499"/>
      <c r="B94" s="492" t="s">
        <v>185</v>
      </c>
      <c r="C94" s="486">
        <f t="shared" si="40"/>
        <v>1120</v>
      </c>
      <c r="D94" s="491" t="s">
        <v>38</v>
      </c>
      <c r="E94" s="491" t="s">
        <v>38</v>
      </c>
      <c r="F94" s="488">
        <f t="shared" si="43"/>
        <v>5.6</v>
      </c>
      <c r="G94" s="486">
        <f t="shared" si="44"/>
        <v>1060</v>
      </c>
      <c r="H94" s="491" t="s">
        <v>38</v>
      </c>
      <c r="I94" s="474" t="s">
        <v>38</v>
      </c>
      <c r="J94" s="489">
        <v>5.3</v>
      </c>
      <c r="K94" s="474">
        <v>0</v>
      </c>
      <c r="L94" s="474"/>
      <c r="M94" s="474"/>
      <c r="N94" s="474">
        <v>0.3</v>
      </c>
    </row>
    <row r="95" spans="1:19">
      <c r="A95" s="499"/>
    </row>
    <row r="96" spans="1:19">
      <c r="A96" s="499"/>
    </row>
    <row r="98" ht="18" spans="1:17">
      <c r="A98" s="186" t="s">
        <v>190</v>
      </c>
      <c r="B98" s="190" t="s">
        <v>191</v>
      </c>
      <c r="C98" s="190" t="s">
        <v>134</v>
      </c>
      <c r="D98" s="190"/>
      <c r="E98" s="190"/>
      <c r="F98" s="190"/>
      <c r="G98" s="190" t="s">
        <v>135</v>
      </c>
      <c r="H98" s="190"/>
      <c r="I98" s="190"/>
      <c r="J98" s="190"/>
      <c r="K98" s="471"/>
      <c r="L98" s="471"/>
      <c r="M98" s="471"/>
      <c r="N98" s="471"/>
      <c r="O98" s="467"/>
    </row>
    <row r="99" ht="38" customHeight="1" spans="1:17">
      <c r="A99" s="191"/>
      <c r="B99" s="190"/>
      <c r="C99" s="190" t="s">
        <v>137</v>
      </c>
      <c r="D99" s="190" t="s">
        <v>138</v>
      </c>
      <c r="E99" s="190" t="s">
        <v>139</v>
      </c>
      <c r="F99" s="190" t="s">
        <v>140</v>
      </c>
      <c r="G99" s="190" t="s">
        <v>137</v>
      </c>
      <c r="H99" s="190" t="s">
        <v>138</v>
      </c>
      <c r="I99" s="190" t="s">
        <v>139</v>
      </c>
      <c r="J99" s="190" t="s">
        <v>140</v>
      </c>
      <c r="K99" s="190" t="s">
        <v>137</v>
      </c>
      <c r="L99" s="190" t="s">
        <v>138</v>
      </c>
      <c r="M99" s="190" t="s">
        <v>139</v>
      </c>
      <c r="N99" s="473" t="s">
        <v>164</v>
      </c>
    </row>
    <row r="100" ht="27" customHeight="1" spans="1:17">
      <c r="A100" s="500" t="s">
        <v>192</v>
      </c>
      <c r="B100" s="278" t="s">
        <v>176</v>
      </c>
      <c r="C100" s="285">
        <f t="shared" ref="C100:C108" si="47">G100+K100</f>
        <v>740</v>
      </c>
      <c r="D100" s="285">
        <f t="shared" ref="D100:D103" si="48">F100+L100</f>
        <v>4.7</v>
      </c>
      <c r="E100" s="285">
        <f t="shared" ref="E100:E103" si="49">F100+M100</f>
        <v>3.7</v>
      </c>
      <c r="F100" s="501">
        <f t="shared" ref="F100:F108" si="50">J100+N100</f>
        <v>3.7</v>
      </c>
      <c r="G100" s="502">
        <f t="shared" ref="G100:G108" si="51">J100*200</f>
        <v>740</v>
      </c>
      <c r="H100" s="285">
        <f t="shared" ref="H100:H103" si="52">D100-N100</f>
        <v>4.7</v>
      </c>
      <c r="I100" s="285">
        <f t="shared" ref="I100:I103" si="53">E100-N100</f>
        <v>3.7</v>
      </c>
      <c r="J100" s="503">
        <v>3.7</v>
      </c>
      <c r="K100" s="474">
        <v>0</v>
      </c>
      <c r="L100" s="474">
        <v>1</v>
      </c>
      <c r="M100" s="474">
        <v>0</v>
      </c>
      <c r="N100" s="474">
        <v>0</v>
      </c>
      <c r="P100" s="504">
        <v>80</v>
      </c>
      <c r="Q100" s="505">
        <v>0.1</v>
      </c>
    </row>
    <row r="101" ht="27" customHeight="1" spans="1:17">
      <c r="A101" s="500" t="s">
        <v>193</v>
      </c>
      <c r="B101" s="257" t="s">
        <v>177</v>
      </c>
      <c r="C101" s="285">
        <f t="shared" si="47"/>
        <v>800</v>
      </c>
      <c r="D101" s="285">
        <f t="shared" si="48"/>
        <v>5</v>
      </c>
      <c r="E101" s="285">
        <f t="shared" si="49"/>
        <v>4</v>
      </c>
      <c r="F101" s="501">
        <f t="shared" si="50"/>
        <v>4</v>
      </c>
      <c r="G101" s="502">
        <f t="shared" si="51"/>
        <v>800</v>
      </c>
      <c r="H101" s="285">
        <f t="shared" si="52"/>
        <v>5</v>
      </c>
      <c r="I101" s="285">
        <f t="shared" si="53"/>
        <v>4</v>
      </c>
      <c r="J101" s="503">
        <v>4</v>
      </c>
      <c r="K101" s="474">
        <v>0</v>
      </c>
      <c r="L101" s="474">
        <v>1</v>
      </c>
      <c r="M101" s="474">
        <v>0</v>
      </c>
      <c r="N101" s="474">
        <v>0</v>
      </c>
    </row>
    <row r="102" ht="27" customHeight="1" spans="1:17">
      <c r="A102" s="500" t="s">
        <v>194</v>
      </c>
      <c r="B102" s="278" t="s">
        <v>178</v>
      </c>
      <c r="C102" s="285">
        <f t="shared" si="47"/>
        <v>860</v>
      </c>
      <c r="D102" s="285">
        <f t="shared" si="48"/>
        <v>5.3</v>
      </c>
      <c r="E102" s="285">
        <f t="shared" si="49"/>
        <v>4.3</v>
      </c>
      <c r="F102" s="501">
        <f t="shared" si="50"/>
        <v>4.3</v>
      </c>
      <c r="G102" s="502">
        <f t="shared" si="51"/>
        <v>860</v>
      </c>
      <c r="H102" s="285">
        <f t="shared" si="52"/>
        <v>5.3</v>
      </c>
      <c r="I102" s="285">
        <f t="shared" si="53"/>
        <v>4.3</v>
      </c>
      <c r="J102" s="503">
        <v>4.3</v>
      </c>
      <c r="K102" s="474">
        <v>0</v>
      </c>
      <c r="L102" s="474">
        <v>1</v>
      </c>
      <c r="M102" s="474">
        <v>0</v>
      </c>
      <c r="N102" s="474">
        <v>0</v>
      </c>
    </row>
    <row r="103" ht="27" customHeight="1" spans="1:17">
      <c r="A103" s="506" t="s">
        <v>195</v>
      </c>
      <c r="B103" s="278" t="s">
        <v>179</v>
      </c>
      <c r="C103" s="285">
        <f t="shared" si="47"/>
        <v>1020</v>
      </c>
      <c r="D103" s="285">
        <f t="shared" si="48"/>
        <v>6.1</v>
      </c>
      <c r="E103" s="285">
        <f t="shared" si="49"/>
        <v>5.1</v>
      </c>
      <c r="F103" s="501">
        <f t="shared" si="50"/>
        <v>5.1</v>
      </c>
      <c r="G103" s="502">
        <f t="shared" si="51"/>
        <v>1020</v>
      </c>
      <c r="H103" s="285">
        <f t="shared" si="52"/>
        <v>6.1</v>
      </c>
      <c r="I103" s="285">
        <f t="shared" si="53"/>
        <v>5.1</v>
      </c>
      <c r="J103" s="503">
        <v>5.1</v>
      </c>
      <c r="K103" s="474">
        <v>0</v>
      </c>
      <c r="L103" s="474">
        <v>1</v>
      </c>
      <c r="M103" s="474">
        <v>0</v>
      </c>
      <c r="N103" s="474">
        <v>0</v>
      </c>
    </row>
    <row r="104" ht="27" customHeight="1" spans="1:17">
      <c r="A104" s="506" t="s">
        <v>196</v>
      </c>
      <c r="B104" s="284" t="s">
        <v>180</v>
      </c>
      <c r="C104" s="285">
        <f t="shared" si="47"/>
        <v>1120</v>
      </c>
      <c r="D104" s="491" t="s">
        <v>181</v>
      </c>
      <c r="E104" s="491" t="s">
        <v>181</v>
      </c>
      <c r="F104" s="501">
        <f t="shared" si="50"/>
        <v>5.6</v>
      </c>
      <c r="G104" s="502">
        <f t="shared" si="51"/>
        <v>1120</v>
      </c>
      <c r="H104" s="491" t="s">
        <v>181</v>
      </c>
      <c r="I104" s="491" t="s">
        <v>181</v>
      </c>
      <c r="J104" s="503">
        <v>5.6</v>
      </c>
      <c r="K104" s="474">
        <v>0</v>
      </c>
      <c r="L104" s="474">
        <v>1</v>
      </c>
      <c r="M104" s="474">
        <v>0</v>
      </c>
      <c r="N104" s="474">
        <v>0</v>
      </c>
    </row>
    <row r="105" ht="27" customHeight="1" spans="1:17">
      <c r="A105" s="506" t="s">
        <v>197</v>
      </c>
      <c r="B105" s="286" t="s">
        <v>182</v>
      </c>
      <c r="C105" s="285">
        <f t="shared" si="47"/>
        <v>1160</v>
      </c>
      <c r="D105" s="491" t="s">
        <v>181</v>
      </c>
      <c r="E105" s="491" t="s">
        <v>181</v>
      </c>
      <c r="F105" s="501">
        <f t="shared" si="50"/>
        <v>5.8</v>
      </c>
      <c r="G105" s="502">
        <f t="shared" si="51"/>
        <v>1160</v>
      </c>
      <c r="H105" s="491" t="s">
        <v>181</v>
      </c>
      <c r="I105" s="491" t="s">
        <v>181</v>
      </c>
      <c r="J105" s="503">
        <v>5.8</v>
      </c>
      <c r="K105" s="474">
        <v>0</v>
      </c>
      <c r="L105" s="474">
        <v>1</v>
      </c>
      <c r="M105" s="474">
        <v>0</v>
      </c>
      <c r="N105" s="474">
        <v>0</v>
      </c>
    </row>
    <row r="106" ht="27" customHeight="1" spans="1:17">
      <c r="A106" s="507" t="s">
        <v>198</v>
      </c>
      <c r="B106" s="287" t="s">
        <v>183</v>
      </c>
      <c r="C106" s="285">
        <f t="shared" si="47"/>
        <v>1340</v>
      </c>
      <c r="D106" s="491" t="s">
        <v>181</v>
      </c>
      <c r="E106" s="491" t="s">
        <v>181</v>
      </c>
      <c r="F106" s="501">
        <f t="shared" si="50"/>
        <v>6.7</v>
      </c>
      <c r="G106" s="502">
        <f t="shared" si="51"/>
        <v>1340</v>
      </c>
      <c r="H106" s="491" t="s">
        <v>181</v>
      </c>
      <c r="I106" s="491" t="s">
        <v>181</v>
      </c>
      <c r="J106" s="503">
        <v>6.7</v>
      </c>
      <c r="K106" s="474">
        <v>0</v>
      </c>
      <c r="L106" s="474">
        <v>1</v>
      </c>
      <c r="M106" s="474">
        <v>0</v>
      </c>
      <c r="N106" s="474">
        <v>0</v>
      </c>
    </row>
    <row r="107" ht="27" customHeight="1" spans="1:17">
      <c r="A107" s="506" t="s">
        <v>199</v>
      </c>
      <c r="B107" s="286" t="s">
        <v>184</v>
      </c>
      <c r="C107" s="285">
        <f t="shared" si="47"/>
        <v>1420</v>
      </c>
      <c r="D107" s="491" t="s">
        <v>181</v>
      </c>
      <c r="E107" s="491" t="s">
        <v>181</v>
      </c>
      <c r="F107" s="501">
        <f t="shared" si="50"/>
        <v>7.1</v>
      </c>
      <c r="G107" s="502">
        <f t="shared" si="51"/>
        <v>1420</v>
      </c>
      <c r="H107" s="491" t="s">
        <v>181</v>
      </c>
      <c r="I107" s="491" t="s">
        <v>181</v>
      </c>
      <c r="J107" s="503">
        <v>7.1</v>
      </c>
      <c r="K107" s="474">
        <v>0</v>
      </c>
      <c r="L107" s="474">
        <v>1</v>
      </c>
      <c r="M107" s="474">
        <v>0</v>
      </c>
      <c r="N107" s="474">
        <v>0</v>
      </c>
    </row>
    <row r="108" ht="27" customHeight="1" spans="1:17">
      <c r="A108" s="508" t="s">
        <v>185</v>
      </c>
      <c r="B108" s="508"/>
      <c r="C108" s="285">
        <f t="shared" si="47"/>
        <v>740</v>
      </c>
      <c r="D108" s="285" t="s">
        <v>38</v>
      </c>
      <c r="E108" s="285" t="s">
        <v>38</v>
      </c>
      <c r="F108" s="501">
        <f t="shared" si="50"/>
        <v>3.7</v>
      </c>
      <c r="G108" s="502">
        <f t="shared" si="51"/>
        <v>740</v>
      </c>
      <c r="H108" s="285" t="s">
        <v>38</v>
      </c>
      <c r="I108" s="285" t="s">
        <v>38</v>
      </c>
      <c r="J108" s="503">
        <v>3.7</v>
      </c>
      <c r="K108" s="474">
        <v>0</v>
      </c>
      <c r="L108" s="474">
        <v>0</v>
      </c>
      <c r="M108" s="474">
        <v>0</v>
      </c>
      <c r="N108" s="474">
        <v>0</v>
      </c>
    </row>
    <row r="110" ht="18" spans="1:17">
      <c r="A110" s="186" t="s">
        <v>190</v>
      </c>
      <c r="B110" s="190" t="s">
        <v>191</v>
      </c>
      <c r="C110" s="190" t="s">
        <v>134</v>
      </c>
      <c r="D110" s="190"/>
      <c r="E110" s="190"/>
      <c r="F110" s="190"/>
      <c r="G110" s="190" t="s">
        <v>135</v>
      </c>
      <c r="H110" s="190"/>
      <c r="I110" s="190"/>
      <c r="J110" s="190"/>
      <c r="K110" s="471"/>
      <c r="L110" s="471"/>
      <c r="M110" s="471"/>
      <c r="N110" s="471"/>
    </row>
    <row r="111" ht="36" spans="1:17">
      <c r="A111" s="191"/>
      <c r="B111" s="190"/>
      <c r="C111" s="190" t="s">
        <v>137</v>
      </c>
      <c r="D111" s="190" t="s">
        <v>138</v>
      </c>
      <c r="E111" s="190" t="s">
        <v>139</v>
      </c>
      <c r="F111" s="190" t="s">
        <v>140</v>
      </c>
      <c r="G111" s="190" t="s">
        <v>137</v>
      </c>
      <c r="H111" s="190" t="s">
        <v>138</v>
      </c>
      <c r="I111" s="190" t="s">
        <v>139</v>
      </c>
      <c r="J111" s="190" t="s">
        <v>140</v>
      </c>
      <c r="K111" s="190" t="s">
        <v>137</v>
      </c>
      <c r="L111" s="190" t="s">
        <v>138</v>
      </c>
      <c r="M111" s="190" t="s">
        <v>139</v>
      </c>
      <c r="N111" s="473" t="s">
        <v>164</v>
      </c>
    </row>
    <row r="112" ht="81" spans="1:17">
      <c r="A112" s="500" t="s">
        <v>192</v>
      </c>
      <c r="B112" s="278" t="s">
        <v>176</v>
      </c>
      <c r="C112" s="285">
        <f t="shared" ref="C112:C120" si="54">G112+K112</f>
        <v>1000</v>
      </c>
      <c r="D112" s="285">
        <f t="shared" ref="D112:D115" si="55">F112+L112</f>
        <v>6</v>
      </c>
      <c r="E112" s="285">
        <f t="shared" ref="E112:E115" si="56">F112+M112</f>
        <v>5</v>
      </c>
      <c r="F112" s="501">
        <f t="shared" ref="F112:F120" si="57">J112+N112</f>
        <v>5</v>
      </c>
      <c r="G112" s="502">
        <f t="shared" ref="G112:G120" si="58">J112*200</f>
        <v>1000</v>
      </c>
      <c r="H112" s="285">
        <f t="shared" ref="H112:H115" si="59">D112-N112</f>
        <v>6</v>
      </c>
      <c r="I112" s="285">
        <f t="shared" ref="I112:I115" si="60">E112-N112</f>
        <v>5</v>
      </c>
      <c r="J112" s="503">
        <v>5</v>
      </c>
      <c r="K112" s="474">
        <v>0</v>
      </c>
      <c r="L112" s="474">
        <v>1</v>
      </c>
      <c r="M112" s="474">
        <v>0</v>
      </c>
      <c r="N112" s="474">
        <v>0</v>
      </c>
      <c r="P112" s="467">
        <v>1.3</v>
      </c>
    </row>
    <row r="113" ht="40.5" spans="1:16">
      <c r="A113" s="500" t="s">
        <v>193</v>
      </c>
      <c r="B113" s="257" t="s">
        <v>177</v>
      </c>
      <c r="C113" s="285">
        <f t="shared" si="54"/>
        <v>1060</v>
      </c>
      <c r="D113" s="285">
        <f t="shared" si="55"/>
        <v>6.3</v>
      </c>
      <c r="E113" s="285">
        <f t="shared" si="56"/>
        <v>5.3</v>
      </c>
      <c r="F113" s="501">
        <f t="shared" si="57"/>
        <v>5.3</v>
      </c>
      <c r="G113" s="502">
        <f t="shared" si="58"/>
        <v>1060</v>
      </c>
      <c r="H113" s="285">
        <f t="shared" si="59"/>
        <v>6.3</v>
      </c>
      <c r="I113" s="285">
        <f t="shared" si="60"/>
        <v>5.3</v>
      </c>
      <c r="J113" s="503">
        <v>5.3</v>
      </c>
      <c r="K113" s="474">
        <v>0</v>
      </c>
      <c r="L113" s="474">
        <v>1</v>
      </c>
      <c r="M113" s="474">
        <v>0</v>
      </c>
      <c r="N113" s="474">
        <v>0</v>
      </c>
    </row>
    <row r="114" ht="162" spans="1:16">
      <c r="A114" s="500" t="s">
        <v>194</v>
      </c>
      <c r="B114" s="278" t="s">
        <v>178</v>
      </c>
      <c r="C114" s="285">
        <f t="shared" si="54"/>
        <v>1120</v>
      </c>
      <c r="D114" s="285">
        <f t="shared" si="55"/>
        <v>6.6</v>
      </c>
      <c r="E114" s="285">
        <f t="shared" si="56"/>
        <v>5.6</v>
      </c>
      <c r="F114" s="501">
        <f t="shared" si="57"/>
        <v>5.6</v>
      </c>
      <c r="G114" s="502">
        <f t="shared" si="58"/>
        <v>1120</v>
      </c>
      <c r="H114" s="285">
        <f t="shared" si="59"/>
        <v>6.6</v>
      </c>
      <c r="I114" s="285">
        <f t="shared" si="60"/>
        <v>5.6</v>
      </c>
      <c r="J114" s="503">
        <v>5.6</v>
      </c>
      <c r="K114" s="474">
        <v>0</v>
      </c>
      <c r="L114" s="474">
        <v>1</v>
      </c>
      <c r="M114" s="474">
        <v>0</v>
      </c>
      <c r="N114" s="474">
        <v>0</v>
      </c>
    </row>
    <row r="115" ht="21" spans="1:16">
      <c r="A115" s="506" t="s">
        <v>195</v>
      </c>
      <c r="B115" s="278" t="s">
        <v>179</v>
      </c>
      <c r="C115" s="285">
        <f t="shared" si="54"/>
        <v>1280</v>
      </c>
      <c r="D115" s="285">
        <f t="shared" si="55"/>
        <v>7.4</v>
      </c>
      <c r="E115" s="285">
        <f t="shared" si="56"/>
        <v>6.4</v>
      </c>
      <c r="F115" s="501">
        <f t="shared" si="57"/>
        <v>6.4</v>
      </c>
      <c r="G115" s="502">
        <f t="shared" si="58"/>
        <v>1280</v>
      </c>
      <c r="H115" s="285">
        <f t="shared" si="59"/>
        <v>7.4</v>
      </c>
      <c r="I115" s="285">
        <f t="shared" si="60"/>
        <v>6.4</v>
      </c>
      <c r="J115" s="503">
        <v>6.4</v>
      </c>
      <c r="K115" s="474">
        <v>0</v>
      </c>
      <c r="L115" s="474">
        <v>1</v>
      </c>
      <c r="M115" s="474">
        <v>0</v>
      </c>
      <c r="N115" s="474">
        <v>0</v>
      </c>
    </row>
    <row r="116" ht="101.25" spans="1:16">
      <c r="A116" s="506" t="s">
        <v>196</v>
      </c>
      <c r="B116" s="284" t="s">
        <v>180</v>
      </c>
      <c r="C116" s="285">
        <f t="shared" si="54"/>
        <v>1380</v>
      </c>
      <c r="D116" s="491" t="s">
        <v>181</v>
      </c>
      <c r="E116" s="491" t="s">
        <v>181</v>
      </c>
      <c r="F116" s="501">
        <f t="shared" si="57"/>
        <v>6.9</v>
      </c>
      <c r="G116" s="502">
        <f t="shared" si="58"/>
        <v>1380</v>
      </c>
      <c r="H116" s="491" t="s">
        <v>181</v>
      </c>
      <c r="I116" s="491" t="s">
        <v>181</v>
      </c>
      <c r="J116" s="503">
        <v>6.9</v>
      </c>
      <c r="K116" s="474">
        <v>0</v>
      </c>
      <c r="L116" s="474">
        <v>1</v>
      </c>
      <c r="M116" s="474">
        <v>0</v>
      </c>
      <c r="N116" s="474">
        <v>0</v>
      </c>
    </row>
    <row r="117" ht="121.5" spans="1:16">
      <c r="A117" s="506" t="s">
        <v>197</v>
      </c>
      <c r="B117" s="286" t="s">
        <v>182</v>
      </c>
      <c r="C117" s="285">
        <f t="shared" si="54"/>
        <v>1420</v>
      </c>
      <c r="D117" s="491" t="s">
        <v>181</v>
      </c>
      <c r="E117" s="491" t="s">
        <v>181</v>
      </c>
      <c r="F117" s="501">
        <f t="shared" si="57"/>
        <v>7.1</v>
      </c>
      <c r="G117" s="502">
        <f t="shared" si="58"/>
        <v>1420</v>
      </c>
      <c r="H117" s="491" t="s">
        <v>181</v>
      </c>
      <c r="I117" s="491" t="s">
        <v>181</v>
      </c>
      <c r="J117" s="503">
        <v>7.1</v>
      </c>
      <c r="K117" s="474">
        <v>0</v>
      </c>
      <c r="L117" s="474">
        <v>1</v>
      </c>
      <c r="M117" s="474">
        <v>0</v>
      </c>
      <c r="N117" s="474">
        <v>0</v>
      </c>
    </row>
    <row r="118" ht="81" spans="1:16">
      <c r="A118" s="507" t="s">
        <v>198</v>
      </c>
      <c r="B118" s="287" t="s">
        <v>183</v>
      </c>
      <c r="C118" s="285">
        <f t="shared" si="54"/>
        <v>1600</v>
      </c>
      <c r="D118" s="491" t="s">
        <v>181</v>
      </c>
      <c r="E118" s="491" t="s">
        <v>181</v>
      </c>
      <c r="F118" s="501">
        <f t="shared" si="57"/>
        <v>8</v>
      </c>
      <c r="G118" s="502">
        <f t="shared" si="58"/>
        <v>1600</v>
      </c>
      <c r="H118" s="491" t="s">
        <v>181</v>
      </c>
      <c r="I118" s="491" t="s">
        <v>181</v>
      </c>
      <c r="J118" s="503">
        <v>8</v>
      </c>
      <c r="K118" s="474">
        <v>0</v>
      </c>
      <c r="L118" s="474">
        <v>1</v>
      </c>
      <c r="M118" s="474">
        <v>0</v>
      </c>
      <c r="N118" s="474">
        <v>0</v>
      </c>
    </row>
    <row r="119" ht="121.5" spans="1:16">
      <c r="A119" s="506" t="s">
        <v>199</v>
      </c>
      <c r="B119" s="286" t="s">
        <v>184</v>
      </c>
      <c r="C119" s="285">
        <f t="shared" si="54"/>
        <v>1680</v>
      </c>
      <c r="D119" s="491" t="s">
        <v>181</v>
      </c>
      <c r="E119" s="491" t="s">
        <v>181</v>
      </c>
      <c r="F119" s="501">
        <f t="shared" si="57"/>
        <v>8.4</v>
      </c>
      <c r="G119" s="502">
        <f t="shared" si="58"/>
        <v>1680</v>
      </c>
      <c r="H119" s="491" t="s">
        <v>181</v>
      </c>
      <c r="I119" s="491" t="s">
        <v>181</v>
      </c>
      <c r="J119" s="503">
        <v>8.4</v>
      </c>
      <c r="K119" s="474">
        <v>0</v>
      </c>
      <c r="L119" s="474">
        <v>1</v>
      </c>
      <c r="M119" s="474">
        <v>0</v>
      </c>
      <c r="N119" s="474">
        <v>0</v>
      </c>
    </row>
    <row r="120" ht="21" spans="1:16">
      <c r="A120" s="508" t="s">
        <v>185</v>
      </c>
      <c r="B120" s="508"/>
      <c r="C120" s="285">
        <f t="shared" si="54"/>
        <v>1000</v>
      </c>
      <c r="D120" s="285" t="s">
        <v>38</v>
      </c>
      <c r="E120" s="285" t="s">
        <v>38</v>
      </c>
      <c r="F120" s="501">
        <f t="shared" si="57"/>
        <v>5</v>
      </c>
      <c r="G120" s="502">
        <f t="shared" si="58"/>
        <v>1000</v>
      </c>
      <c r="H120" s="285" t="s">
        <v>38</v>
      </c>
      <c r="I120" s="285" t="s">
        <v>38</v>
      </c>
      <c r="J120" s="503">
        <v>5</v>
      </c>
      <c r="K120" s="474">
        <v>0</v>
      </c>
      <c r="L120" s="474">
        <v>0</v>
      </c>
      <c r="M120" s="474">
        <v>0</v>
      </c>
      <c r="N120" s="474">
        <v>0</v>
      </c>
    </row>
    <row r="122" ht="18" spans="1:16">
      <c r="A122" s="474" t="s">
        <v>200</v>
      </c>
      <c r="B122" s="473" t="s">
        <v>190</v>
      </c>
      <c r="C122" s="190" t="s">
        <v>191</v>
      </c>
      <c r="D122" s="190"/>
      <c r="E122" s="190"/>
      <c r="F122" s="190"/>
      <c r="G122" s="190" t="s">
        <v>134</v>
      </c>
      <c r="H122" s="190"/>
      <c r="I122" s="190"/>
      <c r="J122" s="190" t="s">
        <v>135</v>
      </c>
      <c r="K122" s="190"/>
      <c r="L122" s="190"/>
    </row>
    <row r="123" ht="54" spans="1:16">
      <c r="A123" s="474"/>
      <c r="B123" s="473"/>
      <c r="C123" s="190"/>
      <c r="D123" s="190"/>
      <c r="E123" s="190"/>
      <c r="F123" s="190"/>
      <c r="G123" s="190" t="s">
        <v>137</v>
      </c>
      <c r="H123" s="190" t="s">
        <v>138</v>
      </c>
      <c r="I123" s="190" t="s">
        <v>151</v>
      </c>
      <c r="J123" s="190" t="s">
        <v>137</v>
      </c>
      <c r="K123" s="190" t="s">
        <v>138</v>
      </c>
      <c r="L123" s="190" t="s">
        <v>151</v>
      </c>
      <c r="M123" s="190" t="s">
        <v>139</v>
      </c>
      <c r="N123" s="190" t="s">
        <v>139</v>
      </c>
    </row>
    <row r="124" ht="27" customHeight="1" spans="1:16">
      <c r="A124" s="474"/>
      <c r="B124" s="193" t="s">
        <v>192</v>
      </c>
      <c r="C124" s="509" t="s">
        <v>201</v>
      </c>
      <c r="D124" s="510"/>
      <c r="E124" s="510"/>
      <c r="F124" s="511"/>
      <c r="G124" s="512">
        <f t="shared" ref="G124:G131" si="61">I124*200</f>
        <v>940</v>
      </c>
      <c r="H124" s="513">
        <f t="shared" ref="H124:H130" si="62">I124+1</f>
        <v>5.7</v>
      </c>
      <c r="I124" s="514">
        <v>4.7</v>
      </c>
      <c r="J124" s="512">
        <f t="shared" ref="J124:J131" si="63">L124*200</f>
        <v>940</v>
      </c>
      <c r="K124" s="513">
        <f t="shared" ref="K124:K130" si="64">L124+1</f>
        <v>5.7</v>
      </c>
      <c r="L124" s="513">
        <f t="shared" ref="L124:L131" si="65">I124</f>
        <v>4.7</v>
      </c>
      <c r="M124" s="513">
        <f t="shared" ref="M124:M130" si="66">L124+0.5</f>
        <v>5.2</v>
      </c>
      <c r="N124" s="513">
        <f t="shared" ref="N124:N130" si="67">I124+0.5</f>
        <v>5.2</v>
      </c>
      <c r="O124" s="513"/>
      <c r="P124" s="467">
        <v>0.2</v>
      </c>
    </row>
    <row r="125" ht="27" customHeight="1" spans="1:16">
      <c r="A125" s="474"/>
      <c r="B125" s="193" t="s">
        <v>193</v>
      </c>
      <c r="C125" s="509" t="s">
        <v>202</v>
      </c>
      <c r="D125" s="510"/>
      <c r="E125" s="510"/>
      <c r="F125" s="511"/>
      <c r="G125" s="512">
        <f t="shared" si="61"/>
        <v>1000</v>
      </c>
      <c r="H125" s="513">
        <f t="shared" si="62"/>
        <v>6</v>
      </c>
      <c r="I125" s="514">
        <v>5</v>
      </c>
      <c r="J125" s="512">
        <f t="shared" si="63"/>
        <v>1000</v>
      </c>
      <c r="K125" s="513">
        <f t="shared" si="64"/>
        <v>6</v>
      </c>
      <c r="L125" s="513">
        <f t="shared" si="65"/>
        <v>5</v>
      </c>
      <c r="M125" s="513">
        <f t="shared" si="66"/>
        <v>5.5</v>
      </c>
      <c r="N125" s="513">
        <f t="shared" si="67"/>
        <v>5.5</v>
      </c>
    </row>
    <row r="126" ht="27" customHeight="1" spans="1:16">
      <c r="A126" s="474"/>
      <c r="B126" s="193" t="s">
        <v>195</v>
      </c>
      <c r="C126" s="509" t="s">
        <v>203</v>
      </c>
      <c r="D126" s="510"/>
      <c r="E126" s="510"/>
      <c r="F126" s="511"/>
      <c r="G126" s="512">
        <f t="shared" si="61"/>
        <v>1040</v>
      </c>
      <c r="H126" s="513">
        <f t="shared" si="62"/>
        <v>6.2</v>
      </c>
      <c r="I126" s="514">
        <v>5.2</v>
      </c>
      <c r="J126" s="512">
        <f t="shared" si="63"/>
        <v>1040</v>
      </c>
      <c r="K126" s="513">
        <f t="shared" si="64"/>
        <v>6.2</v>
      </c>
      <c r="L126" s="513">
        <f t="shared" si="65"/>
        <v>5.2</v>
      </c>
      <c r="M126" s="513">
        <f t="shared" si="66"/>
        <v>5.7</v>
      </c>
      <c r="N126" s="513">
        <f t="shared" si="67"/>
        <v>5.7</v>
      </c>
    </row>
    <row r="127" ht="27" customHeight="1" spans="1:16">
      <c r="A127" s="474"/>
      <c r="B127" s="193" t="s">
        <v>196</v>
      </c>
      <c r="C127" s="509" t="s">
        <v>204</v>
      </c>
      <c r="D127" s="510"/>
      <c r="E127" s="510"/>
      <c r="F127" s="511"/>
      <c r="G127" s="512">
        <f t="shared" si="61"/>
        <v>1080</v>
      </c>
      <c r="H127" s="513">
        <f t="shared" si="62"/>
        <v>6.4</v>
      </c>
      <c r="I127" s="514">
        <v>5.4</v>
      </c>
      <c r="J127" s="512">
        <f t="shared" si="63"/>
        <v>1080</v>
      </c>
      <c r="K127" s="513">
        <f t="shared" si="64"/>
        <v>6.4</v>
      </c>
      <c r="L127" s="513">
        <f t="shared" si="65"/>
        <v>5.4</v>
      </c>
      <c r="M127" s="513">
        <f t="shared" si="66"/>
        <v>5.9</v>
      </c>
      <c r="N127" s="513">
        <f t="shared" si="67"/>
        <v>5.9</v>
      </c>
    </row>
    <row r="128" ht="27" customHeight="1" spans="1:16">
      <c r="A128" s="474"/>
      <c r="B128" s="203" t="s">
        <v>197</v>
      </c>
      <c r="C128" s="509" t="s">
        <v>205</v>
      </c>
      <c r="D128" s="510"/>
      <c r="E128" s="510"/>
      <c r="F128" s="511"/>
      <c r="G128" s="512">
        <f t="shared" si="61"/>
        <v>1140</v>
      </c>
      <c r="H128" s="513">
        <f t="shared" si="62"/>
        <v>6.7</v>
      </c>
      <c r="I128" s="514">
        <v>5.7</v>
      </c>
      <c r="J128" s="512">
        <f t="shared" si="63"/>
        <v>1140</v>
      </c>
      <c r="K128" s="513">
        <f t="shared" si="64"/>
        <v>6.7</v>
      </c>
      <c r="L128" s="513">
        <f t="shared" si="65"/>
        <v>5.7</v>
      </c>
      <c r="M128" s="513">
        <f t="shared" si="66"/>
        <v>6.2</v>
      </c>
      <c r="N128" s="513">
        <f t="shared" si="67"/>
        <v>6.2</v>
      </c>
    </row>
    <row r="129" ht="23" customHeight="1" spans="1:16">
      <c r="A129" s="474"/>
      <c r="B129" s="203" t="s">
        <v>198</v>
      </c>
      <c r="C129" s="509" t="s">
        <v>206</v>
      </c>
      <c r="D129" s="510"/>
      <c r="E129" s="510"/>
      <c r="F129" s="511"/>
      <c r="G129" s="512">
        <f t="shared" si="61"/>
        <v>1200</v>
      </c>
      <c r="H129" s="513">
        <f t="shared" si="62"/>
        <v>7</v>
      </c>
      <c r="I129" s="514">
        <v>6</v>
      </c>
      <c r="J129" s="512">
        <f t="shared" si="63"/>
        <v>1200</v>
      </c>
      <c r="K129" s="513">
        <f t="shared" si="64"/>
        <v>7</v>
      </c>
      <c r="L129" s="513">
        <f t="shared" si="65"/>
        <v>6</v>
      </c>
      <c r="M129" s="513">
        <f t="shared" si="66"/>
        <v>6.5</v>
      </c>
      <c r="N129" s="513">
        <f t="shared" si="67"/>
        <v>6.5</v>
      </c>
    </row>
    <row r="130" ht="23" customHeight="1" spans="1:16">
      <c r="A130" s="474"/>
      <c r="B130" s="203" t="s">
        <v>199</v>
      </c>
      <c r="C130" s="509" t="s">
        <v>207</v>
      </c>
      <c r="D130" s="510"/>
      <c r="E130" s="510"/>
      <c r="F130" s="511"/>
      <c r="G130" s="512">
        <f t="shared" si="61"/>
        <v>1440</v>
      </c>
      <c r="H130" s="513">
        <f t="shared" si="62"/>
        <v>8.2</v>
      </c>
      <c r="I130" s="514">
        <v>7.2</v>
      </c>
      <c r="J130" s="512">
        <f t="shared" si="63"/>
        <v>1440</v>
      </c>
      <c r="K130" s="513">
        <f t="shared" si="64"/>
        <v>8.2</v>
      </c>
      <c r="L130" s="513">
        <f t="shared" si="65"/>
        <v>7.2</v>
      </c>
      <c r="M130" s="513">
        <f t="shared" si="66"/>
        <v>7.7</v>
      </c>
      <c r="N130" s="513">
        <f t="shared" si="67"/>
        <v>7.7</v>
      </c>
    </row>
    <row r="131" ht="23" customHeight="1" spans="1:16">
      <c r="A131" s="474"/>
      <c r="B131" s="515"/>
      <c r="C131" s="516" t="s">
        <v>185</v>
      </c>
      <c r="D131" s="516"/>
      <c r="E131" s="516"/>
      <c r="F131" s="516"/>
      <c r="G131" s="512">
        <f t="shared" si="61"/>
        <v>940</v>
      </c>
      <c r="H131" s="517" t="s">
        <v>38</v>
      </c>
      <c r="I131" s="514">
        <v>4.7</v>
      </c>
      <c r="J131" s="512">
        <f t="shared" si="63"/>
        <v>940</v>
      </c>
      <c r="K131" s="517" t="s">
        <v>38</v>
      </c>
      <c r="L131" s="513">
        <f t="shared" si="65"/>
        <v>4.7</v>
      </c>
      <c r="M131" s="517" t="s">
        <v>38</v>
      </c>
      <c r="N131" s="517" t="s">
        <v>38</v>
      </c>
    </row>
    <row r="133" ht="18" spans="1:16">
      <c r="A133" s="474" t="s">
        <v>208</v>
      </c>
      <c r="B133" s="408" t="s">
        <v>190</v>
      </c>
      <c r="C133" s="190" t="s">
        <v>191</v>
      </c>
      <c r="D133" s="190"/>
      <c r="E133" s="190"/>
      <c r="F133" s="190"/>
      <c r="G133" s="190" t="s">
        <v>134</v>
      </c>
      <c r="H133" s="190"/>
      <c r="I133" s="190"/>
      <c r="J133" s="190" t="s">
        <v>135</v>
      </c>
      <c r="K133" s="190"/>
      <c r="L133" s="190"/>
    </row>
    <row r="134" ht="34" customHeight="1" spans="1:16">
      <c r="A134" s="474"/>
      <c r="B134" s="408"/>
      <c r="C134" s="190"/>
      <c r="D134" s="190"/>
      <c r="E134" s="190"/>
      <c r="F134" s="190"/>
      <c r="G134" s="190" t="s">
        <v>137</v>
      </c>
      <c r="H134" s="190" t="s">
        <v>138</v>
      </c>
      <c r="I134" s="190" t="s">
        <v>151</v>
      </c>
      <c r="J134" s="190" t="s">
        <v>137</v>
      </c>
      <c r="K134" s="190" t="s">
        <v>138</v>
      </c>
      <c r="L134" s="190" t="s">
        <v>151</v>
      </c>
      <c r="M134" s="190" t="s">
        <v>139</v>
      </c>
      <c r="N134" s="190" t="s">
        <v>139</v>
      </c>
    </row>
    <row r="135" ht="33" customHeight="1" spans="1:16">
      <c r="A135" s="474"/>
      <c r="B135" s="515" t="s">
        <v>192</v>
      </c>
      <c r="C135" s="518" t="s">
        <v>209</v>
      </c>
      <c r="D135" s="518"/>
      <c r="E135" s="518"/>
      <c r="F135" s="518"/>
      <c r="G135" s="512">
        <f t="shared" ref="G135:G140" si="68">I135*200</f>
        <v>1100</v>
      </c>
      <c r="H135" s="513">
        <f>I135+1</f>
        <v>6.5</v>
      </c>
      <c r="I135" s="514">
        <v>5.5</v>
      </c>
      <c r="J135" s="512">
        <f t="shared" ref="J135:J140" si="69">L135*200</f>
        <v>1100</v>
      </c>
      <c r="K135" s="513">
        <f>L135+1</f>
        <v>6.5</v>
      </c>
      <c r="L135" s="513">
        <f t="shared" ref="L135:L140" si="70">I135</f>
        <v>5.5</v>
      </c>
      <c r="M135" s="513">
        <f>I135+0.5</f>
        <v>6</v>
      </c>
      <c r="N135" s="513">
        <f>L135+0.5</f>
        <v>6</v>
      </c>
      <c r="P135" s="467">
        <v>0.5</v>
      </c>
    </row>
    <row r="136" ht="33" customHeight="1" spans="1:16">
      <c r="A136" s="474"/>
      <c r="B136" s="515" t="s">
        <v>193</v>
      </c>
      <c r="C136" s="519" t="s">
        <v>210</v>
      </c>
      <c r="D136" s="519"/>
      <c r="E136" s="519"/>
      <c r="F136" s="519"/>
      <c r="G136" s="512">
        <f t="shared" si="68"/>
        <v>1180</v>
      </c>
      <c r="H136" s="513">
        <f>I136+1</f>
        <v>6.9</v>
      </c>
      <c r="I136" s="514">
        <v>5.9</v>
      </c>
      <c r="J136" s="512">
        <f t="shared" si="69"/>
        <v>1180</v>
      </c>
      <c r="K136" s="513">
        <f>L136+1</f>
        <v>6.9</v>
      </c>
      <c r="L136" s="513">
        <f t="shared" si="70"/>
        <v>5.9</v>
      </c>
      <c r="M136" s="513">
        <f>I136+0.5</f>
        <v>6.4</v>
      </c>
      <c r="N136" s="513">
        <f>L136+0.5</f>
        <v>6.4</v>
      </c>
    </row>
    <row r="137" ht="33" customHeight="1" spans="1:16">
      <c r="A137" s="474"/>
      <c r="B137" s="515" t="s">
        <v>195</v>
      </c>
      <c r="C137" s="519" t="s">
        <v>211</v>
      </c>
      <c r="D137" s="519"/>
      <c r="E137" s="519"/>
      <c r="F137" s="519"/>
      <c r="G137" s="512">
        <f t="shared" si="68"/>
        <v>1200</v>
      </c>
      <c r="H137" s="513">
        <f>I137+1</f>
        <v>7</v>
      </c>
      <c r="I137" s="514">
        <v>6</v>
      </c>
      <c r="J137" s="512">
        <f t="shared" si="69"/>
        <v>1200</v>
      </c>
      <c r="K137" s="513">
        <f>L137+1</f>
        <v>7</v>
      </c>
      <c r="L137" s="513">
        <f t="shared" si="70"/>
        <v>6</v>
      </c>
      <c r="M137" s="513">
        <f>I137+0.5</f>
        <v>6.5</v>
      </c>
      <c r="N137" s="513">
        <f>L137+0.5</f>
        <v>6.5</v>
      </c>
    </row>
    <row r="138" ht="33" customHeight="1" spans="1:16">
      <c r="A138" s="474"/>
      <c r="B138" s="515" t="s">
        <v>196</v>
      </c>
      <c r="C138" s="519" t="s">
        <v>212</v>
      </c>
      <c r="D138" s="519"/>
      <c r="E138" s="519"/>
      <c r="F138" s="519"/>
      <c r="G138" s="512">
        <f t="shared" si="68"/>
        <v>1240</v>
      </c>
      <c r="H138" s="513">
        <f>I138+1</f>
        <v>7.2</v>
      </c>
      <c r="I138" s="514">
        <v>6.2</v>
      </c>
      <c r="J138" s="512">
        <f t="shared" si="69"/>
        <v>1240</v>
      </c>
      <c r="K138" s="513">
        <f>L138+1</f>
        <v>7.2</v>
      </c>
      <c r="L138" s="513">
        <f t="shared" si="70"/>
        <v>6.2</v>
      </c>
      <c r="M138" s="513">
        <f>I138+0.5</f>
        <v>6.7</v>
      </c>
      <c r="N138" s="513">
        <f>L138+0.5</f>
        <v>6.7</v>
      </c>
    </row>
    <row r="139" ht="33" customHeight="1" spans="1:16">
      <c r="A139" s="474"/>
      <c r="B139" s="515" t="s">
        <v>197</v>
      </c>
      <c r="C139" s="519" t="s">
        <v>213</v>
      </c>
      <c r="D139" s="519"/>
      <c r="E139" s="519"/>
      <c r="F139" s="519"/>
      <c r="G139" s="512">
        <f t="shared" si="68"/>
        <v>1260</v>
      </c>
      <c r="H139" s="513">
        <f>I139+1</f>
        <v>7.3</v>
      </c>
      <c r="I139" s="514">
        <v>6.3</v>
      </c>
      <c r="J139" s="512">
        <f t="shared" si="69"/>
        <v>1260</v>
      </c>
      <c r="K139" s="513">
        <f>L139+1</f>
        <v>7.3</v>
      </c>
      <c r="L139" s="513">
        <f t="shared" si="70"/>
        <v>6.3</v>
      </c>
      <c r="M139" s="513">
        <f>I139+0.5</f>
        <v>6.8</v>
      </c>
      <c r="N139" s="513">
        <f>L139+0.5</f>
        <v>6.8</v>
      </c>
    </row>
    <row r="140" ht="34" customHeight="1" spans="1:16">
      <c r="A140" s="474"/>
      <c r="B140" s="516" t="s">
        <v>185</v>
      </c>
      <c r="C140" s="516"/>
      <c r="D140" s="516"/>
      <c r="E140" s="516"/>
      <c r="F140" s="516"/>
      <c r="G140" s="512">
        <f t="shared" si="68"/>
        <v>1100</v>
      </c>
      <c r="H140" s="517" t="s">
        <v>38</v>
      </c>
      <c r="I140" s="514">
        <v>5.5</v>
      </c>
      <c r="J140" s="512">
        <f t="shared" si="69"/>
        <v>1100</v>
      </c>
      <c r="K140" s="517" t="s">
        <v>38</v>
      </c>
      <c r="L140" s="513">
        <f t="shared" si="70"/>
        <v>5.5</v>
      </c>
      <c r="M140" s="517" t="s">
        <v>38</v>
      </c>
      <c r="N140" s="517" t="s">
        <v>38</v>
      </c>
    </row>
  </sheetData>
  <mergeCells count="67">
    <mergeCell ref="C1:E1"/>
    <mergeCell ref="F1:H1"/>
    <mergeCell ref="C22:F22"/>
    <mergeCell ref="G22:J22"/>
    <mergeCell ref="C34:F34"/>
    <mergeCell ref="G34:J34"/>
    <mergeCell ref="C46:F46"/>
    <mergeCell ref="G46:J46"/>
    <mergeCell ref="C58:F58"/>
    <mergeCell ref="G58:J58"/>
    <mergeCell ref="C71:F71"/>
    <mergeCell ref="G71:J71"/>
    <mergeCell ref="C84:F84"/>
    <mergeCell ref="G84:J84"/>
    <mergeCell ref="C98:F98"/>
    <mergeCell ref="G98:J98"/>
    <mergeCell ref="A108:B108"/>
    <mergeCell ref="C110:F110"/>
    <mergeCell ref="G110:J110"/>
    <mergeCell ref="A120:B120"/>
    <mergeCell ref="G122:I122"/>
    <mergeCell ref="J122:L122"/>
    <mergeCell ref="C124:F124"/>
    <mergeCell ref="C125:F125"/>
    <mergeCell ref="C126:F126"/>
    <mergeCell ref="C127:F127"/>
    <mergeCell ref="C128:F128"/>
    <mergeCell ref="C129:F129"/>
    <mergeCell ref="C130:F130"/>
    <mergeCell ref="C131:F131"/>
    <mergeCell ref="G133:I133"/>
    <mergeCell ref="J133:L133"/>
    <mergeCell ref="C135:F135"/>
    <mergeCell ref="C136:F136"/>
    <mergeCell ref="C137:F137"/>
    <mergeCell ref="C138:F138"/>
    <mergeCell ref="C139:F139"/>
    <mergeCell ref="B140:F140"/>
    <mergeCell ref="A3:A5"/>
    <mergeCell ref="A6:A8"/>
    <mergeCell ref="A9:A11"/>
    <mergeCell ref="A12:A14"/>
    <mergeCell ref="A15:A17"/>
    <mergeCell ref="A18:A20"/>
    <mergeCell ref="A22:A31"/>
    <mergeCell ref="A34:A43"/>
    <mergeCell ref="A46:A55"/>
    <mergeCell ref="A58:A67"/>
    <mergeCell ref="A71:A80"/>
    <mergeCell ref="A84:A93"/>
    <mergeCell ref="A98:A99"/>
    <mergeCell ref="A110:A111"/>
    <mergeCell ref="A122:A131"/>
    <mergeCell ref="A133:A140"/>
    <mergeCell ref="B1:B2"/>
    <mergeCell ref="B22:B23"/>
    <mergeCell ref="B34:B35"/>
    <mergeCell ref="B46:B47"/>
    <mergeCell ref="B58:B59"/>
    <mergeCell ref="B71:B72"/>
    <mergeCell ref="B84:B85"/>
    <mergeCell ref="B98:B99"/>
    <mergeCell ref="B110:B111"/>
    <mergeCell ref="B122:B123"/>
    <mergeCell ref="B133:B134"/>
    <mergeCell ref="C133:F134"/>
    <mergeCell ref="C122:F12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Z68"/>
  <sheetViews>
    <sheetView zoomScale="90" zoomScaleNormal="90" workbookViewId="0">
      <selection activeCell="N6" sqref="N6"/>
    </sheetView>
  </sheetViews>
  <sheetFormatPr defaultColWidth="9" defaultRowHeight="14.25"/>
  <cols>
    <col min="1" max="1" width="5.55" style="360" customWidth="1"/>
    <col min="2" max="2" width="24.7" style="361" customWidth="1"/>
    <col min="3" max="8" width="17.9166666666667" style="361" customWidth="1"/>
    <col min="9" max="9" width="28.2333333333333" style="361" customWidth="1"/>
    <col min="10" max="10" width="23.8166666666667" style="361" customWidth="1"/>
    <col min="11" max="11" width="23.8166666666667" style="362" customWidth="1"/>
    <col min="12" max="12" width="18.0916666666667" style="362" customWidth="1"/>
    <col min="13" max="13" width="8.89166666666667" style="361" customWidth="1"/>
    <col min="14" max="15" width="7" style="361" customWidth="1"/>
    <col min="16" max="16" width="12.2666666666667" style="361"/>
    <col min="17" max="252" width="9" style="361"/>
    <col min="253" max="16384" width="9" style="363"/>
  </cols>
  <sheetData>
    <row r="1" s="357" customFormat="1" ht="43" customHeight="1" spans="2:26">
      <c r="B1" s="364" t="s">
        <v>214</v>
      </c>
      <c r="C1" s="364"/>
      <c r="D1" s="364"/>
      <c r="E1" s="364"/>
      <c r="F1" s="364"/>
      <c r="G1" s="364"/>
      <c r="H1" s="364"/>
      <c r="I1" s="364"/>
      <c r="J1" s="364"/>
      <c r="K1" s="364"/>
      <c r="L1" s="364"/>
      <c r="M1" s="365"/>
    </row>
    <row r="2" s="357" customFormat="1" ht="42" customHeight="1" spans="2:26">
      <c r="B2" s="366" t="s">
        <v>215</v>
      </c>
      <c r="C2" s="366"/>
      <c r="D2" s="366"/>
      <c r="E2" s="366"/>
      <c r="F2" s="366"/>
      <c r="G2" s="366"/>
      <c r="H2" s="366"/>
      <c r="I2" s="366"/>
      <c r="J2" s="366"/>
      <c r="K2" s="366"/>
      <c r="L2" s="366"/>
      <c r="M2" s="365"/>
    </row>
    <row r="3" s="357" customFormat="1" ht="22" customHeight="1" spans="2:26">
      <c r="B3" s="367" t="s">
        <v>216</v>
      </c>
      <c r="C3" s="367"/>
      <c r="D3" s="367"/>
      <c r="E3" s="367"/>
      <c r="F3" s="367"/>
      <c r="G3" s="368"/>
      <c r="H3" s="369"/>
      <c r="I3" s="369"/>
      <c r="J3" s="367" t="s">
        <v>217</v>
      </c>
      <c r="K3" s="367"/>
      <c r="L3" s="367"/>
      <c r="M3" s="365"/>
    </row>
    <row r="4" s="358" customFormat="1" ht="26" customHeight="1" spans="2:26">
      <c r="B4" s="370" t="s">
        <v>156</v>
      </c>
      <c r="C4" s="370" t="s">
        <v>157</v>
      </c>
      <c r="D4" s="370"/>
      <c r="E4" s="370"/>
      <c r="F4" s="370" t="s">
        <v>158</v>
      </c>
      <c r="G4" s="370"/>
      <c r="H4" s="370"/>
      <c r="I4" s="370" t="s">
        <v>218</v>
      </c>
      <c r="J4" s="371" t="s">
        <v>219</v>
      </c>
      <c r="K4" s="371" t="s">
        <v>220</v>
      </c>
      <c r="L4" s="370" t="s">
        <v>221</v>
      </c>
      <c r="M4" s="372" t="s">
        <v>222</v>
      </c>
      <c r="N4" s="373"/>
      <c r="O4" s="373"/>
      <c r="P4" s="373"/>
      <c r="Q4" s="357"/>
      <c r="R4" s="357"/>
      <c r="S4" s="357"/>
      <c r="T4" s="357"/>
      <c r="U4" s="357"/>
      <c r="V4" s="357"/>
      <c r="W4" s="357"/>
      <c r="X4" s="357"/>
      <c r="Y4" s="357"/>
      <c r="Z4" s="357"/>
    </row>
    <row r="5" s="358" customFormat="1" ht="31" customHeight="1" spans="2:26">
      <c r="B5" s="370"/>
      <c r="C5" s="374" t="s">
        <v>223</v>
      </c>
      <c r="D5" s="370" t="s">
        <v>160</v>
      </c>
      <c r="E5" s="370" t="s">
        <v>161</v>
      </c>
      <c r="F5" s="374" t="s">
        <v>223</v>
      </c>
      <c r="G5" s="370" t="s">
        <v>160</v>
      </c>
      <c r="H5" s="370" t="s">
        <v>161</v>
      </c>
      <c r="I5" s="370"/>
      <c r="J5" s="371"/>
      <c r="K5" s="371"/>
      <c r="L5" s="370"/>
      <c r="N5" s="373"/>
      <c r="O5" s="373"/>
      <c r="P5" s="373"/>
      <c r="Q5" s="357"/>
      <c r="R5" s="357"/>
      <c r="S5" s="357"/>
      <c r="T5" s="357"/>
      <c r="U5" s="357"/>
      <c r="V5" s="357"/>
      <c r="W5" s="357"/>
      <c r="X5" s="357"/>
      <c r="Y5" s="357"/>
      <c r="Z5" s="357"/>
    </row>
    <row r="6" s="358" customFormat="1" ht="53" customHeight="1" spans="2:26">
      <c r="B6" s="375" t="s">
        <v>166</v>
      </c>
      <c r="C6" s="376">
        <f>价格汇总!C3</f>
        <v>15.4</v>
      </c>
      <c r="D6" s="376">
        <f>价格汇总!D3</f>
        <v>13.4</v>
      </c>
      <c r="E6" s="377">
        <f>价格汇总!E3</f>
        <v>12.4</v>
      </c>
      <c r="F6" s="378">
        <f>价格汇总!F3</f>
        <v>15</v>
      </c>
      <c r="G6" s="378">
        <f>价格汇总!G3</f>
        <v>13</v>
      </c>
      <c r="H6" s="377">
        <f>价格汇总!H3</f>
        <v>12</v>
      </c>
      <c r="I6" s="379" t="s">
        <v>224</v>
      </c>
      <c r="J6" s="380" t="s">
        <v>225</v>
      </c>
      <c r="K6" s="381" t="s">
        <v>226</v>
      </c>
      <c r="L6" s="382" t="s">
        <v>227</v>
      </c>
      <c r="M6" s="383"/>
      <c r="N6" s="373"/>
      <c r="O6" s="373"/>
      <c r="P6" s="373"/>
      <c r="Q6" s="357"/>
      <c r="R6" s="357"/>
      <c r="S6" s="357"/>
      <c r="T6" s="357"/>
      <c r="U6" s="357"/>
      <c r="V6" s="357"/>
      <c r="W6" s="357"/>
      <c r="X6" s="357"/>
      <c r="Y6" s="357"/>
      <c r="Z6" s="357"/>
    </row>
    <row r="7" s="358" customFormat="1" ht="53" customHeight="1" spans="2:26">
      <c r="B7" s="375" t="s">
        <v>167</v>
      </c>
      <c r="C7" s="376">
        <f>价格汇总!C4</f>
        <v>16.6</v>
      </c>
      <c r="D7" s="376">
        <f>价格汇总!D4</f>
        <v>14.6</v>
      </c>
      <c r="E7" s="377">
        <f>价格汇总!E4</f>
        <v>13.6</v>
      </c>
      <c r="F7" s="378">
        <f>价格汇总!F4</f>
        <v>16.2</v>
      </c>
      <c r="G7" s="378">
        <f>价格汇总!G4</f>
        <v>14.2</v>
      </c>
      <c r="H7" s="377">
        <f>价格汇总!H4</f>
        <v>13.2</v>
      </c>
      <c r="I7" s="384"/>
      <c r="J7" s="385"/>
      <c r="K7" s="386"/>
      <c r="L7" s="382" t="s">
        <v>228</v>
      </c>
      <c r="M7" s="383"/>
      <c r="N7" s="373"/>
      <c r="O7" s="373"/>
      <c r="P7" s="373"/>
      <c r="Q7" s="357"/>
      <c r="R7" s="357"/>
      <c r="S7" s="357"/>
      <c r="T7" s="357"/>
      <c r="U7" s="357"/>
      <c r="V7" s="357"/>
      <c r="W7" s="357"/>
      <c r="X7" s="357"/>
      <c r="Y7" s="357"/>
      <c r="Z7" s="357"/>
    </row>
    <row r="8" s="358" customFormat="1" ht="53" customHeight="1" spans="2:26">
      <c r="B8" s="375" t="s">
        <v>168</v>
      </c>
      <c r="C8" s="376">
        <f>价格汇总!C5</f>
        <v>17.6</v>
      </c>
      <c r="D8" s="376">
        <f>价格汇总!D5</f>
        <v>15.6</v>
      </c>
      <c r="E8" s="377">
        <f>价格汇总!E5</f>
        <v>14.6</v>
      </c>
      <c r="F8" s="378">
        <f>价格汇总!F5</f>
        <v>17.2</v>
      </c>
      <c r="G8" s="378">
        <f>价格汇总!G5</f>
        <v>15.2</v>
      </c>
      <c r="H8" s="377">
        <f>价格汇总!H5</f>
        <v>14.2</v>
      </c>
      <c r="I8" s="387"/>
      <c r="J8" s="388"/>
      <c r="K8" s="389"/>
      <c r="L8" s="382" t="s">
        <v>229</v>
      </c>
      <c r="M8" s="383"/>
      <c r="N8" s="373"/>
      <c r="O8" s="373"/>
      <c r="P8" s="373"/>
      <c r="Q8" s="357"/>
      <c r="R8" s="357"/>
      <c r="S8" s="357"/>
      <c r="T8" s="357"/>
      <c r="U8" s="357"/>
      <c r="V8" s="357"/>
      <c r="W8" s="357"/>
      <c r="X8" s="357"/>
      <c r="Y8" s="357"/>
      <c r="Z8" s="357"/>
    </row>
    <row r="9" s="358" customFormat="1" ht="43" customHeight="1" spans="2:26">
      <c r="B9" s="390" t="s">
        <v>230</v>
      </c>
      <c r="C9" s="390"/>
      <c r="D9" s="390"/>
      <c r="E9" s="390"/>
      <c r="F9" s="390"/>
      <c r="G9" s="390"/>
      <c r="H9" s="390"/>
      <c r="I9" s="390"/>
      <c r="J9" s="390"/>
      <c r="K9" s="390"/>
      <c r="L9" s="390"/>
      <c r="M9" s="383"/>
      <c r="N9" s="373"/>
      <c r="O9" s="373"/>
      <c r="P9" s="373"/>
      <c r="Q9" s="357"/>
      <c r="R9" s="357"/>
      <c r="S9" s="357"/>
      <c r="T9" s="357"/>
      <c r="U9" s="357"/>
      <c r="V9" s="357"/>
      <c r="W9" s="357"/>
      <c r="X9" s="357"/>
      <c r="Y9" s="357"/>
      <c r="Z9" s="357"/>
    </row>
    <row r="10" s="358" customFormat="1" ht="52" customHeight="1" spans="2:26">
      <c r="B10" s="366" t="s">
        <v>231</v>
      </c>
      <c r="C10" s="391"/>
      <c r="D10" s="391"/>
      <c r="E10" s="391"/>
      <c r="F10" s="391"/>
      <c r="G10" s="391"/>
      <c r="H10" s="391"/>
      <c r="I10" s="391"/>
      <c r="J10" s="391"/>
      <c r="K10" s="391"/>
      <c r="L10" s="391"/>
      <c r="M10" s="383"/>
      <c r="N10" s="373"/>
      <c r="O10" s="373"/>
      <c r="P10" s="373"/>
      <c r="Q10" s="357"/>
      <c r="R10" s="357"/>
      <c r="S10" s="357"/>
      <c r="T10" s="357"/>
      <c r="U10" s="357"/>
      <c r="V10" s="357"/>
      <c r="W10" s="357"/>
      <c r="X10" s="357"/>
      <c r="Y10" s="357"/>
      <c r="Z10" s="357"/>
    </row>
    <row r="11" s="358" customFormat="1" ht="29" customHeight="1" spans="2:26">
      <c r="B11" s="370" t="s">
        <v>156</v>
      </c>
      <c r="C11" s="374" t="s">
        <v>157</v>
      </c>
      <c r="D11" s="392"/>
      <c r="E11" s="393"/>
      <c r="F11" s="370" t="s">
        <v>158</v>
      </c>
      <c r="G11" s="370"/>
      <c r="H11" s="370"/>
      <c r="I11" s="370" t="s">
        <v>218</v>
      </c>
      <c r="J11" s="371" t="s">
        <v>219</v>
      </c>
      <c r="K11" s="371" t="s">
        <v>220</v>
      </c>
      <c r="L11" s="370" t="s">
        <v>221</v>
      </c>
      <c r="M11" s="383"/>
      <c r="N11" s="373"/>
      <c r="O11" s="373"/>
      <c r="P11" s="373"/>
      <c r="Q11" s="357"/>
      <c r="R11" s="357"/>
      <c r="S11" s="357"/>
      <c r="T11" s="357"/>
      <c r="U11" s="357"/>
      <c r="V11" s="357"/>
      <c r="W11" s="357"/>
      <c r="X11" s="357"/>
      <c r="Y11" s="357"/>
      <c r="Z11" s="357"/>
    </row>
    <row r="12" s="358" customFormat="1" ht="34" customHeight="1" spans="2:26">
      <c r="B12" s="370"/>
      <c r="C12" s="374" t="s">
        <v>223</v>
      </c>
      <c r="D12" s="370" t="s">
        <v>160</v>
      </c>
      <c r="E12" s="370" t="s">
        <v>161</v>
      </c>
      <c r="F12" s="374" t="s">
        <v>223</v>
      </c>
      <c r="G12" s="370" t="s">
        <v>160</v>
      </c>
      <c r="H12" s="370" t="s">
        <v>161</v>
      </c>
      <c r="I12" s="370"/>
      <c r="J12" s="371"/>
      <c r="K12" s="371"/>
      <c r="L12" s="370"/>
      <c r="M12" s="383"/>
      <c r="N12" s="373"/>
      <c r="O12" s="373"/>
      <c r="P12" s="373"/>
      <c r="Q12" s="357"/>
      <c r="R12" s="357"/>
      <c r="S12" s="357"/>
      <c r="T12" s="357"/>
      <c r="U12" s="357"/>
      <c r="V12" s="357"/>
      <c r="W12" s="357"/>
      <c r="X12" s="357"/>
      <c r="Y12" s="357"/>
      <c r="Z12" s="357"/>
    </row>
    <row r="13" s="358" customFormat="1" ht="49" customHeight="1" spans="2:26">
      <c r="B13" s="375" t="s">
        <v>166</v>
      </c>
      <c r="C13" s="376">
        <f>价格汇总!C6</f>
        <v>15.1</v>
      </c>
      <c r="D13" s="376">
        <f>价格汇总!D6</f>
        <v>13.1</v>
      </c>
      <c r="E13" s="377">
        <f>价格汇总!E6</f>
        <v>12.1</v>
      </c>
      <c r="F13" s="376">
        <f>价格汇总!F6</f>
        <v>14.7</v>
      </c>
      <c r="G13" s="376">
        <f>价格汇总!G6</f>
        <v>12.7</v>
      </c>
      <c r="H13" s="377">
        <f>价格汇总!H6</f>
        <v>11.7</v>
      </c>
      <c r="I13" s="379" t="s">
        <v>232</v>
      </c>
      <c r="J13" s="380" t="s">
        <v>233</v>
      </c>
      <c r="K13" s="381" t="s">
        <v>234</v>
      </c>
      <c r="L13" s="382" t="s">
        <v>227</v>
      </c>
      <c r="M13" s="383"/>
      <c r="N13" s="373"/>
      <c r="O13" s="373"/>
      <c r="P13" s="373"/>
      <c r="Q13" s="357"/>
      <c r="R13" s="357"/>
      <c r="S13" s="357"/>
      <c r="T13" s="357"/>
      <c r="U13" s="357"/>
      <c r="V13" s="357"/>
      <c r="W13" s="357"/>
      <c r="X13" s="357"/>
      <c r="Y13" s="357"/>
      <c r="Z13" s="357"/>
    </row>
    <row r="14" s="358" customFormat="1" ht="49" customHeight="1" spans="2:26">
      <c r="B14" s="375" t="s">
        <v>167</v>
      </c>
      <c r="C14" s="376">
        <f>价格汇总!C7</f>
        <v>16.3</v>
      </c>
      <c r="D14" s="376">
        <f>价格汇总!D7</f>
        <v>14.3</v>
      </c>
      <c r="E14" s="377">
        <f>价格汇总!E7</f>
        <v>13.3</v>
      </c>
      <c r="F14" s="376">
        <f>价格汇总!F7</f>
        <v>15.9</v>
      </c>
      <c r="G14" s="376">
        <f>价格汇总!G7</f>
        <v>13.9</v>
      </c>
      <c r="H14" s="377">
        <f>价格汇总!H7</f>
        <v>12.9</v>
      </c>
      <c r="I14" s="384"/>
      <c r="J14" s="385"/>
      <c r="K14" s="386"/>
      <c r="L14" s="382" t="s">
        <v>228</v>
      </c>
      <c r="M14" s="383"/>
      <c r="N14" s="373"/>
      <c r="O14" s="373"/>
      <c r="P14" s="373"/>
      <c r="Q14" s="357"/>
      <c r="R14" s="357"/>
      <c r="S14" s="357"/>
      <c r="T14" s="357"/>
      <c r="U14" s="357"/>
      <c r="V14" s="357"/>
      <c r="W14" s="357"/>
      <c r="X14" s="357"/>
      <c r="Y14" s="357"/>
      <c r="Z14" s="357"/>
    </row>
    <row r="15" s="358" customFormat="1" ht="49" customHeight="1" spans="2:26">
      <c r="B15" s="375" t="s">
        <v>168</v>
      </c>
      <c r="C15" s="376">
        <f>价格汇总!C8</f>
        <v>17.3</v>
      </c>
      <c r="D15" s="376">
        <f>价格汇总!D8</f>
        <v>15.3</v>
      </c>
      <c r="E15" s="377">
        <f>价格汇总!E8</f>
        <v>14.3</v>
      </c>
      <c r="F15" s="376">
        <f>价格汇总!F8</f>
        <v>16.9</v>
      </c>
      <c r="G15" s="376">
        <f>价格汇总!G8</f>
        <v>14.9</v>
      </c>
      <c r="H15" s="377">
        <f>价格汇总!H8</f>
        <v>13.9</v>
      </c>
      <c r="I15" s="387"/>
      <c r="J15" s="388"/>
      <c r="K15" s="389"/>
      <c r="L15" s="382" t="s">
        <v>229</v>
      </c>
      <c r="M15" s="383"/>
      <c r="N15" s="373"/>
      <c r="O15" s="373"/>
      <c r="P15" s="373"/>
      <c r="Q15" s="357"/>
      <c r="R15" s="357"/>
      <c r="S15" s="357"/>
      <c r="T15" s="357"/>
      <c r="U15" s="357"/>
      <c r="V15" s="357"/>
      <c r="W15" s="357"/>
      <c r="X15" s="357"/>
      <c r="Y15" s="357"/>
      <c r="Z15" s="357"/>
    </row>
    <row r="16" s="358" customFormat="1" ht="44" customHeight="1" spans="2:26">
      <c r="B16" s="390" t="s">
        <v>235</v>
      </c>
      <c r="C16" s="390"/>
      <c r="D16" s="390"/>
      <c r="E16" s="390"/>
      <c r="F16" s="390"/>
      <c r="G16" s="390"/>
      <c r="H16" s="390"/>
      <c r="I16" s="390"/>
      <c r="J16" s="390"/>
      <c r="K16" s="390"/>
      <c r="L16" s="390"/>
      <c r="M16" s="383"/>
      <c r="N16" s="373"/>
      <c r="O16" s="373"/>
      <c r="P16" s="373"/>
      <c r="Q16" s="357"/>
      <c r="R16" s="357"/>
      <c r="S16" s="357"/>
      <c r="T16" s="357"/>
      <c r="U16" s="357"/>
      <c r="V16" s="357"/>
      <c r="W16" s="357"/>
      <c r="X16" s="357"/>
      <c r="Y16" s="357"/>
      <c r="Z16" s="357"/>
    </row>
    <row r="17" s="358" customFormat="1" ht="52" customHeight="1" spans="2:26">
      <c r="B17" s="366" t="s">
        <v>236</v>
      </c>
      <c r="C17" s="391"/>
      <c r="D17" s="391"/>
      <c r="E17" s="391"/>
      <c r="F17" s="391"/>
      <c r="G17" s="391"/>
      <c r="H17" s="391"/>
      <c r="I17" s="391"/>
      <c r="J17" s="391"/>
      <c r="K17" s="391"/>
      <c r="L17" s="391"/>
      <c r="M17" s="383"/>
      <c r="N17" s="373"/>
      <c r="O17" s="373"/>
      <c r="P17" s="373"/>
      <c r="Q17" s="357"/>
      <c r="R17" s="357"/>
      <c r="S17" s="357"/>
      <c r="T17" s="357"/>
      <c r="U17" s="357"/>
      <c r="V17" s="357"/>
      <c r="W17" s="357"/>
      <c r="X17" s="357"/>
      <c r="Y17" s="357"/>
      <c r="Z17" s="357"/>
    </row>
    <row r="18" s="358" customFormat="1" ht="27" customHeight="1" spans="2:26">
      <c r="B18" s="370" t="s">
        <v>156</v>
      </c>
      <c r="C18" s="374" t="s">
        <v>157</v>
      </c>
      <c r="D18" s="392"/>
      <c r="E18" s="393"/>
      <c r="F18" s="370" t="s">
        <v>158</v>
      </c>
      <c r="G18" s="370"/>
      <c r="H18" s="370"/>
      <c r="I18" s="370" t="s">
        <v>218</v>
      </c>
      <c r="J18" s="371" t="s">
        <v>219</v>
      </c>
      <c r="K18" s="371" t="s">
        <v>220</v>
      </c>
      <c r="L18" s="370" t="s">
        <v>221</v>
      </c>
      <c r="M18" s="383"/>
      <c r="N18" s="373"/>
      <c r="O18" s="373"/>
      <c r="P18" s="373"/>
      <c r="Q18" s="357"/>
      <c r="R18" s="357"/>
      <c r="S18" s="357"/>
      <c r="T18" s="357"/>
      <c r="U18" s="357"/>
      <c r="V18" s="357"/>
      <c r="W18" s="357"/>
      <c r="X18" s="357"/>
      <c r="Y18" s="357"/>
      <c r="Z18" s="357"/>
    </row>
    <row r="19" s="358" customFormat="1" ht="27" customHeight="1" spans="2:26">
      <c r="B19" s="370"/>
      <c r="C19" s="374" t="s">
        <v>223</v>
      </c>
      <c r="D19" s="370" t="s">
        <v>160</v>
      </c>
      <c r="E19" s="370" t="s">
        <v>161</v>
      </c>
      <c r="F19" s="374" t="s">
        <v>223</v>
      </c>
      <c r="G19" s="370" t="s">
        <v>160</v>
      </c>
      <c r="H19" s="370" t="s">
        <v>161</v>
      </c>
      <c r="I19" s="370"/>
      <c r="J19" s="371"/>
      <c r="K19" s="371"/>
      <c r="L19" s="370"/>
      <c r="M19" s="383"/>
      <c r="N19" s="373"/>
      <c r="O19" s="373"/>
      <c r="P19" s="373"/>
      <c r="Q19" s="357"/>
      <c r="R19" s="357"/>
      <c r="S19" s="357"/>
      <c r="T19" s="357"/>
      <c r="U19" s="357"/>
      <c r="V19" s="357"/>
      <c r="W19" s="357"/>
      <c r="X19" s="357"/>
      <c r="Y19" s="357"/>
      <c r="Z19" s="357"/>
    </row>
    <row r="20" s="358" customFormat="1" ht="49" customHeight="1" spans="2:26">
      <c r="B20" s="375" t="s">
        <v>166</v>
      </c>
      <c r="C20" s="376">
        <f>价格汇总!C9</f>
        <v>13.3</v>
      </c>
      <c r="D20" s="376">
        <f>价格汇总!D9</f>
        <v>11.3</v>
      </c>
      <c r="E20" s="377">
        <f>价格汇总!E9</f>
        <v>10.3</v>
      </c>
      <c r="F20" s="376">
        <f>价格汇总!F9</f>
        <v>12.9</v>
      </c>
      <c r="G20" s="394">
        <f>价格汇总!G9</f>
        <v>10.9</v>
      </c>
      <c r="H20" s="377">
        <f>价格汇总!H9</f>
        <v>9.9</v>
      </c>
      <c r="I20" s="379" t="s">
        <v>237</v>
      </c>
      <c r="J20" s="380" t="s">
        <v>233</v>
      </c>
      <c r="K20" s="381" t="s">
        <v>238</v>
      </c>
      <c r="L20" s="382" t="s">
        <v>227</v>
      </c>
      <c r="M20" s="383"/>
      <c r="N20" s="373"/>
      <c r="O20" s="373"/>
      <c r="P20" s="373"/>
      <c r="Q20" s="357"/>
      <c r="R20" s="357"/>
      <c r="S20" s="357"/>
      <c r="T20" s="357"/>
      <c r="U20" s="357"/>
      <c r="V20" s="357"/>
      <c r="W20" s="357"/>
      <c r="X20" s="357"/>
      <c r="Y20" s="357"/>
      <c r="Z20" s="357"/>
    </row>
    <row r="21" s="358" customFormat="1" ht="49" customHeight="1" spans="2:26">
      <c r="B21" s="375" t="s">
        <v>167</v>
      </c>
      <c r="C21" s="376">
        <f>价格汇总!C10</f>
        <v>14.5</v>
      </c>
      <c r="D21" s="376">
        <f>价格汇总!D10</f>
        <v>12.5</v>
      </c>
      <c r="E21" s="377">
        <f>价格汇总!E10</f>
        <v>11.5</v>
      </c>
      <c r="F21" s="376">
        <f>价格汇总!F10</f>
        <v>14.1</v>
      </c>
      <c r="G21" s="394">
        <f>价格汇总!G10</f>
        <v>12.1</v>
      </c>
      <c r="H21" s="377">
        <f>价格汇总!H10</f>
        <v>11.1</v>
      </c>
      <c r="I21" s="384"/>
      <c r="J21" s="385"/>
      <c r="K21" s="386"/>
      <c r="L21" s="382" t="s">
        <v>228</v>
      </c>
      <c r="M21" s="383"/>
      <c r="N21" s="373"/>
      <c r="O21" s="373"/>
      <c r="P21" s="373"/>
      <c r="Q21" s="357"/>
      <c r="R21" s="357"/>
      <c r="S21" s="357"/>
      <c r="T21" s="357"/>
      <c r="U21" s="357"/>
      <c r="V21" s="357"/>
      <c r="W21" s="357"/>
      <c r="X21" s="357"/>
      <c r="Y21" s="357"/>
      <c r="Z21" s="357"/>
    </row>
    <row r="22" s="358" customFormat="1" ht="49" customHeight="1" spans="2:26">
      <c r="B22" s="375" t="s">
        <v>168</v>
      </c>
      <c r="C22" s="376">
        <f>价格汇总!C11</f>
        <v>15.5</v>
      </c>
      <c r="D22" s="376">
        <f>价格汇总!D11</f>
        <v>13.5</v>
      </c>
      <c r="E22" s="377">
        <f>价格汇总!E11</f>
        <v>12.5</v>
      </c>
      <c r="F22" s="376">
        <f>价格汇总!F11</f>
        <v>15.1</v>
      </c>
      <c r="G22" s="394">
        <f>价格汇总!G11</f>
        <v>13.1</v>
      </c>
      <c r="H22" s="377">
        <f>价格汇总!H11</f>
        <v>12.1</v>
      </c>
      <c r="I22" s="387"/>
      <c r="J22" s="388"/>
      <c r="K22" s="389"/>
      <c r="L22" s="382" t="s">
        <v>229</v>
      </c>
      <c r="M22" s="383"/>
      <c r="N22" s="373"/>
      <c r="O22" s="373"/>
      <c r="P22" s="373"/>
      <c r="Q22" s="357"/>
      <c r="R22" s="357"/>
      <c r="S22" s="357"/>
      <c r="T22" s="357"/>
      <c r="U22" s="357"/>
      <c r="V22" s="357"/>
      <c r="W22" s="357"/>
      <c r="X22" s="357"/>
      <c r="Y22" s="357"/>
      <c r="Z22" s="357"/>
    </row>
    <row r="23" s="358" customFormat="1" ht="42" customHeight="1" spans="2:26">
      <c r="B23" s="390" t="s">
        <v>239</v>
      </c>
      <c r="C23" s="390"/>
      <c r="D23" s="390"/>
      <c r="E23" s="390"/>
      <c r="F23" s="390"/>
      <c r="G23" s="390"/>
      <c r="H23" s="390"/>
      <c r="I23" s="390"/>
      <c r="J23" s="390"/>
      <c r="K23" s="390"/>
      <c r="L23" s="390"/>
      <c r="M23" s="383"/>
      <c r="N23" s="373"/>
      <c r="O23" s="373"/>
      <c r="P23" s="373"/>
      <c r="Q23" s="357"/>
      <c r="R23" s="357"/>
      <c r="S23" s="357"/>
      <c r="T23" s="357"/>
      <c r="U23" s="357"/>
      <c r="V23" s="357"/>
      <c r="W23" s="357"/>
      <c r="X23" s="357"/>
      <c r="Y23" s="357"/>
      <c r="Z23" s="357"/>
    </row>
    <row r="24" s="358" customFormat="1" ht="42" customHeight="1" spans="2:26">
      <c r="B24" s="366" t="s">
        <v>240</v>
      </c>
      <c r="C24" s="391"/>
      <c r="D24" s="391"/>
      <c r="E24" s="391"/>
      <c r="F24" s="391"/>
      <c r="G24" s="391"/>
      <c r="H24" s="391"/>
      <c r="I24" s="391"/>
      <c r="J24" s="391"/>
      <c r="K24" s="391"/>
      <c r="L24" s="391"/>
      <c r="M24" s="383"/>
      <c r="N24" s="373"/>
      <c r="O24" s="373"/>
      <c r="P24" s="373"/>
      <c r="Q24" s="357"/>
      <c r="R24" s="357"/>
      <c r="S24" s="357"/>
      <c r="T24" s="357"/>
      <c r="U24" s="357"/>
      <c r="V24" s="357"/>
      <c r="W24" s="357"/>
      <c r="X24" s="357"/>
      <c r="Y24" s="357"/>
      <c r="Z24" s="357"/>
    </row>
    <row r="25" s="358" customFormat="1" ht="42" customHeight="1" spans="2:26">
      <c r="B25" s="370" t="s">
        <v>156</v>
      </c>
      <c r="C25" s="374" t="s">
        <v>241</v>
      </c>
      <c r="D25" s="392"/>
      <c r="E25" s="393"/>
      <c r="F25" s="370" t="s">
        <v>242</v>
      </c>
      <c r="G25" s="370"/>
      <c r="H25" s="370"/>
      <c r="I25" s="370" t="s">
        <v>218</v>
      </c>
      <c r="J25" s="371" t="s">
        <v>219</v>
      </c>
      <c r="K25" s="371" t="s">
        <v>220</v>
      </c>
      <c r="L25" s="370" t="s">
        <v>221</v>
      </c>
      <c r="M25" s="383"/>
      <c r="N25" s="373"/>
      <c r="O25" s="373"/>
      <c r="P25" s="373"/>
      <c r="Q25" s="357"/>
      <c r="R25" s="357"/>
      <c r="S25" s="357"/>
      <c r="T25" s="357"/>
      <c r="U25" s="357"/>
      <c r="V25" s="357"/>
      <c r="W25" s="357"/>
      <c r="X25" s="357"/>
      <c r="Y25" s="357"/>
      <c r="Z25" s="357"/>
    </row>
    <row r="26" s="358" customFormat="1" ht="42" customHeight="1" spans="2:26">
      <c r="B26" s="370"/>
      <c r="C26" s="374" t="s">
        <v>223</v>
      </c>
      <c r="D26" s="370" t="s">
        <v>160</v>
      </c>
      <c r="E26" s="370" t="s">
        <v>161</v>
      </c>
      <c r="F26" s="374" t="s">
        <v>223</v>
      </c>
      <c r="G26" s="370" t="s">
        <v>160</v>
      </c>
      <c r="H26" s="370" t="s">
        <v>161</v>
      </c>
      <c r="I26" s="370"/>
      <c r="J26" s="371"/>
      <c r="K26" s="371"/>
      <c r="L26" s="370"/>
      <c r="M26" s="383"/>
      <c r="N26" s="373"/>
      <c r="O26" s="373"/>
      <c r="P26" s="373"/>
      <c r="Q26" s="357"/>
      <c r="R26" s="357"/>
      <c r="S26" s="357"/>
      <c r="T26" s="357"/>
      <c r="U26" s="357"/>
      <c r="V26" s="357"/>
      <c r="W26" s="357"/>
      <c r="X26" s="357"/>
      <c r="Y26" s="357"/>
      <c r="Z26" s="357"/>
    </row>
    <row r="27" s="358" customFormat="1" ht="48" customHeight="1" spans="2:26">
      <c r="B27" s="375" t="s">
        <v>166</v>
      </c>
      <c r="C27" s="376">
        <f>价格汇总!C12</f>
        <v>12</v>
      </c>
      <c r="D27" s="376">
        <f>价格汇总!D12</f>
        <v>10</v>
      </c>
      <c r="E27" s="377">
        <f>价格汇总!E12</f>
        <v>9</v>
      </c>
      <c r="F27" s="376">
        <f>价格汇总!F12</f>
        <v>12</v>
      </c>
      <c r="G27" s="376">
        <f>价格汇总!G12</f>
        <v>10</v>
      </c>
      <c r="H27" s="377">
        <f>价格汇总!H12</f>
        <v>9</v>
      </c>
      <c r="I27" s="379" t="s">
        <v>243</v>
      </c>
      <c r="J27" s="380" t="s">
        <v>244</v>
      </c>
      <c r="K27" s="381" t="s">
        <v>245</v>
      </c>
      <c r="L27" s="382" t="s">
        <v>227</v>
      </c>
      <c r="M27" s="383"/>
      <c r="N27" s="373"/>
      <c r="O27" s="373"/>
      <c r="P27" s="373"/>
      <c r="Q27" s="357"/>
      <c r="R27" s="357"/>
      <c r="S27" s="357"/>
      <c r="T27" s="357"/>
      <c r="U27" s="357"/>
      <c r="V27" s="357"/>
      <c r="W27" s="357"/>
      <c r="X27" s="357"/>
      <c r="Y27" s="357"/>
      <c r="Z27" s="357"/>
    </row>
    <row r="28" s="358" customFormat="1" ht="48" customHeight="1" spans="2:26">
      <c r="B28" s="375" t="s">
        <v>167</v>
      </c>
      <c r="C28" s="376">
        <f>价格汇总!C13</f>
        <v>13.2</v>
      </c>
      <c r="D28" s="376">
        <f>价格汇总!D13</f>
        <v>11.2</v>
      </c>
      <c r="E28" s="377">
        <f>价格汇总!E13</f>
        <v>10.2</v>
      </c>
      <c r="F28" s="376">
        <f>价格汇总!F13</f>
        <v>13.2</v>
      </c>
      <c r="G28" s="376">
        <f>价格汇总!G13</f>
        <v>11.2</v>
      </c>
      <c r="H28" s="377">
        <f>价格汇总!H13</f>
        <v>10.2</v>
      </c>
      <c r="I28" s="384"/>
      <c r="J28" s="385"/>
      <c r="K28" s="386"/>
      <c r="L28" s="382" t="s">
        <v>228</v>
      </c>
      <c r="M28" s="383"/>
      <c r="N28" s="373"/>
      <c r="O28" s="373"/>
      <c r="P28" s="373"/>
      <c r="Q28" s="357"/>
      <c r="R28" s="357"/>
      <c r="S28" s="357"/>
      <c r="T28" s="357"/>
      <c r="U28" s="357"/>
      <c r="V28" s="357"/>
      <c r="W28" s="357"/>
      <c r="X28" s="357"/>
      <c r="Y28" s="357"/>
      <c r="Z28" s="357"/>
    </row>
    <row r="29" s="358" customFormat="1" ht="48" customHeight="1" spans="2:26">
      <c r="B29" s="375" t="s">
        <v>168</v>
      </c>
      <c r="C29" s="376">
        <f>价格汇总!C14</f>
        <v>14.2</v>
      </c>
      <c r="D29" s="376">
        <f>价格汇总!D14</f>
        <v>12.2</v>
      </c>
      <c r="E29" s="377">
        <f>价格汇总!E14</f>
        <v>11.2</v>
      </c>
      <c r="F29" s="376">
        <f>价格汇总!F14</f>
        <v>14.2</v>
      </c>
      <c r="G29" s="376">
        <f>价格汇总!G14</f>
        <v>12.2</v>
      </c>
      <c r="H29" s="377">
        <f>价格汇总!H14</f>
        <v>11.2</v>
      </c>
      <c r="I29" s="387"/>
      <c r="J29" s="388"/>
      <c r="K29" s="389"/>
      <c r="L29" s="382" t="s">
        <v>229</v>
      </c>
      <c r="M29" s="383"/>
      <c r="N29" s="373"/>
      <c r="O29" s="373"/>
      <c r="P29" s="373"/>
      <c r="Q29" s="357"/>
      <c r="R29" s="357"/>
      <c r="S29" s="357"/>
      <c r="T29" s="357"/>
      <c r="U29" s="357"/>
      <c r="V29" s="357"/>
      <c r="W29" s="357"/>
      <c r="X29" s="357"/>
      <c r="Y29" s="357"/>
      <c r="Z29" s="357"/>
    </row>
    <row r="30" s="358" customFormat="1" ht="44" customHeight="1" spans="2:26">
      <c r="B30" s="390" t="s">
        <v>246</v>
      </c>
      <c r="C30" s="390"/>
      <c r="D30" s="390"/>
      <c r="E30" s="390"/>
      <c r="F30" s="390"/>
      <c r="G30" s="390"/>
      <c r="H30" s="390"/>
      <c r="I30" s="390"/>
      <c r="J30" s="390"/>
      <c r="K30" s="390"/>
      <c r="L30" s="390"/>
      <c r="M30" s="383"/>
      <c r="N30" s="373"/>
      <c r="O30" s="373"/>
      <c r="P30" s="373"/>
      <c r="Q30" s="357"/>
      <c r="R30" s="357"/>
      <c r="S30" s="357"/>
      <c r="T30" s="357"/>
      <c r="U30" s="357"/>
      <c r="V30" s="357"/>
      <c r="W30" s="357"/>
      <c r="X30" s="357"/>
      <c r="Y30" s="357"/>
      <c r="Z30" s="357"/>
    </row>
    <row r="31" s="358" customFormat="1" ht="44" customHeight="1" spans="2:26">
      <c r="B31" s="366" t="s">
        <v>247</v>
      </c>
      <c r="C31" s="391"/>
      <c r="D31" s="391"/>
      <c r="E31" s="391"/>
      <c r="F31" s="391"/>
      <c r="G31" s="391"/>
      <c r="H31" s="391"/>
      <c r="I31" s="391"/>
      <c r="J31" s="391"/>
      <c r="K31" s="391"/>
      <c r="L31" s="391"/>
      <c r="M31" s="383"/>
      <c r="N31" s="373"/>
      <c r="O31" s="373"/>
      <c r="P31" s="373"/>
      <c r="Q31" s="357"/>
      <c r="R31" s="357"/>
      <c r="S31" s="357"/>
      <c r="T31" s="357"/>
      <c r="U31" s="357"/>
      <c r="V31" s="357"/>
      <c r="W31" s="357"/>
      <c r="X31" s="357"/>
      <c r="Y31" s="357"/>
      <c r="Z31" s="357"/>
    </row>
    <row r="32" s="358" customFormat="1" ht="44" customHeight="1" spans="2:26">
      <c r="B32" s="370" t="s">
        <v>156</v>
      </c>
      <c r="C32" s="374" t="s">
        <v>248</v>
      </c>
      <c r="D32" s="392"/>
      <c r="E32" s="393"/>
      <c r="F32" s="370" t="s">
        <v>158</v>
      </c>
      <c r="G32" s="370"/>
      <c r="H32" s="370"/>
      <c r="I32" s="370" t="s">
        <v>218</v>
      </c>
      <c r="J32" s="371" t="s">
        <v>219</v>
      </c>
      <c r="K32" s="371" t="s">
        <v>220</v>
      </c>
      <c r="L32" s="370" t="s">
        <v>221</v>
      </c>
      <c r="M32" s="383"/>
      <c r="N32" s="373"/>
      <c r="O32" s="373"/>
      <c r="P32" s="373"/>
      <c r="Q32" s="357"/>
      <c r="R32" s="357"/>
      <c r="S32" s="357"/>
      <c r="T32" s="357"/>
      <c r="U32" s="357"/>
      <c r="V32" s="357"/>
      <c r="W32" s="357"/>
      <c r="X32" s="357"/>
      <c r="Y32" s="357"/>
      <c r="Z32" s="357"/>
    </row>
    <row r="33" s="358" customFormat="1" ht="44" customHeight="1" spans="2:26">
      <c r="B33" s="370"/>
      <c r="C33" s="374" t="s">
        <v>223</v>
      </c>
      <c r="D33" s="370" t="s">
        <v>160</v>
      </c>
      <c r="E33" s="370" t="s">
        <v>161</v>
      </c>
      <c r="F33" s="374" t="s">
        <v>223</v>
      </c>
      <c r="G33" s="370" t="s">
        <v>160</v>
      </c>
      <c r="H33" s="370" t="s">
        <v>161</v>
      </c>
      <c r="I33" s="370"/>
      <c r="J33" s="371"/>
      <c r="K33" s="371"/>
      <c r="L33" s="370"/>
      <c r="M33" s="383"/>
      <c r="N33" s="373"/>
      <c r="O33" s="373"/>
      <c r="P33" s="373"/>
      <c r="Q33" s="357"/>
      <c r="R33" s="357"/>
      <c r="S33" s="357"/>
      <c r="T33" s="357"/>
      <c r="U33" s="357"/>
      <c r="V33" s="357"/>
      <c r="W33" s="357"/>
      <c r="X33" s="357"/>
      <c r="Y33" s="357"/>
      <c r="Z33" s="357"/>
    </row>
    <row r="34" s="358" customFormat="1" ht="44" customHeight="1" spans="2:26">
      <c r="B34" s="375" t="s">
        <v>166</v>
      </c>
      <c r="C34" s="376">
        <f>价格汇总!C15</f>
        <v>12.3</v>
      </c>
      <c r="D34" s="376">
        <f>价格汇总!D15</f>
        <v>10.3</v>
      </c>
      <c r="E34" s="377">
        <f>价格汇总!E15</f>
        <v>9.3</v>
      </c>
      <c r="F34" s="376">
        <f>价格汇总!F15</f>
        <v>12</v>
      </c>
      <c r="G34" s="376">
        <f>价格汇总!G15</f>
        <v>10</v>
      </c>
      <c r="H34" s="377">
        <f>价格汇总!H15</f>
        <v>9</v>
      </c>
      <c r="I34" s="379" t="s">
        <v>243</v>
      </c>
      <c r="J34" s="380" t="s">
        <v>244</v>
      </c>
      <c r="K34" s="381" t="s">
        <v>245</v>
      </c>
      <c r="L34" s="382" t="s">
        <v>227</v>
      </c>
      <c r="M34" s="383"/>
      <c r="N34" s="373"/>
      <c r="O34" s="373"/>
      <c r="P34" s="373"/>
      <c r="Q34" s="357"/>
      <c r="R34" s="357"/>
      <c r="S34" s="357"/>
      <c r="T34" s="357"/>
      <c r="U34" s="357"/>
      <c r="V34" s="357"/>
      <c r="W34" s="357"/>
      <c r="X34" s="357"/>
      <c r="Y34" s="357"/>
      <c r="Z34" s="357"/>
    </row>
    <row r="35" s="358" customFormat="1" ht="44" customHeight="1" spans="2:26">
      <c r="B35" s="375" t="s">
        <v>167</v>
      </c>
      <c r="C35" s="376">
        <f>价格汇总!C16</f>
        <v>13.5</v>
      </c>
      <c r="D35" s="376">
        <f>价格汇总!D16</f>
        <v>11.5</v>
      </c>
      <c r="E35" s="377">
        <f>价格汇总!E16</f>
        <v>10.5</v>
      </c>
      <c r="F35" s="376">
        <f>价格汇总!F16</f>
        <v>13.2</v>
      </c>
      <c r="G35" s="376">
        <f>价格汇总!G16</f>
        <v>11.2</v>
      </c>
      <c r="H35" s="377">
        <f>价格汇总!H16</f>
        <v>10.2</v>
      </c>
      <c r="I35" s="384"/>
      <c r="J35" s="385"/>
      <c r="K35" s="386"/>
      <c r="L35" s="382" t="s">
        <v>228</v>
      </c>
      <c r="M35" s="383"/>
      <c r="N35" s="373"/>
      <c r="O35" s="373"/>
      <c r="P35" s="373"/>
      <c r="Q35" s="357"/>
      <c r="R35" s="357"/>
      <c r="S35" s="357"/>
      <c r="T35" s="357"/>
      <c r="U35" s="357"/>
      <c r="V35" s="357"/>
      <c r="W35" s="357"/>
      <c r="X35" s="357"/>
      <c r="Y35" s="357"/>
      <c r="Z35" s="357"/>
    </row>
    <row r="36" s="358" customFormat="1" ht="44" customHeight="1" spans="2:26">
      <c r="B36" s="375" t="s">
        <v>168</v>
      </c>
      <c r="C36" s="376">
        <f>价格汇总!C17</f>
        <v>14.5</v>
      </c>
      <c r="D36" s="376">
        <f>价格汇总!D17</f>
        <v>12.5</v>
      </c>
      <c r="E36" s="377">
        <f>价格汇总!E17</f>
        <v>11.5</v>
      </c>
      <c r="F36" s="376">
        <f>价格汇总!F17</f>
        <v>14.2</v>
      </c>
      <c r="G36" s="376">
        <f>价格汇总!G17</f>
        <v>12.2</v>
      </c>
      <c r="H36" s="377">
        <f>价格汇总!H17</f>
        <v>11.2</v>
      </c>
      <c r="I36" s="387"/>
      <c r="J36" s="388"/>
      <c r="K36" s="389"/>
      <c r="L36" s="382" t="s">
        <v>229</v>
      </c>
      <c r="M36" s="383"/>
      <c r="N36" s="373"/>
      <c r="O36" s="373"/>
      <c r="P36" s="373"/>
      <c r="Q36" s="357"/>
      <c r="R36" s="357"/>
      <c r="S36" s="357"/>
      <c r="T36" s="357"/>
      <c r="U36" s="357"/>
      <c r="V36" s="357"/>
      <c r="W36" s="357"/>
      <c r="X36" s="357"/>
      <c r="Y36" s="357"/>
      <c r="Z36" s="357"/>
    </row>
    <row r="37" s="358" customFormat="1" ht="44" customHeight="1" spans="2:26">
      <c r="B37" s="390" t="s">
        <v>249</v>
      </c>
      <c r="C37" s="390"/>
      <c r="D37" s="390"/>
      <c r="E37" s="390"/>
      <c r="F37" s="390"/>
      <c r="G37" s="390"/>
      <c r="H37" s="390"/>
      <c r="I37" s="390"/>
      <c r="J37" s="390"/>
      <c r="K37" s="390"/>
      <c r="L37" s="390"/>
      <c r="M37" s="383"/>
      <c r="N37" s="373"/>
      <c r="O37" s="373"/>
      <c r="P37" s="373"/>
      <c r="Q37" s="357"/>
      <c r="R37" s="357"/>
      <c r="S37" s="357"/>
      <c r="T37" s="357"/>
      <c r="U37" s="357"/>
      <c r="V37" s="357"/>
      <c r="W37" s="357"/>
      <c r="X37" s="357"/>
      <c r="Y37" s="357"/>
      <c r="Z37" s="357"/>
    </row>
    <row r="38" s="358" customFormat="1" ht="69" customHeight="1" spans="2:26">
      <c r="B38" s="395" t="s">
        <v>250</v>
      </c>
      <c r="C38" s="396"/>
      <c r="D38" s="396"/>
      <c r="E38" s="396"/>
      <c r="F38" s="396"/>
      <c r="G38" s="396"/>
      <c r="H38" s="396"/>
      <c r="I38" s="396"/>
      <c r="J38" s="396"/>
      <c r="K38" s="396"/>
      <c r="L38" s="396"/>
      <c r="M38" s="383"/>
      <c r="N38" s="373"/>
      <c r="O38" s="373"/>
      <c r="P38" s="373"/>
      <c r="Q38" s="357"/>
      <c r="R38" s="357"/>
      <c r="S38" s="357"/>
      <c r="T38" s="357"/>
      <c r="U38" s="357"/>
      <c r="V38" s="357"/>
      <c r="W38" s="357"/>
      <c r="X38" s="357"/>
      <c r="Y38" s="357"/>
      <c r="Z38" s="357"/>
    </row>
    <row r="39" s="358" customFormat="1" ht="26" customHeight="1" spans="2:26">
      <c r="B39" s="370" t="s">
        <v>156</v>
      </c>
      <c r="C39" s="374" t="s">
        <v>157</v>
      </c>
      <c r="D39" s="392"/>
      <c r="E39" s="393"/>
      <c r="F39" s="370" t="s">
        <v>158</v>
      </c>
      <c r="G39" s="370"/>
      <c r="H39" s="370"/>
      <c r="I39" s="370" t="s">
        <v>218</v>
      </c>
      <c r="J39" s="371" t="s">
        <v>219</v>
      </c>
      <c r="K39" s="371" t="s">
        <v>220</v>
      </c>
      <c r="L39" s="370" t="s">
        <v>221</v>
      </c>
      <c r="M39" s="383"/>
      <c r="N39" s="373"/>
      <c r="O39" s="373"/>
      <c r="P39" s="373"/>
      <c r="Q39" s="357"/>
      <c r="R39" s="357"/>
      <c r="S39" s="357"/>
      <c r="T39" s="357"/>
      <c r="U39" s="357"/>
      <c r="V39" s="357"/>
      <c r="W39" s="357"/>
      <c r="X39" s="357"/>
      <c r="Y39" s="357"/>
      <c r="Z39" s="357"/>
    </row>
    <row r="40" s="358" customFormat="1" ht="27" customHeight="1" spans="2:26">
      <c r="B40" s="370"/>
      <c r="C40" s="374" t="s">
        <v>223</v>
      </c>
      <c r="D40" s="370" t="s">
        <v>160</v>
      </c>
      <c r="E40" s="370" t="s">
        <v>161</v>
      </c>
      <c r="F40" s="374" t="s">
        <v>223</v>
      </c>
      <c r="G40" s="370" t="s">
        <v>160</v>
      </c>
      <c r="H40" s="370" t="s">
        <v>161</v>
      </c>
      <c r="I40" s="370"/>
      <c r="J40" s="371"/>
      <c r="K40" s="371"/>
      <c r="L40" s="370"/>
      <c r="M40" s="383"/>
      <c r="N40" s="373"/>
      <c r="O40" s="373"/>
      <c r="P40" s="373"/>
      <c r="Q40" s="357"/>
      <c r="R40" s="357"/>
      <c r="S40" s="357"/>
      <c r="T40" s="357"/>
      <c r="U40" s="357"/>
      <c r="V40" s="357"/>
      <c r="W40" s="357"/>
      <c r="X40" s="357"/>
      <c r="Y40" s="357"/>
      <c r="Z40" s="357"/>
    </row>
    <row r="41" s="358" customFormat="1" ht="46" customHeight="1" spans="2:26">
      <c r="B41" s="375" t="s">
        <v>166</v>
      </c>
      <c r="C41" s="376">
        <f>价格汇总!C18</f>
        <v>10.8</v>
      </c>
      <c r="D41" s="376">
        <f>价格汇总!D18</f>
        <v>8.8</v>
      </c>
      <c r="E41" s="377">
        <f>价格汇总!E18</f>
        <v>7.8</v>
      </c>
      <c r="F41" s="376">
        <f>价格汇总!F18</f>
        <v>10.8</v>
      </c>
      <c r="G41" s="376">
        <f>价格汇总!G18</f>
        <v>8.8</v>
      </c>
      <c r="H41" s="377">
        <f>价格汇总!H18</f>
        <v>7.8</v>
      </c>
      <c r="I41" s="379" t="s">
        <v>251</v>
      </c>
      <c r="J41" s="380" t="s">
        <v>252</v>
      </c>
      <c r="K41" s="381" t="s">
        <v>253</v>
      </c>
      <c r="L41" s="382" t="s">
        <v>227</v>
      </c>
      <c r="M41" s="383"/>
      <c r="N41" s="373"/>
      <c r="O41" s="373"/>
      <c r="P41" s="373"/>
      <c r="Q41" s="357"/>
      <c r="R41" s="357"/>
      <c r="S41" s="357"/>
      <c r="T41" s="357"/>
      <c r="U41" s="357"/>
      <c r="V41" s="357"/>
      <c r="W41" s="357"/>
      <c r="X41" s="357"/>
      <c r="Y41" s="357"/>
      <c r="Z41" s="357"/>
    </row>
    <row r="42" s="358" customFormat="1" ht="46" customHeight="1" spans="2:26">
      <c r="B42" s="375" t="s">
        <v>167</v>
      </c>
      <c r="C42" s="376">
        <f>价格汇总!C19</f>
        <v>12</v>
      </c>
      <c r="D42" s="376">
        <f>价格汇总!D19</f>
        <v>10</v>
      </c>
      <c r="E42" s="377">
        <f>价格汇总!E19</f>
        <v>9</v>
      </c>
      <c r="F42" s="376">
        <f>价格汇总!F19</f>
        <v>12</v>
      </c>
      <c r="G42" s="376">
        <f>价格汇总!G19</f>
        <v>10</v>
      </c>
      <c r="H42" s="377">
        <f>价格汇总!H19</f>
        <v>9</v>
      </c>
      <c r="I42" s="384"/>
      <c r="J42" s="385"/>
      <c r="K42" s="386"/>
      <c r="L42" s="382" t="s">
        <v>228</v>
      </c>
      <c r="M42" s="383"/>
      <c r="N42" s="373"/>
      <c r="O42" s="373"/>
      <c r="P42" s="373"/>
      <c r="Q42" s="357"/>
      <c r="R42" s="357"/>
      <c r="S42" s="357"/>
      <c r="T42" s="357"/>
      <c r="U42" s="357"/>
      <c r="V42" s="357"/>
      <c r="W42" s="357"/>
      <c r="X42" s="357"/>
      <c r="Y42" s="357"/>
      <c r="Z42" s="357"/>
    </row>
    <row r="43" s="358" customFormat="1" ht="46" customHeight="1" spans="2:26">
      <c r="B43" s="375" t="s">
        <v>168</v>
      </c>
      <c r="C43" s="376">
        <f>价格汇总!C20</f>
        <v>13</v>
      </c>
      <c r="D43" s="376">
        <f>价格汇总!D20</f>
        <v>11</v>
      </c>
      <c r="E43" s="377">
        <f>价格汇总!E20</f>
        <v>10</v>
      </c>
      <c r="F43" s="376">
        <f>价格汇总!F20</f>
        <v>13</v>
      </c>
      <c r="G43" s="376">
        <f>价格汇总!G20</f>
        <v>11</v>
      </c>
      <c r="H43" s="377">
        <f>价格汇总!H20</f>
        <v>10</v>
      </c>
      <c r="I43" s="387"/>
      <c r="J43" s="388"/>
      <c r="K43" s="389"/>
      <c r="L43" s="382" t="s">
        <v>229</v>
      </c>
      <c r="M43" s="383"/>
      <c r="N43" s="373"/>
      <c r="O43" s="373"/>
      <c r="P43" s="373"/>
      <c r="Q43" s="357"/>
      <c r="R43" s="357"/>
      <c r="S43" s="357"/>
      <c r="T43" s="357"/>
      <c r="U43" s="357"/>
      <c r="V43" s="357"/>
      <c r="W43" s="357"/>
      <c r="X43" s="357"/>
      <c r="Y43" s="357"/>
      <c r="Z43" s="357"/>
    </row>
    <row r="44" s="358" customFormat="1" ht="54" customHeight="1" spans="2:26">
      <c r="B44" s="397"/>
      <c r="C44" s="397"/>
      <c r="D44" s="397"/>
      <c r="E44" s="397"/>
      <c r="F44" s="397"/>
      <c r="G44" s="397"/>
      <c r="H44" s="398"/>
      <c r="I44" s="399"/>
      <c r="J44" s="400"/>
      <c r="K44" s="401"/>
      <c r="L44" s="402"/>
      <c r="M44" s="373"/>
      <c r="N44" s="357"/>
      <c r="O44" s="357"/>
      <c r="P44" s="357"/>
      <c r="Q44" s="357"/>
      <c r="R44" s="357"/>
      <c r="S44" s="357"/>
      <c r="T44" s="357"/>
      <c r="U44" s="357"/>
      <c r="V44" s="357"/>
      <c r="W44" s="357"/>
      <c r="X44" s="357"/>
      <c r="Y44" s="357"/>
      <c r="Z44" s="357"/>
    </row>
    <row r="45" s="358" customFormat="1" ht="33" customHeight="1" spans="2:26">
      <c r="B45" s="403" t="s">
        <v>254</v>
      </c>
      <c r="C45" s="403"/>
      <c r="D45" s="403"/>
      <c r="E45" s="403"/>
      <c r="F45" s="403"/>
      <c r="G45" s="403"/>
      <c r="H45" s="404"/>
      <c r="J45" s="405" t="s">
        <v>255</v>
      </c>
      <c r="K45" s="406" t="s">
        <v>256</v>
      </c>
      <c r="L45" s="407"/>
      <c r="M45" s="373"/>
      <c r="N45" s="357"/>
      <c r="O45" s="357"/>
      <c r="P45" s="357"/>
      <c r="Q45" s="357"/>
      <c r="R45" s="357"/>
      <c r="S45" s="357"/>
      <c r="T45" s="357"/>
      <c r="U45" s="357"/>
      <c r="V45" s="357"/>
      <c r="W45" s="357"/>
      <c r="X45" s="357"/>
      <c r="Y45" s="357"/>
      <c r="Z45" s="357"/>
    </row>
    <row r="46" s="358" customFormat="1" ht="32" customHeight="1" spans="2:26">
      <c r="B46" s="408" t="s">
        <v>257</v>
      </c>
      <c r="C46" s="409" t="s">
        <v>258</v>
      </c>
      <c r="D46" s="410"/>
      <c r="E46" s="410"/>
      <c r="F46" s="410"/>
      <c r="G46" s="410"/>
      <c r="H46" s="410"/>
      <c r="I46" s="410"/>
      <c r="J46" s="410"/>
      <c r="K46" s="411"/>
      <c r="L46" s="408" t="s">
        <v>259</v>
      </c>
      <c r="M46" s="373"/>
      <c r="N46" s="357"/>
      <c r="O46" s="357"/>
      <c r="P46" s="357"/>
      <c r="Q46" s="357"/>
      <c r="R46" s="357"/>
      <c r="S46" s="357"/>
      <c r="T46" s="357"/>
      <c r="U46" s="357"/>
      <c r="V46" s="357"/>
      <c r="W46" s="357"/>
      <c r="X46" s="357"/>
      <c r="Y46" s="357"/>
      <c r="Z46" s="357"/>
    </row>
    <row r="47" s="358" customFormat="1" ht="35" customHeight="1" spans="2:26">
      <c r="B47" s="412" t="s">
        <v>260</v>
      </c>
      <c r="C47" s="413" t="s">
        <v>261</v>
      </c>
      <c r="D47" s="414"/>
      <c r="E47" s="414"/>
      <c r="F47" s="414"/>
      <c r="G47" s="414"/>
      <c r="H47" s="414"/>
      <c r="I47" s="414"/>
      <c r="J47" s="414"/>
      <c r="K47" s="415"/>
      <c r="L47" s="412" t="s">
        <v>262</v>
      </c>
      <c r="M47" s="373"/>
      <c r="N47" s="357"/>
      <c r="O47" s="357"/>
      <c r="P47" s="357"/>
      <c r="Q47" s="357"/>
      <c r="R47" s="357"/>
      <c r="S47" s="357"/>
      <c r="T47" s="357"/>
      <c r="U47" s="357"/>
      <c r="V47" s="357"/>
      <c r="W47" s="357"/>
      <c r="X47" s="357"/>
      <c r="Y47" s="357"/>
      <c r="Z47" s="357"/>
    </row>
    <row r="48" s="358" customFormat="1" ht="45" customHeight="1" spans="2:26">
      <c r="B48" s="412" t="s">
        <v>263</v>
      </c>
      <c r="C48" s="413" t="s">
        <v>264</v>
      </c>
      <c r="D48" s="414"/>
      <c r="E48" s="414"/>
      <c r="F48" s="414"/>
      <c r="G48" s="414"/>
      <c r="H48" s="414"/>
      <c r="I48" s="414"/>
      <c r="J48" s="414"/>
      <c r="K48" s="415"/>
      <c r="L48" s="412" t="s">
        <v>262</v>
      </c>
      <c r="M48" s="373"/>
      <c r="N48" s="357"/>
      <c r="O48" s="357"/>
      <c r="P48" s="357"/>
      <c r="Q48" s="357"/>
      <c r="R48" s="357"/>
      <c r="S48" s="357"/>
      <c r="T48" s="357"/>
      <c r="U48" s="357"/>
      <c r="V48" s="357"/>
      <c r="W48" s="357"/>
      <c r="X48" s="357"/>
      <c r="Y48" s="357"/>
      <c r="Z48" s="357"/>
    </row>
    <row r="49" s="358" customFormat="1" ht="35" customHeight="1" spans="2:26">
      <c r="B49" s="416" t="s">
        <v>265</v>
      </c>
      <c r="C49" s="417" t="s">
        <v>266</v>
      </c>
      <c r="D49" s="418"/>
      <c r="E49" s="418"/>
      <c r="F49" s="418"/>
      <c r="G49" s="418"/>
      <c r="H49" s="418"/>
      <c r="I49" s="418"/>
      <c r="J49" s="418"/>
      <c r="K49" s="419"/>
      <c r="L49" s="416" t="s">
        <v>267</v>
      </c>
      <c r="M49" s="373"/>
      <c r="N49" s="357"/>
      <c r="O49" s="357"/>
      <c r="P49" s="357"/>
      <c r="Q49" s="357"/>
      <c r="R49" s="357"/>
      <c r="S49" s="357"/>
      <c r="T49" s="357"/>
      <c r="U49" s="357"/>
      <c r="V49" s="357"/>
      <c r="W49" s="357"/>
      <c r="X49" s="357"/>
      <c r="Y49" s="357"/>
      <c r="Z49" s="357"/>
    </row>
    <row r="50" s="358" customFormat="1" ht="86" customHeight="1" spans="2:26">
      <c r="B50" s="412" t="s">
        <v>268</v>
      </c>
      <c r="C50" s="413" t="s">
        <v>269</v>
      </c>
      <c r="D50" s="414"/>
      <c r="E50" s="414"/>
      <c r="F50" s="414"/>
      <c r="G50" s="414"/>
      <c r="H50" s="414"/>
      <c r="I50" s="414"/>
      <c r="J50" s="414"/>
      <c r="K50" s="415"/>
      <c r="L50" s="420" t="s">
        <v>270</v>
      </c>
      <c r="M50" s="373"/>
      <c r="N50" s="357"/>
      <c r="O50" s="357"/>
      <c r="P50" s="357"/>
      <c r="Q50" s="357"/>
      <c r="R50" s="357"/>
      <c r="S50" s="357"/>
      <c r="T50" s="357"/>
      <c r="U50" s="357"/>
      <c r="V50" s="357"/>
      <c r="W50" s="357"/>
      <c r="X50" s="357"/>
      <c r="Y50" s="357"/>
      <c r="Z50" s="357"/>
    </row>
    <row r="51" s="359" customFormat="1" ht="56" customHeight="1" spans="2:26">
      <c r="B51" s="421" t="s">
        <v>271</v>
      </c>
      <c r="C51" s="421"/>
      <c r="D51" s="421"/>
      <c r="E51" s="421"/>
      <c r="F51" s="421"/>
      <c r="G51" s="421"/>
      <c r="H51" s="422"/>
      <c r="I51" s="422"/>
      <c r="J51" s="422"/>
    </row>
    <row r="52" s="359" customFormat="1" ht="28" customHeight="1" spans="2:26">
      <c r="B52" s="423" t="s">
        <v>272</v>
      </c>
      <c r="C52" s="424"/>
      <c r="D52" s="424"/>
      <c r="E52" s="424"/>
      <c r="F52" s="424"/>
      <c r="G52" s="424"/>
      <c r="H52" s="424"/>
      <c r="I52" s="424"/>
      <c r="J52" s="425"/>
      <c r="K52" s="426" t="s">
        <v>273</v>
      </c>
      <c r="L52" s="426" t="s">
        <v>274</v>
      </c>
    </row>
    <row r="53" s="359" customFormat="1" ht="33" customHeight="1" spans="2:26">
      <c r="B53" s="427" t="s">
        <v>275</v>
      </c>
      <c r="C53" s="428"/>
      <c r="D53" s="428"/>
      <c r="E53" s="428"/>
      <c r="F53" s="428"/>
      <c r="G53" s="428"/>
      <c r="H53" s="428"/>
      <c r="I53" s="428"/>
      <c r="J53" s="429"/>
      <c r="K53" s="430" t="s">
        <v>276</v>
      </c>
      <c r="L53" s="431" t="s">
        <v>277</v>
      </c>
    </row>
    <row r="54" s="359" customFormat="1" ht="136" customHeight="1" spans="2:26">
      <c r="B54" s="427" t="s">
        <v>278</v>
      </c>
      <c r="C54" s="432"/>
      <c r="D54" s="432"/>
      <c r="E54" s="432"/>
      <c r="F54" s="432"/>
      <c r="G54" s="432"/>
      <c r="H54" s="432"/>
      <c r="I54" s="432"/>
      <c r="J54" s="433"/>
      <c r="K54" s="430" t="s">
        <v>279</v>
      </c>
      <c r="L54" s="434" t="s">
        <v>280</v>
      </c>
      <c r="M54" s="435"/>
    </row>
    <row r="55" s="359" customFormat="1" ht="57" customHeight="1" spans="2:26">
      <c r="B55" s="427" t="s">
        <v>281</v>
      </c>
      <c r="C55" s="428"/>
      <c r="D55" s="428"/>
      <c r="E55" s="428"/>
      <c r="F55" s="428"/>
      <c r="G55" s="428"/>
      <c r="H55" s="428"/>
      <c r="I55" s="428"/>
      <c r="J55" s="428"/>
      <c r="K55" s="436" t="s">
        <v>282</v>
      </c>
      <c r="L55" s="434" t="s">
        <v>280</v>
      </c>
      <c r="M55" s="435"/>
    </row>
    <row r="56" s="359" customFormat="1" ht="57" customHeight="1" spans="2:26">
      <c r="B56" s="437" t="s">
        <v>283</v>
      </c>
      <c r="C56" s="438"/>
      <c r="D56" s="438"/>
      <c r="E56" s="438"/>
      <c r="F56" s="438"/>
      <c r="G56" s="438"/>
      <c r="H56" s="438"/>
      <c r="I56" s="438"/>
      <c r="J56" s="438"/>
      <c r="K56" s="439" t="s">
        <v>284</v>
      </c>
      <c r="L56" s="440" t="s">
        <v>280</v>
      </c>
      <c r="M56" s="435"/>
    </row>
    <row r="57" s="359" customFormat="1" ht="52" customHeight="1" spans="2:26">
      <c r="B57" s="427" t="s">
        <v>285</v>
      </c>
      <c r="C57" s="428"/>
      <c r="D57" s="428"/>
      <c r="E57" s="428"/>
      <c r="F57" s="428"/>
      <c r="G57" s="428"/>
      <c r="H57" s="428"/>
      <c r="I57" s="428"/>
      <c r="J57" s="428"/>
      <c r="K57" s="441" t="s">
        <v>286</v>
      </c>
      <c r="L57" s="434" t="s">
        <v>280</v>
      </c>
      <c r="M57" s="435"/>
    </row>
    <row r="58" s="359" customFormat="1" ht="75" customHeight="1" spans="2:26">
      <c r="B58" s="442" t="s">
        <v>287</v>
      </c>
      <c r="C58" s="443"/>
      <c r="D58" s="443"/>
      <c r="E58" s="443"/>
      <c r="F58" s="443"/>
      <c r="G58" s="443"/>
      <c r="H58" s="443"/>
      <c r="I58" s="443"/>
      <c r="J58" s="444"/>
      <c r="K58" s="430" t="s">
        <v>284</v>
      </c>
      <c r="L58" s="434" t="s">
        <v>280</v>
      </c>
      <c r="M58" s="435"/>
    </row>
    <row r="59" s="359" customFormat="1" ht="81" customHeight="1" spans="2:26">
      <c r="B59" s="445" t="s">
        <v>288</v>
      </c>
      <c r="C59" s="446"/>
      <c r="D59" s="446"/>
      <c r="E59" s="446"/>
      <c r="F59" s="446"/>
      <c r="G59" s="446"/>
      <c r="H59" s="446"/>
      <c r="I59" s="446"/>
      <c r="J59" s="447"/>
      <c r="K59" s="430" t="s">
        <v>289</v>
      </c>
      <c r="L59" s="434" t="s">
        <v>280</v>
      </c>
      <c r="M59" s="435"/>
    </row>
    <row r="60" s="359" customFormat="1" ht="51" customHeight="1" spans="2:26">
      <c r="B60" s="448" t="s">
        <v>290</v>
      </c>
      <c r="C60" s="448"/>
      <c r="D60" s="448"/>
      <c r="E60" s="448"/>
      <c r="F60" s="448"/>
      <c r="G60" s="448"/>
      <c r="H60" s="448"/>
      <c r="I60" s="448"/>
      <c r="J60" s="448"/>
      <c r="K60" s="448"/>
      <c r="L60" s="448"/>
      <c r="M60" s="435"/>
    </row>
    <row r="61" s="359" customFormat="1" ht="12" customHeight="1" spans="2:26">
      <c r="B61" s="449"/>
      <c r="C61" s="449"/>
      <c r="D61" s="449"/>
      <c r="E61" s="449"/>
      <c r="F61" s="449"/>
      <c r="G61" s="449"/>
      <c r="H61" s="449"/>
      <c r="I61" s="449"/>
      <c r="J61" s="449"/>
      <c r="K61" s="449"/>
      <c r="L61" s="450"/>
      <c r="M61" s="435"/>
    </row>
    <row r="62" s="359" customFormat="1" ht="29" customHeight="1" spans="2:26">
      <c r="B62" s="451" t="s">
        <v>291</v>
      </c>
      <c r="C62" s="451"/>
      <c r="D62" s="451"/>
      <c r="E62" s="451"/>
      <c r="F62" s="451"/>
      <c r="G62" s="451"/>
      <c r="H62" s="451"/>
      <c r="I62" s="451"/>
      <c r="J62" s="451"/>
      <c r="K62" s="451"/>
      <c r="L62" s="451"/>
      <c r="M62" s="452"/>
    </row>
    <row r="63" s="359" customFormat="1" ht="172" customHeight="1" spans="2:26">
      <c r="B63" s="453" t="s">
        <v>292</v>
      </c>
      <c r="C63" s="453"/>
      <c r="D63" s="453"/>
      <c r="E63" s="453"/>
      <c r="F63" s="453"/>
      <c r="G63" s="453"/>
      <c r="H63" s="453"/>
      <c r="I63" s="453"/>
      <c r="J63" s="453"/>
      <c r="K63" s="453"/>
      <c r="L63" s="453"/>
    </row>
    <row r="64" s="359" customFormat="1" ht="34" customHeight="1" spans="2:26">
      <c r="B64" s="454" t="s">
        <v>293</v>
      </c>
      <c r="C64" s="455"/>
      <c r="D64" s="455"/>
      <c r="E64" s="455"/>
      <c r="F64" s="455"/>
      <c r="G64" s="455"/>
      <c r="H64" s="455"/>
      <c r="I64" s="455"/>
      <c r="J64" s="455"/>
      <c r="K64" s="455"/>
      <c r="L64" s="456"/>
    </row>
    <row r="65" s="359" customFormat="1" ht="37" customHeight="1" spans="2:12">
      <c r="B65" s="457" t="s">
        <v>294</v>
      </c>
      <c r="C65" s="458" t="s">
        <v>295</v>
      </c>
      <c r="D65" s="459"/>
      <c r="E65" s="459"/>
      <c r="F65" s="459"/>
      <c r="G65" s="459"/>
      <c r="H65" s="459"/>
      <c r="I65" s="459"/>
      <c r="J65" s="459"/>
      <c r="K65" s="459"/>
      <c r="L65" s="460"/>
    </row>
    <row r="66" s="359" customFormat="1" ht="51" customHeight="1" spans="2:12">
      <c r="B66" s="457" t="s">
        <v>296</v>
      </c>
      <c r="C66" s="461" t="s">
        <v>297</v>
      </c>
      <c r="D66" s="462"/>
      <c r="E66" s="462"/>
      <c r="F66" s="462"/>
      <c r="G66" s="462"/>
      <c r="H66" s="462"/>
      <c r="I66" s="462"/>
      <c r="J66" s="462"/>
      <c r="K66" s="462"/>
      <c r="L66" s="463"/>
    </row>
    <row r="67" s="359" customFormat="1" ht="43" customHeight="1" spans="2:12">
      <c r="B67" s="457" t="s">
        <v>298</v>
      </c>
      <c r="C67" s="461" t="s">
        <v>299</v>
      </c>
      <c r="D67" s="462"/>
      <c r="E67" s="462"/>
      <c r="F67" s="462"/>
      <c r="G67" s="462"/>
      <c r="H67" s="462"/>
      <c r="I67" s="462"/>
      <c r="J67" s="462"/>
      <c r="K67" s="462"/>
      <c r="L67" s="463"/>
    </row>
    <row r="68" s="359" customFormat="1" ht="31" customHeight="1" spans="2:12">
      <c r="B68" s="464" t="s">
        <v>58</v>
      </c>
      <c r="C68" s="465"/>
      <c r="D68" s="465"/>
      <c r="E68" s="465"/>
      <c r="F68" s="465"/>
      <c r="G68" s="465"/>
      <c r="H68" s="465"/>
      <c r="I68" s="465"/>
      <c r="J68" s="465"/>
      <c r="K68" s="465"/>
      <c r="L68" s="466"/>
    </row>
  </sheetData>
  <mergeCells count="96">
    <mergeCell ref="B1:L1"/>
    <mergeCell ref="B2:L2"/>
    <mergeCell ref="B3:F3"/>
    <mergeCell ref="J3:L3"/>
    <mergeCell ref="C4:E4"/>
    <mergeCell ref="F4:H4"/>
    <mergeCell ref="B9:L9"/>
    <mergeCell ref="B10:L10"/>
    <mergeCell ref="C11:E11"/>
    <mergeCell ref="F11:H11"/>
    <mergeCell ref="B16:L16"/>
    <mergeCell ref="B17:L17"/>
    <mergeCell ref="C18:E18"/>
    <mergeCell ref="F18:H18"/>
    <mergeCell ref="B23:L23"/>
    <mergeCell ref="B24:L24"/>
    <mergeCell ref="C25:E25"/>
    <mergeCell ref="F25:H25"/>
    <mergeCell ref="B30:L30"/>
    <mergeCell ref="B31:L31"/>
    <mergeCell ref="C32:E32"/>
    <mergeCell ref="F32:H32"/>
    <mergeCell ref="B37:L37"/>
    <mergeCell ref="B38:L38"/>
    <mergeCell ref="C39:E39"/>
    <mergeCell ref="F39:H39"/>
    <mergeCell ref="K45:L45"/>
    <mergeCell ref="C46:K46"/>
    <mergeCell ref="C47:K47"/>
    <mergeCell ref="C48:K48"/>
    <mergeCell ref="C49:K49"/>
    <mergeCell ref="C50:K50"/>
    <mergeCell ref="B52:J52"/>
    <mergeCell ref="B53:J53"/>
    <mergeCell ref="B54:J54"/>
    <mergeCell ref="B55:J55"/>
    <mergeCell ref="B56:J56"/>
    <mergeCell ref="B57:J57"/>
    <mergeCell ref="B58:J58"/>
    <mergeCell ref="B59:J59"/>
    <mergeCell ref="B60:L60"/>
    <mergeCell ref="B62:L62"/>
    <mergeCell ref="B63:L63"/>
    <mergeCell ref="B64:L64"/>
    <mergeCell ref="C65:L65"/>
    <mergeCell ref="C66:L66"/>
    <mergeCell ref="C67:L67"/>
    <mergeCell ref="B68:L68"/>
    <mergeCell ref="B4:B5"/>
    <mergeCell ref="B11:B12"/>
    <mergeCell ref="B18:B19"/>
    <mergeCell ref="B25:B26"/>
    <mergeCell ref="B32:B33"/>
    <mergeCell ref="B39:B40"/>
    <mergeCell ref="I4:I5"/>
    <mergeCell ref="I6:I8"/>
    <mergeCell ref="I11:I12"/>
    <mergeCell ref="I13:I15"/>
    <mergeCell ref="I18:I19"/>
    <mergeCell ref="I20:I22"/>
    <mergeCell ref="I25:I26"/>
    <mergeCell ref="I27:I29"/>
    <mergeCell ref="I32:I33"/>
    <mergeCell ref="I34:I36"/>
    <mergeCell ref="I39:I40"/>
    <mergeCell ref="I41:I43"/>
    <mergeCell ref="J4:J5"/>
    <mergeCell ref="J6:J8"/>
    <mergeCell ref="J11:J12"/>
    <mergeCell ref="J13:J15"/>
    <mergeCell ref="J18:J19"/>
    <mergeCell ref="J20:J22"/>
    <mergeCell ref="J25:J26"/>
    <mergeCell ref="J27:J29"/>
    <mergeCell ref="J32:J33"/>
    <mergeCell ref="J34:J36"/>
    <mergeCell ref="J39:J40"/>
    <mergeCell ref="J41:J43"/>
    <mergeCell ref="K4:K5"/>
    <mergeCell ref="K6:K8"/>
    <mergeCell ref="K11:K12"/>
    <mergeCell ref="K13:K15"/>
    <mergeCell ref="K18:K19"/>
    <mergeCell ref="K20:K22"/>
    <mergeCell ref="K25:K26"/>
    <mergeCell ref="K27:K29"/>
    <mergeCell ref="K32:K33"/>
    <mergeCell ref="K34:K36"/>
    <mergeCell ref="K39:K40"/>
    <mergeCell ref="K41:K43"/>
    <mergeCell ref="L4:L5"/>
    <mergeCell ref="L11:L12"/>
    <mergeCell ref="L18:L19"/>
    <mergeCell ref="L25:L26"/>
    <mergeCell ref="L32:L33"/>
    <mergeCell ref="L39:L40"/>
  </mergeCells>
  <hyperlinks>
    <hyperlink ref="M4" location="目录!A1" display="返回主页"/>
    <hyperlink ref="K45" r:id="rId1" display="https://hts.usitc.gov/"/>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autoPageBreaks="0"/>
  </sheetPr>
  <dimension ref="B1:M26"/>
  <sheetViews>
    <sheetView workbookViewId="0">
      <selection activeCell="K4" sqref="K4:L4"/>
    </sheetView>
  </sheetViews>
  <sheetFormatPr defaultColWidth="8.725" defaultRowHeight="16.5"/>
  <cols>
    <col min="1" max="1" width="4.375" style="170" customWidth="1"/>
    <col min="2" max="2" width="31.625" style="170" customWidth="1"/>
    <col min="3" max="10" width="16.25" style="170" customWidth="1"/>
    <col min="11" max="11" width="19.25" style="170" customWidth="1"/>
    <col min="12" max="12" width="23.75" style="170" customWidth="1"/>
    <col min="13" max="13" width="11.9083333333333" style="181" customWidth="1"/>
    <col min="14" max="16384" width="8.725" style="170"/>
  </cols>
  <sheetData>
    <row r="1" ht="18" customHeight="1" spans="2:13">
      <c r="B1" s="131" t="s">
        <v>300</v>
      </c>
      <c r="C1" s="131"/>
      <c r="D1" s="131"/>
      <c r="E1" s="131"/>
      <c r="F1" s="131"/>
      <c r="G1" s="131"/>
      <c r="H1" s="131"/>
      <c r="I1" s="131"/>
      <c r="J1" s="131"/>
      <c r="K1" s="131"/>
      <c r="L1" s="131"/>
    </row>
    <row r="2" ht="18" customHeight="1" spans="2:13">
      <c r="B2" s="131"/>
      <c r="C2" s="131"/>
      <c r="D2" s="131"/>
      <c r="E2" s="131"/>
      <c r="F2" s="131"/>
      <c r="G2" s="131"/>
      <c r="H2" s="131"/>
      <c r="I2" s="131"/>
      <c r="J2" s="131"/>
      <c r="K2" s="131"/>
      <c r="L2" s="131"/>
    </row>
    <row r="3" ht="46" customHeight="1" spans="2:13">
      <c r="B3" s="348" t="s">
        <v>301</v>
      </c>
      <c r="C3" s="349"/>
      <c r="D3" s="349"/>
      <c r="E3" s="349"/>
      <c r="F3" s="349"/>
      <c r="G3" s="349"/>
      <c r="H3" s="349"/>
      <c r="I3" s="349"/>
      <c r="J3" s="349"/>
      <c r="K3" s="349"/>
      <c r="L3" s="349"/>
    </row>
    <row r="4" ht="23" customHeight="1" spans="2:13">
      <c r="B4" s="184" t="s">
        <v>302</v>
      </c>
      <c r="J4" s="316"/>
      <c r="K4" s="184" t="s">
        <v>217</v>
      </c>
      <c r="L4" s="184"/>
    </row>
    <row r="5" ht="30" customHeight="1" spans="2:13">
      <c r="B5" s="190" t="s">
        <v>175</v>
      </c>
      <c r="C5" s="188" t="s">
        <v>134</v>
      </c>
      <c r="D5" s="189"/>
      <c r="E5" s="189"/>
      <c r="F5" s="351"/>
      <c r="G5" s="190" t="s">
        <v>135</v>
      </c>
      <c r="H5" s="190"/>
      <c r="I5" s="190"/>
      <c r="J5" s="190"/>
      <c r="K5" s="188" t="s">
        <v>136</v>
      </c>
      <c r="L5" s="229" t="s">
        <v>303</v>
      </c>
      <c r="M5" s="45" t="s">
        <v>222</v>
      </c>
    </row>
    <row r="6" ht="44" customHeight="1" spans="2:13">
      <c r="B6" s="190"/>
      <c r="C6" s="190" t="s">
        <v>137</v>
      </c>
      <c r="D6" s="190" t="s">
        <v>138</v>
      </c>
      <c r="E6" s="190" t="s">
        <v>139</v>
      </c>
      <c r="F6" s="190" t="s">
        <v>151</v>
      </c>
      <c r="G6" s="190" t="s">
        <v>137</v>
      </c>
      <c r="H6" s="190" t="s">
        <v>138</v>
      </c>
      <c r="I6" s="190" t="s">
        <v>139</v>
      </c>
      <c r="J6" s="190" t="s">
        <v>151</v>
      </c>
      <c r="K6" s="188"/>
      <c r="L6" s="230"/>
    </row>
    <row r="7" ht="60.75" spans="2:13">
      <c r="B7" s="257" t="s">
        <v>304</v>
      </c>
      <c r="C7" s="319">
        <f>价格汇总!C24</f>
        <v>1800</v>
      </c>
      <c r="D7" s="279">
        <f>价格汇总!D24</f>
        <v>10</v>
      </c>
      <c r="E7" s="279">
        <f>价格汇总!E24</f>
        <v>9</v>
      </c>
      <c r="F7" s="280">
        <f>价格汇总!F24</f>
        <v>9</v>
      </c>
      <c r="G7" s="319">
        <f>价格汇总!G24</f>
        <v>1720</v>
      </c>
      <c r="H7" s="279">
        <f>价格汇总!H24</f>
        <v>9.6</v>
      </c>
      <c r="I7" s="279">
        <f>价格汇总!I24</f>
        <v>8.6</v>
      </c>
      <c r="J7" s="280">
        <f>价格汇总!J24</f>
        <v>8.6</v>
      </c>
      <c r="K7" s="352" t="s">
        <v>305</v>
      </c>
      <c r="L7" s="339" t="s">
        <v>306</v>
      </c>
      <c r="M7" s="170"/>
    </row>
    <row r="8" ht="40.5" spans="2:13">
      <c r="B8" s="257" t="s">
        <v>177</v>
      </c>
      <c r="C8" s="319">
        <f>价格汇总!C25</f>
        <v>1840</v>
      </c>
      <c r="D8" s="279">
        <f>价格汇总!D25</f>
        <v>10.2</v>
      </c>
      <c r="E8" s="279">
        <f>价格汇总!E25</f>
        <v>9.2</v>
      </c>
      <c r="F8" s="280">
        <f>价格汇总!F25</f>
        <v>9.2</v>
      </c>
      <c r="G8" s="319">
        <f>价格汇总!G25</f>
        <v>1760</v>
      </c>
      <c r="H8" s="279">
        <f>价格汇总!H25</f>
        <v>9.8</v>
      </c>
      <c r="I8" s="279">
        <f>价格汇总!I25</f>
        <v>8.8</v>
      </c>
      <c r="J8" s="280">
        <f>价格汇总!J25</f>
        <v>8.8</v>
      </c>
      <c r="K8" s="353" t="s">
        <v>307</v>
      </c>
      <c r="L8" s="321" t="s">
        <v>308</v>
      </c>
      <c r="M8" s="170"/>
    </row>
    <row r="9" ht="121.5" spans="2:13">
      <c r="B9" s="257" t="s">
        <v>309</v>
      </c>
      <c r="C9" s="319">
        <f>价格汇总!C26</f>
        <v>1900</v>
      </c>
      <c r="D9" s="279">
        <f>价格汇总!D26</f>
        <v>10.5</v>
      </c>
      <c r="E9" s="279">
        <f>价格汇总!E26</f>
        <v>9.5</v>
      </c>
      <c r="F9" s="280">
        <f>价格汇总!F26</f>
        <v>9.5</v>
      </c>
      <c r="G9" s="319">
        <f>价格汇总!G26</f>
        <v>1820</v>
      </c>
      <c r="H9" s="279">
        <f>价格汇总!H26</f>
        <v>10.1</v>
      </c>
      <c r="I9" s="279">
        <f>价格汇总!I26</f>
        <v>9.1</v>
      </c>
      <c r="J9" s="280">
        <f>价格汇总!J26</f>
        <v>9.1</v>
      </c>
      <c r="K9" s="353" t="s">
        <v>307</v>
      </c>
      <c r="L9" s="321" t="s">
        <v>308</v>
      </c>
      <c r="M9" s="170"/>
    </row>
    <row r="10" ht="57" spans="2:13">
      <c r="B10" s="257" t="s">
        <v>179</v>
      </c>
      <c r="C10" s="319">
        <f>价格汇总!C27</f>
        <v>2060</v>
      </c>
      <c r="D10" s="279">
        <f>价格汇总!D27</f>
        <v>11.3</v>
      </c>
      <c r="E10" s="279">
        <f>价格汇总!E27</f>
        <v>10.3</v>
      </c>
      <c r="F10" s="280">
        <f>价格汇总!F27</f>
        <v>10.3</v>
      </c>
      <c r="G10" s="319">
        <f>价格汇总!G27</f>
        <v>1980</v>
      </c>
      <c r="H10" s="279">
        <f>价格汇总!H27</f>
        <v>10.9</v>
      </c>
      <c r="I10" s="279">
        <f>价格汇总!I27</f>
        <v>9.9</v>
      </c>
      <c r="J10" s="280">
        <f>价格汇总!J27</f>
        <v>9.9</v>
      </c>
      <c r="K10" s="353" t="s">
        <v>307</v>
      </c>
      <c r="L10" s="339" t="s">
        <v>310</v>
      </c>
      <c r="M10" s="170"/>
    </row>
    <row r="11" ht="121.5" spans="2:13">
      <c r="B11" s="257" t="s">
        <v>311</v>
      </c>
      <c r="C11" s="319">
        <f>价格汇总!C28</f>
        <v>2160</v>
      </c>
      <c r="D11" s="354" t="str">
        <f>价格汇总!D28</f>
        <v>100KG起收</v>
      </c>
      <c r="E11" s="354" t="str">
        <f>价格汇总!E28</f>
        <v>100KG起收</v>
      </c>
      <c r="F11" s="280">
        <f>价格汇总!F28</f>
        <v>10.8</v>
      </c>
      <c r="G11" s="319">
        <f>价格汇总!G28</f>
        <v>2080</v>
      </c>
      <c r="H11" s="354" t="str">
        <f>价格汇总!H28</f>
        <v>100KG起收</v>
      </c>
      <c r="I11" s="354" t="str">
        <f>价格汇总!I28</f>
        <v>100KG起收</v>
      </c>
      <c r="J11" s="280">
        <f>价格汇总!J28</f>
        <v>10.4</v>
      </c>
      <c r="K11" s="322" t="s">
        <v>312</v>
      </c>
      <c r="L11" s="137" t="s">
        <v>308</v>
      </c>
    </row>
    <row r="12" ht="121.5" spans="2:13">
      <c r="B12" s="324" t="s">
        <v>313</v>
      </c>
      <c r="C12" s="319">
        <f>价格汇总!C29</f>
        <v>2200</v>
      </c>
      <c r="D12" s="354" t="str">
        <f>价格汇总!D29</f>
        <v>100KG起收</v>
      </c>
      <c r="E12" s="354" t="str">
        <f>价格汇总!E29</f>
        <v>100KG起收</v>
      </c>
      <c r="F12" s="280">
        <f>价格汇总!F29</f>
        <v>11</v>
      </c>
      <c r="G12" s="319">
        <f>价格汇总!G29</f>
        <v>2120</v>
      </c>
      <c r="H12" s="354" t="str">
        <f>价格汇总!H29</f>
        <v>100KG起收</v>
      </c>
      <c r="I12" s="354" t="str">
        <f>价格汇总!I29</f>
        <v>100KG起收</v>
      </c>
      <c r="J12" s="280">
        <f>价格汇总!J29</f>
        <v>10.6</v>
      </c>
      <c r="K12" s="350" t="s">
        <v>314</v>
      </c>
      <c r="L12" s="137" t="s">
        <v>308</v>
      </c>
    </row>
    <row r="13" ht="81" spans="2:13">
      <c r="B13" s="325" t="s">
        <v>183</v>
      </c>
      <c r="C13" s="319">
        <f>价格汇总!C30</f>
        <v>2380</v>
      </c>
      <c r="D13" s="354" t="str">
        <f>价格汇总!D30</f>
        <v>100KG起收</v>
      </c>
      <c r="E13" s="354" t="str">
        <f>价格汇总!E30</f>
        <v>100KG起收</v>
      </c>
      <c r="F13" s="280">
        <f>价格汇总!F30</f>
        <v>11.9</v>
      </c>
      <c r="G13" s="319">
        <f>价格汇总!G30</f>
        <v>2300</v>
      </c>
      <c r="H13" s="354" t="str">
        <f>价格汇总!H30</f>
        <v>100KG起收</v>
      </c>
      <c r="I13" s="354" t="str">
        <f>价格汇总!I30</f>
        <v>100KG起收</v>
      </c>
      <c r="J13" s="280">
        <f>价格汇总!J30</f>
        <v>11.5</v>
      </c>
      <c r="K13" s="350" t="s">
        <v>314</v>
      </c>
      <c r="L13" s="137" t="s">
        <v>308</v>
      </c>
    </row>
    <row r="14" ht="101.25" spans="2:13">
      <c r="B14" s="324" t="s">
        <v>315</v>
      </c>
      <c r="C14" s="319">
        <f>价格汇总!C31</f>
        <v>2460</v>
      </c>
      <c r="D14" s="354" t="str">
        <f>价格汇总!D31</f>
        <v>100KG起收</v>
      </c>
      <c r="E14" s="354" t="str">
        <f>价格汇总!E31</f>
        <v>100KG起收</v>
      </c>
      <c r="F14" s="280">
        <f>价格汇总!F31</f>
        <v>12.3</v>
      </c>
      <c r="G14" s="319">
        <f>价格汇总!G31</f>
        <v>2380</v>
      </c>
      <c r="H14" s="354" t="str">
        <f>价格汇总!H31</f>
        <v>100KG起收</v>
      </c>
      <c r="I14" s="354" t="str">
        <f>价格汇总!I31</f>
        <v>100KG起收</v>
      </c>
      <c r="J14" s="280">
        <f>价格汇总!J31</f>
        <v>11.9</v>
      </c>
      <c r="K14" s="350" t="s">
        <v>316</v>
      </c>
      <c r="L14" s="137" t="s">
        <v>308</v>
      </c>
    </row>
    <row r="15" ht="42" spans="2:13">
      <c r="B15" s="234" t="s">
        <v>317</v>
      </c>
      <c r="C15" s="319">
        <f>价格汇总!C32</f>
        <v>1800</v>
      </c>
      <c r="D15" s="354" t="str">
        <f>价格汇总!D32</f>
        <v>——</v>
      </c>
      <c r="E15" s="354" t="str">
        <f>价格汇总!E32</f>
        <v>——</v>
      </c>
      <c r="F15" s="280">
        <f>价格汇总!F32</f>
        <v>9</v>
      </c>
      <c r="G15" s="319">
        <f>价格汇总!G32</f>
        <v>1720</v>
      </c>
      <c r="H15" s="354" t="str">
        <f>价格汇总!H32</f>
        <v>——</v>
      </c>
      <c r="I15" s="354" t="str">
        <f>价格汇总!I32</f>
        <v>——</v>
      </c>
      <c r="J15" s="280">
        <f>价格汇总!J32</f>
        <v>8.6</v>
      </c>
      <c r="K15" s="327" t="s">
        <v>307</v>
      </c>
      <c r="L15" s="137" t="s">
        <v>308</v>
      </c>
    </row>
    <row r="16" ht="28" customHeight="1" spans="2:13">
      <c r="B16" s="355" t="s">
        <v>318</v>
      </c>
      <c r="C16" s="211"/>
      <c r="D16" s="211"/>
      <c r="E16" s="211"/>
      <c r="F16" s="211"/>
      <c r="G16" s="211"/>
      <c r="H16" s="211"/>
      <c r="I16" s="211"/>
      <c r="J16" s="211"/>
      <c r="K16" s="211"/>
      <c r="L16" s="356"/>
    </row>
    <row r="17" ht="27" customHeight="1" spans="2:13">
      <c r="B17" s="263" t="s">
        <v>319</v>
      </c>
      <c r="C17" s="264"/>
      <c r="D17" s="264"/>
      <c r="E17" s="264"/>
      <c r="F17" s="264"/>
      <c r="G17" s="264"/>
      <c r="H17" s="264"/>
      <c r="I17" s="264"/>
      <c r="J17" s="264"/>
      <c r="K17" s="264"/>
      <c r="L17" s="265"/>
    </row>
    <row r="18" ht="33" customHeight="1" spans="2:13">
      <c r="B18" s="266" t="s">
        <v>320</v>
      </c>
      <c r="C18" s="267"/>
      <c r="D18" s="267"/>
      <c r="E18" s="267"/>
      <c r="F18" s="267"/>
      <c r="G18" s="267"/>
      <c r="H18" s="267"/>
      <c r="I18" s="267"/>
      <c r="J18" s="267"/>
      <c r="K18" s="267"/>
      <c r="L18" s="268"/>
      <c r="M18" s="217"/>
    </row>
    <row r="19" ht="33" customHeight="1" spans="2:13">
      <c r="B19" s="266"/>
      <c r="C19" s="267"/>
      <c r="D19" s="267"/>
      <c r="E19" s="267"/>
      <c r="F19" s="267"/>
      <c r="G19" s="267"/>
      <c r="H19" s="267"/>
      <c r="I19" s="267"/>
      <c r="J19" s="267"/>
      <c r="K19" s="267"/>
      <c r="L19" s="268"/>
      <c r="M19" s="217"/>
    </row>
    <row r="20" ht="33" customHeight="1" spans="2:13">
      <c r="B20" s="266"/>
      <c r="C20" s="267"/>
      <c r="D20" s="267"/>
      <c r="E20" s="267"/>
      <c r="F20" s="267"/>
      <c r="G20" s="267"/>
      <c r="H20" s="267"/>
      <c r="I20" s="267"/>
      <c r="J20" s="267"/>
      <c r="K20" s="267"/>
      <c r="L20" s="268"/>
      <c r="M20" s="217"/>
    </row>
    <row r="21" ht="33" customHeight="1" spans="2:13">
      <c r="B21" s="266"/>
      <c r="C21" s="267"/>
      <c r="D21" s="267"/>
      <c r="E21" s="267"/>
      <c r="F21" s="267"/>
      <c r="G21" s="267"/>
      <c r="H21" s="267"/>
      <c r="I21" s="267"/>
      <c r="J21" s="267"/>
      <c r="K21" s="267"/>
      <c r="L21" s="268"/>
      <c r="M21" s="217"/>
    </row>
    <row r="22" ht="29" customHeight="1" spans="2:13">
      <c r="B22" s="269" t="s">
        <v>321</v>
      </c>
      <c r="C22" s="270"/>
      <c r="D22" s="270"/>
      <c r="E22" s="270"/>
      <c r="F22" s="270"/>
      <c r="G22" s="270"/>
      <c r="H22" s="270"/>
      <c r="I22" s="270"/>
      <c r="J22" s="270"/>
      <c r="K22" s="270"/>
      <c r="L22" s="271"/>
      <c r="M22" s="217"/>
    </row>
    <row r="23" ht="21" customHeight="1" spans="2:13">
      <c r="B23" s="266" t="s">
        <v>322</v>
      </c>
      <c r="C23" s="267"/>
      <c r="D23" s="267"/>
      <c r="E23" s="267"/>
      <c r="F23" s="267"/>
      <c r="G23" s="267"/>
      <c r="H23" s="267"/>
      <c r="I23" s="267"/>
      <c r="J23" s="267"/>
      <c r="K23" s="267"/>
      <c r="L23" s="268"/>
    </row>
    <row r="24" ht="21" customHeight="1" spans="2:13">
      <c r="B24" s="266"/>
      <c r="C24" s="267"/>
      <c r="D24" s="267"/>
      <c r="E24" s="267"/>
      <c r="F24" s="267"/>
      <c r="G24" s="267"/>
      <c r="H24" s="267"/>
      <c r="I24" s="267"/>
      <c r="J24" s="267"/>
      <c r="K24" s="267"/>
      <c r="L24" s="268"/>
    </row>
    <row r="25" ht="29" customHeight="1" spans="2:13">
      <c r="B25" s="269" t="s">
        <v>323</v>
      </c>
      <c r="C25" s="270"/>
      <c r="D25" s="270"/>
      <c r="E25" s="270"/>
      <c r="F25" s="270"/>
      <c r="G25" s="270"/>
      <c r="H25" s="270"/>
      <c r="I25" s="270"/>
      <c r="J25" s="270"/>
      <c r="K25" s="270"/>
      <c r="L25" s="271"/>
    </row>
    <row r="26" ht="104" customHeight="1" spans="2:13">
      <c r="B26" s="266" t="s">
        <v>324</v>
      </c>
      <c r="C26" s="267"/>
      <c r="D26" s="267"/>
      <c r="E26" s="267"/>
      <c r="F26" s="267"/>
      <c r="G26" s="267"/>
      <c r="H26" s="267"/>
      <c r="I26" s="267"/>
      <c r="J26" s="267"/>
      <c r="K26" s="267"/>
      <c r="L26" s="268"/>
    </row>
  </sheetData>
  <mergeCells count="15">
    <mergeCell ref="B3:L3"/>
    <mergeCell ref="K4:L4"/>
    <mergeCell ref="C5:F5"/>
    <mergeCell ref="G5:J5"/>
    <mergeCell ref="B16:L16"/>
    <mergeCell ref="B17:L17"/>
    <mergeCell ref="B22:L22"/>
    <mergeCell ref="B25:L25"/>
    <mergeCell ref="B26:L26"/>
    <mergeCell ref="B5:B6"/>
    <mergeCell ref="K5:K6"/>
    <mergeCell ref="L5:L6"/>
    <mergeCell ref="B1:L2"/>
    <mergeCell ref="B18:L21"/>
    <mergeCell ref="B23:L24"/>
  </mergeCells>
  <hyperlinks>
    <hyperlink ref="M5" location="目录!A1" display="返回主页"/>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N26"/>
  <sheetViews>
    <sheetView workbookViewId="0">
      <selection activeCell="B1" sqref="B1:L2"/>
    </sheetView>
  </sheetViews>
  <sheetFormatPr defaultColWidth="8.725" defaultRowHeight="16.5"/>
  <cols>
    <col min="1" max="1" width="3.50833333333333" style="170" customWidth="1"/>
    <col min="2" max="2" width="30.875" style="170" customWidth="1"/>
    <col min="3" max="10" width="15.5083333333333" style="170" customWidth="1"/>
    <col min="11" max="11" width="18.625" style="170" customWidth="1"/>
    <col min="12" max="12" width="22.75" style="170" customWidth="1"/>
    <col min="13" max="13" width="11.9083333333333" style="181" customWidth="1"/>
    <col min="14" max="16384" width="8.725" style="170"/>
  </cols>
  <sheetData>
    <row r="1" ht="18" customHeight="1" spans="2:14">
      <c r="B1" s="131" t="s">
        <v>325</v>
      </c>
      <c r="C1" s="131"/>
      <c r="D1" s="131"/>
      <c r="E1" s="131"/>
      <c r="F1" s="131"/>
      <c r="G1" s="131"/>
      <c r="H1" s="131"/>
      <c r="I1" s="131"/>
      <c r="J1" s="131"/>
      <c r="K1" s="131"/>
      <c r="L1" s="131"/>
    </row>
    <row r="2" ht="18" customHeight="1" spans="2:14">
      <c r="B2" s="131"/>
      <c r="C2" s="131"/>
      <c r="D2" s="131"/>
      <c r="E2" s="131"/>
      <c r="F2" s="131"/>
      <c r="G2" s="131"/>
      <c r="H2" s="131"/>
      <c r="I2" s="131"/>
      <c r="J2" s="131"/>
      <c r="K2" s="131"/>
      <c r="L2" s="131"/>
    </row>
    <row r="3" ht="84" customHeight="1" spans="2:14">
      <c r="B3" s="348" t="s">
        <v>326</v>
      </c>
      <c r="C3" s="349"/>
      <c r="D3" s="349"/>
      <c r="E3" s="349"/>
      <c r="F3" s="349"/>
      <c r="G3" s="349"/>
      <c r="H3" s="349"/>
      <c r="I3" s="349"/>
      <c r="J3" s="349"/>
      <c r="K3" s="349"/>
      <c r="L3" s="349"/>
    </row>
    <row r="4" ht="23" customHeight="1" spans="2:14">
      <c r="B4" s="184" t="s">
        <v>302</v>
      </c>
      <c r="J4" s="316"/>
      <c r="K4" s="184" t="s">
        <v>217</v>
      </c>
      <c r="L4" s="184"/>
    </row>
    <row r="5" ht="30" customHeight="1" spans="2:14">
      <c r="B5" s="317" t="s">
        <v>175</v>
      </c>
      <c r="C5" s="188" t="s">
        <v>134</v>
      </c>
      <c r="D5" s="189"/>
      <c r="E5" s="189"/>
      <c r="F5" s="351"/>
      <c r="G5" s="190" t="s">
        <v>135</v>
      </c>
      <c r="H5" s="190"/>
      <c r="I5" s="190"/>
      <c r="J5" s="190"/>
      <c r="K5" s="188" t="s">
        <v>136</v>
      </c>
      <c r="L5" s="229" t="s">
        <v>303</v>
      </c>
      <c r="M5" s="45" t="s">
        <v>222</v>
      </c>
    </row>
    <row r="6" ht="42" customHeight="1" spans="2:14">
      <c r="B6" s="318"/>
      <c r="C6" s="190" t="s">
        <v>137</v>
      </c>
      <c r="D6" s="190" t="s">
        <v>138</v>
      </c>
      <c r="E6" s="190" t="s">
        <v>139</v>
      </c>
      <c r="F6" s="190" t="s">
        <v>151</v>
      </c>
      <c r="G6" s="190" t="s">
        <v>137</v>
      </c>
      <c r="H6" s="190" t="s">
        <v>138</v>
      </c>
      <c r="I6" s="190" t="s">
        <v>139</v>
      </c>
      <c r="J6" s="190" t="s">
        <v>151</v>
      </c>
      <c r="K6" s="188"/>
      <c r="L6" s="230"/>
    </row>
    <row r="7" ht="60.75" spans="2:14">
      <c r="B7" s="257" t="s">
        <v>304</v>
      </c>
      <c r="C7" s="319">
        <f>价格汇总!C36</f>
        <v>1740</v>
      </c>
      <c r="D7" s="279">
        <f>价格汇总!D36</f>
        <v>9.7</v>
      </c>
      <c r="E7" s="279">
        <f>价格汇总!E36</f>
        <v>8.7</v>
      </c>
      <c r="F7" s="280">
        <f>价格汇总!F36</f>
        <v>8.7</v>
      </c>
      <c r="G7" s="319">
        <f>价格汇总!G36</f>
        <v>1660</v>
      </c>
      <c r="H7" s="279">
        <f>价格汇总!H36</f>
        <v>9.3</v>
      </c>
      <c r="I7" s="279">
        <f>价格汇总!I36</f>
        <v>8.3</v>
      </c>
      <c r="J7" s="280">
        <f>价格汇总!J36</f>
        <v>8.3</v>
      </c>
      <c r="K7" s="320" t="s">
        <v>307</v>
      </c>
      <c r="L7" s="339" t="s">
        <v>310</v>
      </c>
      <c r="M7" s="340"/>
      <c r="N7" s="199"/>
    </row>
    <row r="8" ht="40.5" spans="2:14">
      <c r="B8" s="257" t="s">
        <v>177</v>
      </c>
      <c r="C8" s="319">
        <f>价格汇总!C37</f>
        <v>1780</v>
      </c>
      <c r="D8" s="279">
        <f>价格汇总!D37</f>
        <v>9.9</v>
      </c>
      <c r="E8" s="279">
        <f>价格汇总!E37</f>
        <v>8.9</v>
      </c>
      <c r="F8" s="280">
        <f>价格汇总!F37</f>
        <v>8.9</v>
      </c>
      <c r="G8" s="319">
        <f>价格汇总!G37</f>
        <v>1700</v>
      </c>
      <c r="H8" s="279">
        <f>价格汇总!H37</f>
        <v>9.5</v>
      </c>
      <c r="I8" s="279">
        <f>价格汇总!I37</f>
        <v>8.5</v>
      </c>
      <c r="J8" s="280">
        <f>价格汇总!J37</f>
        <v>8.5</v>
      </c>
      <c r="K8" s="320" t="s">
        <v>312</v>
      </c>
      <c r="L8" s="321" t="s">
        <v>308</v>
      </c>
      <c r="N8" s="199"/>
    </row>
    <row r="9" ht="121.5" spans="2:14">
      <c r="B9" s="257" t="s">
        <v>309</v>
      </c>
      <c r="C9" s="319">
        <f>价格汇总!C38</f>
        <v>1840</v>
      </c>
      <c r="D9" s="279">
        <f>价格汇总!D38</f>
        <v>10.2</v>
      </c>
      <c r="E9" s="279">
        <f>价格汇总!E38</f>
        <v>9.2</v>
      </c>
      <c r="F9" s="280">
        <f>价格汇总!F38</f>
        <v>9.2</v>
      </c>
      <c r="G9" s="319">
        <f>价格汇总!G38</f>
        <v>1760</v>
      </c>
      <c r="H9" s="279">
        <f>价格汇总!H38</f>
        <v>9.8</v>
      </c>
      <c r="I9" s="279">
        <f>价格汇总!I38</f>
        <v>8.8</v>
      </c>
      <c r="J9" s="280">
        <f>价格汇总!J38</f>
        <v>8.8</v>
      </c>
      <c r="K9" s="320" t="s">
        <v>312</v>
      </c>
      <c r="L9" s="339" t="s">
        <v>327</v>
      </c>
      <c r="N9" s="199"/>
    </row>
    <row r="10" ht="20.25" spans="2:14">
      <c r="B10" s="257" t="s">
        <v>179</v>
      </c>
      <c r="C10" s="319">
        <f>价格汇总!C39</f>
        <v>2000</v>
      </c>
      <c r="D10" s="279">
        <f>价格汇总!D39</f>
        <v>11</v>
      </c>
      <c r="E10" s="279">
        <f>价格汇总!E39</f>
        <v>10</v>
      </c>
      <c r="F10" s="280">
        <f>价格汇总!F39</f>
        <v>10</v>
      </c>
      <c r="G10" s="319">
        <f>价格汇总!G39</f>
        <v>1920</v>
      </c>
      <c r="H10" s="279">
        <f>价格汇总!H39</f>
        <v>10.6</v>
      </c>
      <c r="I10" s="279">
        <f>价格汇总!I39</f>
        <v>9.6</v>
      </c>
      <c r="J10" s="280">
        <f>价格汇总!J39</f>
        <v>9.6</v>
      </c>
      <c r="K10" s="350" t="s">
        <v>314</v>
      </c>
      <c r="L10" s="137" t="s">
        <v>308</v>
      </c>
      <c r="N10" s="199"/>
    </row>
    <row r="11" ht="141.75" spans="2:14">
      <c r="B11" s="257" t="s">
        <v>311</v>
      </c>
      <c r="C11" s="319">
        <f>价格汇总!C40</f>
        <v>2100</v>
      </c>
      <c r="D11" s="323" t="str">
        <f>价格汇总!D40</f>
        <v>100KG起收</v>
      </c>
      <c r="E11" s="323" t="str">
        <f>价格汇总!E40</f>
        <v>100KG起收</v>
      </c>
      <c r="F11" s="280">
        <f>价格汇总!F40</f>
        <v>10.5</v>
      </c>
      <c r="G11" s="319">
        <f>价格汇总!G40</f>
        <v>2020</v>
      </c>
      <c r="H11" s="323" t="str">
        <f>价格汇总!H40</f>
        <v>100KG起收</v>
      </c>
      <c r="I11" s="323" t="str">
        <f>价格汇总!I40</f>
        <v>100KG起收</v>
      </c>
      <c r="J11" s="280">
        <f>价格汇总!J40</f>
        <v>10.1</v>
      </c>
      <c r="K11" s="350" t="s">
        <v>314</v>
      </c>
      <c r="L11" s="137" t="s">
        <v>308</v>
      </c>
      <c r="N11" s="199"/>
    </row>
    <row r="12" ht="162" spans="2:14">
      <c r="B12" s="324" t="s">
        <v>313</v>
      </c>
      <c r="C12" s="319">
        <f>价格汇总!C41</f>
        <v>2140</v>
      </c>
      <c r="D12" s="323" t="str">
        <f>价格汇总!D41</f>
        <v>100KG起收</v>
      </c>
      <c r="E12" s="323" t="str">
        <f>价格汇总!E41</f>
        <v>100KG起收</v>
      </c>
      <c r="F12" s="280">
        <f>价格汇总!F41</f>
        <v>10.7</v>
      </c>
      <c r="G12" s="319">
        <f>价格汇总!G41</f>
        <v>2060</v>
      </c>
      <c r="H12" s="323" t="str">
        <f>价格汇总!H41</f>
        <v>100KG起收</v>
      </c>
      <c r="I12" s="323" t="str">
        <f>价格汇总!I41</f>
        <v>100KG起收</v>
      </c>
      <c r="J12" s="280">
        <f>价格汇总!J41</f>
        <v>10.3</v>
      </c>
      <c r="K12" s="322" t="s">
        <v>328</v>
      </c>
      <c r="L12" s="137" t="s">
        <v>308</v>
      </c>
    </row>
    <row r="13" ht="101.25" spans="2:14">
      <c r="B13" s="325" t="s">
        <v>183</v>
      </c>
      <c r="C13" s="319">
        <f>价格汇总!C42</f>
        <v>2320</v>
      </c>
      <c r="D13" s="323" t="str">
        <f>价格汇总!D42</f>
        <v>100KG起收</v>
      </c>
      <c r="E13" s="323" t="str">
        <f>价格汇总!E42</f>
        <v>100KG起收</v>
      </c>
      <c r="F13" s="280">
        <f>价格汇总!F42</f>
        <v>11.6</v>
      </c>
      <c r="G13" s="319">
        <f>价格汇总!G42</f>
        <v>2240</v>
      </c>
      <c r="H13" s="323" t="str">
        <f>价格汇总!H42</f>
        <v>100KG起收</v>
      </c>
      <c r="I13" s="323" t="str">
        <f>价格汇总!I42</f>
        <v>100KG起收</v>
      </c>
      <c r="J13" s="280">
        <f>价格汇总!J42</f>
        <v>11.2</v>
      </c>
      <c r="K13" s="322" t="s">
        <v>328</v>
      </c>
      <c r="L13" s="137" t="s">
        <v>308</v>
      </c>
    </row>
    <row r="14" ht="121.5" spans="2:14">
      <c r="B14" s="324" t="s">
        <v>315</v>
      </c>
      <c r="C14" s="319">
        <f>价格汇总!C43</f>
        <v>2400</v>
      </c>
      <c r="D14" s="323" t="str">
        <f>价格汇总!D43</f>
        <v>100KG起收</v>
      </c>
      <c r="E14" s="323" t="str">
        <f>价格汇总!E43</f>
        <v>100KG起收</v>
      </c>
      <c r="F14" s="280">
        <f>价格汇总!F43</f>
        <v>12</v>
      </c>
      <c r="G14" s="319">
        <f>价格汇总!G43</f>
        <v>2320</v>
      </c>
      <c r="H14" s="323" t="str">
        <f>价格汇总!H43</f>
        <v>100KG起收</v>
      </c>
      <c r="I14" s="323" t="str">
        <f>价格汇总!I43</f>
        <v>100KG起收</v>
      </c>
      <c r="J14" s="280">
        <f>价格汇总!J43</f>
        <v>11.6</v>
      </c>
      <c r="K14" s="322" t="s">
        <v>328</v>
      </c>
      <c r="L14" s="137" t="s">
        <v>308</v>
      </c>
    </row>
    <row r="15" ht="42" spans="2:14">
      <c r="B15" s="234" t="s">
        <v>317</v>
      </c>
      <c r="C15" s="319">
        <f>价格汇总!C44</f>
        <v>1740</v>
      </c>
      <c r="D15" s="323" t="str">
        <f>价格汇总!D44</f>
        <v>——</v>
      </c>
      <c r="E15" s="323" t="str">
        <f>价格汇总!E44</f>
        <v>——</v>
      </c>
      <c r="F15" s="280">
        <f>价格汇总!F44</f>
        <v>8.7</v>
      </c>
      <c r="G15" s="319">
        <f>价格汇总!G44</f>
        <v>1660</v>
      </c>
      <c r="H15" s="323" t="str">
        <f>价格汇总!H44</f>
        <v>——</v>
      </c>
      <c r="I15" s="323" t="str">
        <f>价格汇总!I44</f>
        <v>——</v>
      </c>
      <c r="J15" s="280">
        <f>价格汇总!J44</f>
        <v>8.3</v>
      </c>
      <c r="K15" s="350" t="s">
        <v>329</v>
      </c>
      <c r="L15" s="137" t="s">
        <v>308</v>
      </c>
    </row>
    <row r="16" ht="28" customHeight="1" spans="2:14">
      <c r="B16" s="328" t="s">
        <v>318</v>
      </c>
      <c r="C16" s="329"/>
      <c r="D16" s="329"/>
      <c r="E16" s="329"/>
      <c r="F16" s="329"/>
      <c r="G16" s="329"/>
      <c r="H16" s="329"/>
      <c r="I16" s="329"/>
      <c r="J16" s="329"/>
      <c r="K16" s="329"/>
      <c r="L16" s="330"/>
    </row>
    <row r="17" ht="27" customHeight="1" spans="2:13">
      <c r="B17" s="240" t="s">
        <v>319</v>
      </c>
      <c r="C17" s="241"/>
      <c r="D17" s="241"/>
      <c r="E17" s="241"/>
      <c r="F17" s="241"/>
      <c r="G17" s="241"/>
      <c r="H17" s="241"/>
      <c r="I17" s="241"/>
      <c r="J17" s="241"/>
      <c r="K17" s="241"/>
      <c r="L17" s="331"/>
    </row>
    <row r="18" ht="28" customHeight="1" spans="2:13">
      <c r="B18" s="266" t="s">
        <v>320</v>
      </c>
      <c r="C18" s="267"/>
      <c r="D18" s="267"/>
      <c r="E18" s="267"/>
      <c r="F18" s="267"/>
      <c r="G18" s="267"/>
      <c r="H18" s="267"/>
      <c r="I18" s="267"/>
      <c r="J18" s="267"/>
      <c r="K18" s="267"/>
      <c r="L18" s="268"/>
      <c r="M18" s="217"/>
    </row>
    <row r="19" ht="30" customHeight="1" spans="2:13">
      <c r="B19" s="266"/>
      <c r="C19" s="267"/>
      <c r="D19" s="267"/>
      <c r="E19" s="267"/>
      <c r="F19" s="267"/>
      <c r="G19" s="267"/>
      <c r="H19" s="267"/>
      <c r="I19" s="267"/>
      <c r="J19" s="267"/>
      <c r="K19" s="267"/>
      <c r="L19" s="268"/>
      <c r="M19" s="217"/>
    </row>
    <row r="20" ht="21" customHeight="1" spans="2:13">
      <c r="B20" s="266"/>
      <c r="C20" s="267"/>
      <c r="D20" s="267"/>
      <c r="E20" s="267"/>
      <c r="F20" s="267"/>
      <c r="G20" s="267"/>
      <c r="H20" s="267"/>
      <c r="I20" s="267"/>
      <c r="J20" s="267"/>
      <c r="K20" s="267"/>
      <c r="L20" s="268"/>
      <c r="M20" s="217"/>
    </row>
    <row r="21" ht="51" customHeight="1" spans="2:13">
      <c r="B21" s="266"/>
      <c r="C21" s="267"/>
      <c r="D21" s="267"/>
      <c r="E21" s="267"/>
      <c r="F21" s="267"/>
      <c r="G21" s="267"/>
      <c r="H21" s="267"/>
      <c r="I21" s="267"/>
      <c r="J21" s="267"/>
      <c r="K21" s="267"/>
      <c r="L21" s="268"/>
      <c r="M21" s="217"/>
    </row>
    <row r="22" ht="29" customHeight="1" spans="2:13">
      <c r="B22" s="269" t="s">
        <v>321</v>
      </c>
      <c r="C22" s="270"/>
      <c r="D22" s="270"/>
      <c r="E22" s="270"/>
      <c r="F22" s="270"/>
      <c r="G22" s="270"/>
      <c r="H22" s="270"/>
      <c r="I22" s="270"/>
      <c r="J22" s="270"/>
      <c r="K22" s="270"/>
      <c r="L22" s="332"/>
      <c r="M22" s="217"/>
    </row>
    <row r="23" ht="22" customHeight="1" spans="2:13">
      <c r="B23" s="333" t="s">
        <v>330</v>
      </c>
      <c r="C23" s="334"/>
      <c r="D23" s="334"/>
      <c r="E23" s="334"/>
      <c r="F23" s="334"/>
      <c r="G23" s="334"/>
      <c r="H23" s="334"/>
      <c r="I23" s="334"/>
      <c r="J23" s="334"/>
      <c r="K23" s="334"/>
      <c r="L23" s="335"/>
    </row>
    <row r="24" ht="22" customHeight="1" spans="2:13">
      <c r="B24" s="336" t="s">
        <v>331</v>
      </c>
      <c r="C24" s="337"/>
      <c r="D24" s="337"/>
      <c r="E24" s="337"/>
      <c r="F24" s="337"/>
      <c r="G24" s="337"/>
      <c r="H24" s="337"/>
      <c r="I24" s="337"/>
      <c r="J24" s="337"/>
      <c r="K24" s="337"/>
      <c r="L24" s="338"/>
    </row>
    <row r="25" ht="29" customHeight="1" spans="2:13">
      <c r="B25" s="269" t="s">
        <v>323</v>
      </c>
      <c r="C25" s="270"/>
      <c r="D25" s="270"/>
      <c r="E25" s="270"/>
      <c r="F25" s="270"/>
      <c r="G25" s="270"/>
      <c r="H25" s="270"/>
      <c r="I25" s="270"/>
      <c r="J25" s="270"/>
      <c r="K25" s="270"/>
      <c r="L25" s="332"/>
    </row>
    <row r="26" ht="105" customHeight="1" spans="2:13">
      <c r="B26" s="266" t="s">
        <v>324</v>
      </c>
      <c r="C26" s="267"/>
      <c r="D26" s="267"/>
      <c r="E26" s="267"/>
      <c r="F26" s="267"/>
      <c r="G26" s="267"/>
      <c r="H26" s="267"/>
      <c r="I26" s="267"/>
      <c r="J26" s="267"/>
      <c r="K26" s="267"/>
      <c r="L26" s="268"/>
    </row>
  </sheetData>
  <mergeCells count="16">
    <mergeCell ref="B3:L3"/>
    <mergeCell ref="K4:L4"/>
    <mergeCell ref="C5:F5"/>
    <mergeCell ref="G5:J5"/>
    <mergeCell ref="B16:L16"/>
    <mergeCell ref="B17:L17"/>
    <mergeCell ref="B22:L22"/>
    <mergeCell ref="B23:L23"/>
    <mergeCell ref="B24:L24"/>
    <mergeCell ref="B25:L25"/>
    <mergeCell ref="B26:L26"/>
    <mergeCell ref="B5:B6"/>
    <mergeCell ref="K5:K6"/>
    <mergeCell ref="L5:L6"/>
    <mergeCell ref="B1:L2"/>
    <mergeCell ref="B18:L21"/>
  </mergeCells>
  <hyperlinks>
    <hyperlink ref="M5" location="目录!A1" display="返回主页"/>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M26"/>
  <sheetViews>
    <sheetView workbookViewId="0">
      <selection activeCell="B1" sqref="B1:L2"/>
    </sheetView>
  </sheetViews>
  <sheetFormatPr defaultColWidth="8.725" defaultRowHeight="16.5"/>
  <cols>
    <col min="1" max="1" width="5.25" style="170" customWidth="1"/>
    <col min="2" max="2" width="30.875" style="170" customWidth="1"/>
    <col min="3" max="10" width="16.375" style="170" customWidth="1"/>
    <col min="11" max="11" width="18.5083333333333" style="170" customWidth="1"/>
    <col min="12" max="12" width="22.75" style="170" customWidth="1"/>
    <col min="13" max="13" width="11.9083333333333" style="181" customWidth="1"/>
    <col min="14" max="16384" width="8.725" style="170"/>
  </cols>
  <sheetData>
    <row r="1" ht="18" customHeight="1" spans="2:13">
      <c r="B1" s="131" t="s">
        <v>332</v>
      </c>
      <c r="C1" s="131"/>
      <c r="D1" s="131"/>
      <c r="E1" s="131"/>
      <c r="F1" s="131"/>
      <c r="G1" s="131"/>
      <c r="H1" s="131"/>
      <c r="I1" s="131"/>
      <c r="J1" s="131"/>
      <c r="K1" s="131"/>
      <c r="L1" s="131"/>
    </row>
    <row r="2" ht="18" customHeight="1" spans="2:13">
      <c r="B2" s="131"/>
      <c r="C2" s="131"/>
      <c r="D2" s="131"/>
      <c r="E2" s="131"/>
      <c r="F2" s="131"/>
      <c r="G2" s="131"/>
      <c r="H2" s="131"/>
      <c r="I2" s="131"/>
      <c r="J2" s="131"/>
      <c r="K2" s="131"/>
      <c r="L2" s="131"/>
    </row>
    <row r="3" ht="83" customHeight="1" spans="2:13">
      <c r="B3" s="348" t="s">
        <v>333</v>
      </c>
      <c r="C3" s="349"/>
      <c r="D3" s="349"/>
      <c r="E3" s="349"/>
      <c r="F3" s="349"/>
      <c r="G3" s="349"/>
      <c r="H3" s="349"/>
      <c r="I3" s="349"/>
      <c r="J3" s="349"/>
      <c r="K3" s="349"/>
      <c r="L3" s="349"/>
    </row>
    <row r="4" ht="23" customHeight="1" spans="2:13">
      <c r="B4" s="184" t="s">
        <v>302</v>
      </c>
      <c r="J4" s="316"/>
      <c r="K4" s="184" t="s">
        <v>217</v>
      </c>
      <c r="L4" s="184"/>
    </row>
    <row r="5" ht="30" customHeight="1" spans="2:13">
      <c r="B5" s="317" t="s">
        <v>175</v>
      </c>
      <c r="C5" s="190" t="s">
        <v>134</v>
      </c>
      <c r="D5" s="190"/>
      <c r="E5" s="190"/>
      <c r="F5" s="190"/>
      <c r="G5" s="190" t="s">
        <v>135</v>
      </c>
      <c r="H5" s="190"/>
      <c r="I5" s="190"/>
      <c r="J5" s="190"/>
      <c r="K5" s="188" t="s">
        <v>136</v>
      </c>
      <c r="L5" s="229" t="s">
        <v>303</v>
      </c>
      <c r="M5" s="45" t="s">
        <v>222</v>
      </c>
    </row>
    <row r="6" ht="47" customHeight="1" spans="2:13">
      <c r="B6" s="318"/>
      <c r="C6" s="190" t="s">
        <v>137</v>
      </c>
      <c r="D6" s="190" t="s">
        <v>138</v>
      </c>
      <c r="E6" s="190" t="s">
        <v>139</v>
      </c>
      <c r="F6" s="190" t="s">
        <v>151</v>
      </c>
      <c r="G6" s="190" t="s">
        <v>137</v>
      </c>
      <c r="H6" s="190" t="s">
        <v>138</v>
      </c>
      <c r="I6" s="190" t="s">
        <v>139</v>
      </c>
      <c r="J6" s="190" t="s">
        <v>151</v>
      </c>
      <c r="K6" s="188"/>
      <c r="L6" s="230"/>
    </row>
    <row r="7" ht="60.75" spans="2:13">
      <c r="B7" s="257" t="s">
        <v>304</v>
      </c>
      <c r="C7" s="319">
        <f>价格汇总!C48</f>
        <v>1260</v>
      </c>
      <c r="D7" s="279">
        <f>价格汇总!D48</f>
        <v>7.3</v>
      </c>
      <c r="E7" s="279">
        <f>价格汇总!E48</f>
        <v>6.3</v>
      </c>
      <c r="F7" s="280">
        <f>价格汇总!F48</f>
        <v>6.3</v>
      </c>
      <c r="G7" s="319">
        <f>价格汇总!G48</f>
        <v>1180</v>
      </c>
      <c r="H7" s="279">
        <f>价格汇总!H48</f>
        <v>6.9</v>
      </c>
      <c r="I7" s="279">
        <f>价格汇总!I48</f>
        <v>5.9</v>
      </c>
      <c r="J7" s="280">
        <f>价格汇总!J48</f>
        <v>5.9</v>
      </c>
      <c r="K7" s="320" t="s">
        <v>312</v>
      </c>
      <c r="L7" s="339" t="s">
        <v>327</v>
      </c>
    </row>
    <row r="8" ht="40.5" spans="2:13">
      <c r="B8" s="257" t="s">
        <v>177</v>
      </c>
      <c r="C8" s="319">
        <f>价格汇总!C49</f>
        <v>1300</v>
      </c>
      <c r="D8" s="279">
        <f>价格汇总!D49</f>
        <v>7.5</v>
      </c>
      <c r="E8" s="279">
        <f>价格汇总!E49</f>
        <v>6.5</v>
      </c>
      <c r="F8" s="280">
        <f>价格汇总!F49</f>
        <v>6.5</v>
      </c>
      <c r="G8" s="319">
        <f>价格汇总!G49</f>
        <v>1220</v>
      </c>
      <c r="H8" s="279">
        <f>价格汇总!H49</f>
        <v>7.1</v>
      </c>
      <c r="I8" s="279">
        <f>价格汇总!I49</f>
        <v>6.1</v>
      </c>
      <c r="J8" s="280">
        <f>价格汇总!J49</f>
        <v>6.1</v>
      </c>
      <c r="K8" s="320" t="s">
        <v>312</v>
      </c>
      <c r="L8" s="321" t="s">
        <v>308</v>
      </c>
      <c r="M8" s="340"/>
    </row>
    <row r="9" ht="121.5" spans="2:13">
      <c r="B9" s="257" t="s">
        <v>309</v>
      </c>
      <c r="C9" s="319">
        <f>价格汇总!C50</f>
        <v>1360</v>
      </c>
      <c r="D9" s="279">
        <f>价格汇总!D50</f>
        <v>7.8</v>
      </c>
      <c r="E9" s="279">
        <f>价格汇总!E50</f>
        <v>6.8</v>
      </c>
      <c r="F9" s="280">
        <f>价格汇总!F50</f>
        <v>6.8</v>
      </c>
      <c r="G9" s="319">
        <f>价格汇总!G50</f>
        <v>1280</v>
      </c>
      <c r="H9" s="279">
        <f>价格汇总!H50</f>
        <v>7.4</v>
      </c>
      <c r="I9" s="279">
        <f>价格汇总!I50</f>
        <v>6.4</v>
      </c>
      <c r="J9" s="280">
        <f>价格汇总!J50</f>
        <v>6.4</v>
      </c>
      <c r="K9" s="320" t="s">
        <v>312</v>
      </c>
      <c r="L9" s="339" t="s">
        <v>334</v>
      </c>
    </row>
    <row r="10" ht="20.25" spans="2:13">
      <c r="B10" s="257" t="s">
        <v>179</v>
      </c>
      <c r="C10" s="319">
        <f>价格汇总!C51</f>
        <v>1520</v>
      </c>
      <c r="D10" s="279">
        <f>价格汇总!D51</f>
        <v>8.6</v>
      </c>
      <c r="E10" s="279">
        <f>价格汇总!E51</f>
        <v>7.6</v>
      </c>
      <c r="F10" s="280">
        <f>价格汇总!F51</f>
        <v>7.6</v>
      </c>
      <c r="G10" s="319">
        <f>价格汇总!G51</f>
        <v>1440</v>
      </c>
      <c r="H10" s="279">
        <f>价格汇总!H51</f>
        <v>8.2</v>
      </c>
      <c r="I10" s="279">
        <f>价格汇总!I51</f>
        <v>7.2</v>
      </c>
      <c r="J10" s="280">
        <f>价格汇总!J51</f>
        <v>7.2</v>
      </c>
      <c r="K10" s="350" t="s">
        <v>314</v>
      </c>
      <c r="L10" s="137" t="s">
        <v>308</v>
      </c>
    </row>
    <row r="11" ht="141.75" spans="2:13">
      <c r="B11" s="257" t="s">
        <v>311</v>
      </c>
      <c r="C11" s="319">
        <f>价格汇总!C52</f>
        <v>1620</v>
      </c>
      <c r="D11" s="323" t="str">
        <f>价格汇总!D52</f>
        <v>100KG起收</v>
      </c>
      <c r="E11" s="323" t="str">
        <f>价格汇总!E52</f>
        <v>100KG起收</v>
      </c>
      <c r="F11" s="280">
        <f>价格汇总!F52</f>
        <v>8.1</v>
      </c>
      <c r="G11" s="319">
        <f>价格汇总!G52</f>
        <v>1540</v>
      </c>
      <c r="H11" s="323" t="str">
        <f>价格汇总!H52</f>
        <v>100KG起收</v>
      </c>
      <c r="I11" s="323" t="str">
        <f>价格汇总!I52</f>
        <v>100KG起收</v>
      </c>
      <c r="J11" s="280">
        <f>价格汇总!J52</f>
        <v>7.7</v>
      </c>
      <c r="K11" s="350" t="s">
        <v>314</v>
      </c>
      <c r="L11" s="137" t="s">
        <v>308</v>
      </c>
    </row>
    <row r="12" ht="162" spans="2:13">
      <c r="B12" s="324" t="s">
        <v>313</v>
      </c>
      <c r="C12" s="319">
        <f>价格汇总!C53</f>
        <v>1660</v>
      </c>
      <c r="D12" s="323" t="str">
        <f>价格汇总!D53</f>
        <v>100KG起收</v>
      </c>
      <c r="E12" s="323" t="str">
        <f>价格汇总!E53</f>
        <v>100KG起收</v>
      </c>
      <c r="F12" s="280">
        <f>价格汇总!F53</f>
        <v>8.3</v>
      </c>
      <c r="G12" s="319">
        <f>价格汇总!G53</f>
        <v>1580</v>
      </c>
      <c r="H12" s="323" t="str">
        <f>价格汇总!H53</f>
        <v>100KG起收</v>
      </c>
      <c r="I12" s="323" t="str">
        <f>价格汇总!I53</f>
        <v>100KG起收</v>
      </c>
      <c r="J12" s="280">
        <f>价格汇总!J53</f>
        <v>7.9</v>
      </c>
      <c r="K12" s="322" t="s">
        <v>328</v>
      </c>
      <c r="L12" s="137" t="s">
        <v>308</v>
      </c>
    </row>
    <row r="13" ht="101.25" spans="2:13">
      <c r="B13" s="325" t="s">
        <v>183</v>
      </c>
      <c r="C13" s="319">
        <f>价格汇总!C54</f>
        <v>1840</v>
      </c>
      <c r="D13" s="323" t="str">
        <f>价格汇总!D54</f>
        <v>100KG起收</v>
      </c>
      <c r="E13" s="323" t="str">
        <f>价格汇总!E54</f>
        <v>100KG起收</v>
      </c>
      <c r="F13" s="280">
        <f>价格汇总!F54</f>
        <v>9.2</v>
      </c>
      <c r="G13" s="319">
        <f>价格汇总!G54</f>
        <v>1760</v>
      </c>
      <c r="H13" s="323" t="str">
        <f>价格汇总!H54</f>
        <v>100KG起收</v>
      </c>
      <c r="I13" s="323" t="str">
        <f>价格汇总!I54</f>
        <v>100KG起收</v>
      </c>
      <c r="J13" s="280">
        <f>价格汇总!J54</f>
        <v>8.8</v>
      </c>
      <c r="K13" s="322" t="s">
        <v>328</v>
      </c>
      <c r="L13" s="137" t="s">
        <v>308</v>
      </c>
    </row>
    <row r="14" ht="121.5" spans="2:13">
      <c r="B14" s="324" t="s">
        <v>315</v>
      </c>
      <c r="C14" s="319">
        <f>价格汇总!C55</f>
        <v>1920</v>
      </c>
      <c r="D14" s="323" t="str">
        <f>价格汇总!D55</f>
        <v>100KG起收</v>
      </c>
      <c r="E14" s="323" t="str">
        <f>价格汇总!E55</f>
        <v>100KG起收</v>
      </c>
      <c r="F14" s="280">
        <f>价格汇总!F55</f>
        <v>9.6</v>
      </c>
      <c r="G14" s="319">
        <f>价格汇总!G55</f>
        <v>1840</v>
      </c>
      <c r="H14" s="323" t="str">
        <f>价格汇总!H55</f>
        <v>100KG起收</v>
      </c>
      <c r="I14" s="323" t="str">
        <f>价格汇总!I55</f>
        <v>100KG起收</v>
      </c>
      <c r="J14" s="280">
        <f>价格汇总!J55</f>
        <v>9.2</v>
      </c>
      <c r="K14" s="322" t="s">
        <v>328</v>
      </c>
      <c r="L14" s="137" t="s">
        <v>308</v>
      </c>
    </row>
    <row r="15" ht="48" customHeight="1" spans="2:13">
      <c r="B15" s="234" t="s">
        <v>317</v>
      </c>
      <c r="C15" s="319">
        <f>价格汇总!C56</f>
        <v>1260</v>
      </c>
      <c r="D15" s="323" t="str">
        <f>价格汇总!D56</f>
        <v>——</v>
      </c>
      <c r="E15" s="323" t="str">
        <f>价格汇总!E56</f>
        <v>——</v>
      </c>
      <c r="F15" s="280">
        <f>价格汇总!F56</f>
        <v>6.3</v>
      </c>
      <c r="G15" s="319">
        <f>价格汇总!G56</f>
        <v>1180</v>
      </c>
      <c r="H15" s="323" t="str">
        <f>价格汇总!H56</f>
        <v>——</v>
      </c>
      <c r="I15" s="323" t="str">
        <f>价格汇总!I56</f>
        <v>——</v>
      </c>
      <c r="J15" s="280">
        <f>价格汇总!J56</f>
        <v>5.9</v>
      </c>
      <c r="K15" s="327" t="s">
        <v>307</v>
      </c>
      <c r="L15" s="137" t="s">
        <v>308</v>
      </c>
    </row>
    <row r="16" ht="28" customHeight="1" spans="2:13">
      <c r="B16" s="328" t="s">
        <v>318</v>
      </c>
      <c r="C16" s="329"/>
      <c r="D16" s="329"/>
      <c r="E16" s="329"/>
      <c r="F16" s="329"/>
      <c r="G16" s="329"/>
      <c r="H16" s="329"/>
      <c r="I16" s="329"/>
      <c r="J16" s="329"/>
      <c r="K16" s="329"/>
      <c r="L16" s="330"/>
    </row>
    <row r="17" ht="27" customHeight="1" spans="2:13">
      <c r="B17" s="240" t="s">
        <v>319</v>
      </c>
      <c r="C17" s="241"/>
      <c r="D17" s="241"/>
      <c r="E17" s="241"/>
      <c r="F17" s="241"/>
      <c r="G17" s="241"/>
      <c r="H17" s="241"/>
      <c r="I17" s="241"/>
      <c r="J17" s="241"/>
      <c r="K17" s="241"/>
      <c r="L17" s="331"/>
    </row>
    <row r="18" ht="28" customHeight="1" spans="2:13">
      <c r="B18" s="266" t="s">
        <v>320</v>
      </c>
      <c r="C18" s="267"/>
      <c r="D18" s="267"/>
      <c r="E18" s="267"/>
      <c r="F18" s="267"/>
      <c r="G18" s="267"/>
      <c r="H18" s="267"/>
      <c r="I18" s="267"/>
      <c r="J18" s="267"/>
      <c r="K18" s="267"/>
      <c r="L18" s="268"/>
      <c r="M18" s="217"/>
    </row>
    <row r="19" ht="30" customHeight="1" spans="2:13">
      <c r="B19" s="266"/>
      <c r="C19" s="267"/>
      <c r="D19" s="267"/>
      <c r="E19" s="267"/>
      <c r="F19" s="267"/>
      <c r="G19" s="267"/>
      <c r="H19" s="267"/>
      <c r="I19" s="267"/>
      <c r="J19" s="267"/>
      <c r="K19" s="267"/>
      <c r="L19" s="268"/>
      <c r="M19" s="217"/>
    </row>
    <row r="20" ht="21" customHeight="1" spans="2:13">
      <c r="B20" s="266"/>
      <c r="C20" s="267"/>
      <c r="D20" s="267"/>
      <c r="E20" s="267"/>
      <c r="F20" s="267"/>
      <c r="G20" s="267"/>
      <c r="H20" s="267"/>
      <c r="I20" s="267"/>
      <c r="J20" s="267"/>
      <c r="K20" s="267"/>
      <c r="L20" s="268"/>
      <c r="M20" s="217"/>
    </row>
    <row r="21" ht="51" customHeight="1" spans="2:13">
      <c r="B21" s="266"/>
      <c r="C21" s="267"/>
      <c r="D21" s="267"/>
      <c r="E21" s="267"/>
      <c r="F21" s="267"/>
      <c r="G21" s="267"/>
      <c r="H21" s="267"/>
      <c r="I21" s="267"/>
      <c r="J21" s="267"/>
      <c r="K21" s="267"/>
      <c r="L21" s="268"/>
      <c r="M21" s="217"/>
    </row>
    <row r="22" ht="29" customHeight="1" spans="2:13">
      <c r="B22" s="269" t="s">
        <v>321</v>
      </c>
      <c r="C22" s="270"/>
      <c r="D22" s="270"/>
      <c r="E22" s="270"/>
      <c r="F22" s="270"/>
      <c r="G22" s="270"/>
      <c r="H22" s="270"/>
      <c r="I22" s="270"/>
      <c r="J22" s="270"/>
      <c r="K22" s="270"/>
      <c r="L22" s="332"/>
      <c r="M22" s="217"/>
    </row>
    <row r="23" ht="22" customHeight="1" spans="2:13">
      <c r="B23" s="333" t="s">
        <v>330</v>
      </c>
      <c r="C23" s="334"/>
      <c r="D23" s="334"/>
      <c r="E23" s="334"/>
      <c r="F23" s="334"/>
      <c r="G23" s="334"/>
      <c r="H23" s="334"/>
      <c r="I23" s="334"/>
      <c r="J23" s="334"/>
      <c r="K23" s="334"/>
      <c r="L23" s="335"/>
    </row>
    <row r="24" ht="22" customHeight="1" spans="2:13">
      <c r="B24" s="336" t="s">
        <v>331</v>
      </c>
      <c r="C24" s="337"/>
      <c r="D24" s="337"/>
      <c r="E24" s="337"/>
      <c r="F24" s="337"/>
      <c r="G24" s="337"/>
      <c r="H24" s="337"/>
      <c r="I24" s="337"/>
      <c r="J24" s="337"/>
      <c r="K24" s="337"/>
      <c r="L24" s="338"/>
    </row>
    <row r="25" ht="29" customHeight="1" spans="2:13">
      <c r="B25" s="269" t="s">
        <v>323</v>
      </c>
      <c r="C25" s="270"/>
      <c r="D25" s="270"/>
      <c r="E25" s="270"/>
      <c r="F25" s="270"/>
      <c r="G25" s="270"/>
      <c r="H25" s="270"/>
      <c r="I25" s="270"/>
      <c r="J25" s="270"/>
      <c r="K25" s="270"/>
      <c r="L25" s="332"/>
    </row>
    <row r="26" ht="108" customHeight="1" spans="2:13">
      <c r="B26" s="266" t="s">
        <v>324</v>
      </c>
      <c r="C26" s="267"/>
      <c r="D26" s="267"/>
      <c r="E26" s="267"/>
      <c r="F26" s="267"/>
      <c r="G26" s="267"/>
      <c r="H26" s="267"/>
      <c r="I26" s="267"/>
      <c r="J26" s="267"/>
      <c r="K26" s="267"/>
      <c r="L26" s="268"/>
    </row>
  </sheetData>
  <mergeCells count="16">
    <mergeCell ref="B3:L3"/>
    <mergeCell ref="K4:L4"/>
    <mergeCell ref="C5:F5"/>
    <mergeCell ref="G5:J5"/>
    <mergeCell ref="B16:L16"/>
    <mergeCell ref="B17:L17"/>
    <mergeCell ref="B22:L22"/>
    <mergeCell ref="B23:L23"/>
    <mergeCell ref="B24:L24"/>
    <mergeCell ref="B25:L25"/>
    <mergeCell ref="B26:L26"/>
    <mergeCell ref="B5:B6"/>
    <mergeCell ref="K5:K6"/>
    <mergeCell ref="L5:L6"/>
    <mergeCell ref="B1:L2"/>
    <mergeCell ref="B18:L21"/>
  </mergeCells>
  <hyperlinks>
    <hyperlink ref="M5" location="目录!A1" display="返回主页"/>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M26"/>
  <sheetViews>
    <sheetView workbookViewId="0">
      <selection activeCell="M7" sqref="M7"/>
    </sheetView>
  </sheetViews>
  <sheetFormatPr defaultColWidth="8.725" defaultRowHeight="16.5"/>
  <cols>
    <col min="1" max="1" width="5.25" style="170" customWidth="1"/>
    <col min="2" max="2" width="35" style="170" customWidth="1"/>
    <col min="3" max="10" width="16.375" style="170" customWidth="1"/>
    <col min="11" max="11" width="18.5083333333333" style="170" customWidth="1"/>
    <col min="12" max="12" width="22.75" style="170" customWidth="1"/>
    <col min="13" max="13" width="11.9083333333333" style="181" customWidth="1"/>
    <col min="14" max="16384" width="8.725" style="170"/>
  </cols>
  <sheetData>
    <row r="1" s="170" customFormat="1" ht="18" customHeight="1" spans="2:13">
      <c r="B1" s="131" t="s">
        <v>335</v>
      </c>
      <c r="C1" s="131"/>
      <c r="D1" s="131"/>
      <c r="E1" s="131"/>
      <c r="F1" s="131"/>
      <c r="G1" s="131"/>
      <c r="H1" s="131"/>
      <c r="I1" s="131"/>
      <c r="J1" s="131"/>
      <c r="K1" s="131"/>
      <c r="L1" s="131"/>
      <c r="M1" s="181"/>
    </row>
    <row r="2" s="170" customFormat="1" ht="18" customHeight="1" spans="2:13">
      <c r="B2" s="131"/>
      <c r="C2" s="131"/>
      <c r="D2" s="131"/>
      <c r="E2" s="131"/>
      <c r="F2" s="131"/>
      <c r="G2" s="131"/>
      <c r="H2" s="131"/>
      <c r="I2" s="131"/>
      <c r="J2" s="131"/>
      <c r="K2" s="131"/>
      <c r="L2" s="131"/>
      <c r="M2" s="181"/>
    </row>
    <row r="3" s="170" customFormat="1" ht="45" customHeight="1" spans="2:13">
      <c r="B3" s="314" t="s">
        <v>336</v>
      </c>
      <c r="C3" s="315"/>
      <c r="D3" s="315"/>
      <c r="E3" s="315"/>
      <c r="F3" s="315"/>
      <c r="G3" s="315"/>
      <c r="H3" s="315"/>
      <c r="I3" s="315"/>
      <c r="J3" s="315"/>
      <c r="K3" s="315"/>
      <c r="L3" s="315"/>
      <c r="M3" s="181"/>
    </row>
    <row r="4" s="170" customFormat="1" ht="23" customHeight="1" spans="2:13">
      <c r="B4" s="184" t="s">
        <v>302</v>
      </c>
      <c r="J4" s="316"/>
      <c r="K4" s="184" t="s">
        <v>217</v>
      </c>
      <c r="L4" s="184"/>
      <c r="M4" s="181"/>
    </row>
    <row r="5" s="170" customFormat="1" ht="30" customHeight="1" spans="2:13">
      <c r="B5" s="317" t="s">
        <v>175</v>
      </c>
      <c r="C5" s="190" t="s">
        <v>337</v>
      </c>
      <c r="D5" s="190"/>
      <c r="E5" s="190"/>
      <c r="F5" s="190"/>
      <c r="G5" s="190" t="s">
        <v>338</v>
      </c>
      <c r="H5" s="190"/>
      <c r="I5" s="190"/>
      <c r="J5" s="190"/>
      <c r="K5" s="188" t="s">
        <v>136</v>
      </c>
      <c r="L5" s="229" t="s">
        <v>303</v>
      </c>
      <c r="M5" s="45" t="s">
        <v>222</v>
      </c>
    </row>
    <row r="6" s="170" customFormat="1" ht="45" customHeight="1" spans="2:13">
      <c r="B6" s="318"/>
      <c r="C6" s="190" t="s">
        <v>137</v>
      </c>
      <c r="D6" s="190" t="s">
        <v>138</v>
      </c>
      <c r="E6" s="190" t="s">
        <v>139</v>
      </c>
      <c r="F6" s="190" t="s">
        <v>151</v>
      </c>
      <c r="G6" s="190" t="s">
        <v>137</v>
      </c>
      <c r="H6" s="190" t="s">
        <v>138</v>
      </c>
      <c r="I6" s="190" t="s">
        <v>139</v>
      </c>
      <c r="J6" s="190" t="s">
        <v>151</v>
      </c>
      <c r="K6" s="188"/>
      <c r="L6" s="230"/>
      <c r="M6" s="181"/>
    </row>
    <row r="7" s="170" customFormat="1" ht="60.75" spans="2:13">
      <c r="B7" s="257" t="s">
        <v>304</v>
      </c>
      <c r="C7" s="319">
        <f>价格汇总!C60</f>
        <v>1060</v>
      </c>
      <c r="D7" s="279">
        <f>价格汇总!D60</f>
        <v>6.3</v>
      </c>
      <c r="E7" s="279">
        <f>价格汇总!E60</f>
        <v>5.3</v>
      </c>
      <c r="F7" s="280">
        <f>价格汇总!F60</f>
        <v>5.3</v>
      </c>
      <c r="G7" s="319">
        <f>价格汇总!G60</f>
        <v>1060</v>
      </c>
      <c r="H7" s="279">
        <f>价格汇总!H60</f>
        <v>6.3</v>
      </c>
      <c r="I7" s="279">
        <f>价格汇总!I60</f>
        <v>5.3</v>
      </c>
      <c r="J7" s="280">
        <f>价格汇总!J60</f>
        <v>5.3</v>
      </c>
      <c r="K7" s="320" t="s">
        <v>316</v>
      </c>
      <c r="L7" s="339" t="s">
        <v>327</v>
      </c>
      <c r="M7" s="181"/>
    </row>
    <row r="8" s="170" customFormat="1" ht="40.5" spans="2:13">
      <c r="B8" s="257" t="s">
        <v>177</v>
      </c>
      <c r="C8" s="319">
        <f>价格汇总!C61</f>
        <v>1100</v>
      </c>
      <c r="D8" s="279">
        <f>价格汇总!D61</f>
        <v>6.5</v>
      </c>
      <c r="E8" s="279">
        <f>价格汇总!E61</f>
        <v>5.5</v>
      </c>
      <c r="F8" s="280">
        <f>价格汇总!F61</f>
        <v>5.5</v>
      </c>
      <c r="G8" s="319">
        <f>价格汇总!G61</f>
        <v>1100</v>
      </c>
      <c r="H8" s="279">
        <f>价格汇总!H61</f>
        <v>6.5</v>
      </c>
      <c r="I8" s="279">
        <f>价格汇总!I61</f>
        <v>5.5</v>
      </c>
      <c r="J8" s="280">
        <f>价格汇总!J61</f>
        <v>5.5</v>
      </c>
      <c r="K8" s="320" t="s">
        <v>316</v>
      </c>
      <c r="L8" s="321" t="s">
        <v>308</v>
      </c>
      <c r="M8" s="181"/>
    </row>
    <row r="9" s="170" customFormat="1" ht="121.5" spans="2:13">
      <c r="B9" s="257" t="s">
        <v>309</v>
      </c>
      <c r="C9" s="319">
        <f>价格汇总!C62</f>
        <v>1160</v>
      </c>
      <c r="D9" s="279">
        <f>价格汇总!D62</f>
        <v>6.8</v>
      </c>
      <c r="E9" s="279">
        <f>价格汇总!E62</f>
        <v>5.8</v>
      </c>
      <c r="F9" s="280">
        <f>价格汇总!F62</f>
        <v>5.8</v>
      </c>
      <c r="G9" s="319">
        <f>价格汇总!G62</f>
        <v>1160</v>
      </c>
      <c r="H9" s="279">
        <f>价格汇总!H62</f>
        <v>6.8</v>
      </c>
      <c r="I9" s="279">
        <f>价格汇总!I62</f>
        <v>5.8</v>
      </c>
      <c r="J9" s="280">
        <f>价格汇总!J62</f>
        <v>5.8</v>
      </c>
      <c r="K9" s="320" t="s">
        <v>339</v>
      </c>
      <c r="L9" s="339" t="s">
        <v>334</v>
      </c>
      <c r="M9" s="181"/>
    </row>
    <row r="10" s="170" customFormat="1" ht="20.25" spans="2:13">
      <c r="B10" s="257" t="s">
        <v>179</v>
      </c>
      <c r="C10" s="319">
        <f>价格汇总!C63</f>
        <v>1320</v>
      </c>
      <c r="D10" s="279">
        <f>价格汇总!D63</f>
        <v>7.6</v>
      </c>
      <c r="E10" s="279">
        <f>价格汇总!E63</f>
        <v>6.6</v>
      </c>
      <c r="F10" s="280">
        <f>价格汇总!F63</f>
        <v>6.6</v>
      </c>
      <c r="G10" s="319">
        <f>价格汇总!G63</f>
        <v>1320</v>
      </c>
      <c r="H10" s="279">
        <f>价格汇总!H63</f>
        <v>7.6</v>
      </c>
      <c r="I10" s="279">
        <f>价格汇总!I63</f>
        <v>6.6</v>
      </c>
      <c r="J10" s="280">
        <f>价格汇总!J63</f>
        <v>6.6</v>
      </c>
      <c r="K10" s="322" t="s">
        <v>339</v>
      </c>
      <c r="L10" s="137" t="s">
        <v>308</v>
      </c>
      <c r="M10" s="181"/>
    </row>
    <row r="11" s="170" customFormat="1" ht="101.25" spans="2:13">
      <c r="B11" s="257" t="s">
        <v>311</v>
      </c>
      <c r="C11" s="319">
        <f>价格汇总!C64</f>
        <v>1420</v>
      </c>
      <c r="D11" s="323" t="str">
        <f>价格汇总!D64</f>
        <v>100KG起收</v>
      </c>
      <c r="E11" s="323" t="str">
        <f>价格汇总!E64</f>
        <v>100KG起收</v>
      </c>
      <c r="F11" s="280">
        <f>价格汇总!F64</f>
        <v>7.1</v>
      </c>
      <c r="G11" s="319">
        <f>价格汇总!G64</f>
        <v>1420</v>
      </c>
      <c r="H11" s="323" t="str">
        <f>价格汇总!H64</f>
        <v>100KG起收</v>
      </c>
      <c r="I11" s="323" t="str">
        <f>价格汇总!I64</f>
        <v>100KG起收</v>
      </c>
      <c r="J11" s="280">
        <f>价格汇总!J64</f>
        <v>7.1</v>
      </c>
      <c r="K11" s="322" t="s">
        <v>339</v>
      </c>
      <c r="L11" s="137" t="s">
        <v>308</v>
      </c>
      <c r="M11" s="181"/>
    </row>
    <row r="12" s="170" customFormat="1" ht="121.5" spans="2:13">
      <c r="B12" s="324" t="s">
        <v>313</v>
      </c>
      <c r="C12" s="319">
        <f>价格汇总!C65</f>
        <v>1460</v>
      </c>
      <c r="D12" s="323" t="str">
        <f>价格汇总!D65</f>
        <v>100KG起收</v>
      </c>
      <c r="E12" s="323" t="str">
        <f>价格汇总!E65</f>
        <v>100KG起收</v>
      </c>
      <c r="F12" s="280">
        <f>价格汇总!F65</f>
        <v>7.3</v>
      </c>
      <c r="G12" s="319">
        <f>价格汇总!G65</f>
        <v>1460</v>
      </c>
      <c r="H12" s="323" t="str">
        <f>价格汇总!H65</f>
        <v>100KG起收</v>
      </c>
      <c r="I12" s="323" t="str">
        <f>价格汇总!I65</f>
        <v>100KG起收</v>
      </c>
      <c r="J12" s="280">
        <f>价格汇总!J65</f>
        <v>7.3</v>
      </c>
      <c r="K12" s="322" t="s">
        <v>339</v>
      </c>
      <c r="L12" s="137" t="s">
        <v>308</v>
      </c>
      <c r="M12" s="181"/>
    </row>
    <row r="13" s="170" customFormat="1" ht="81" spans="2:13">
      <c r="B13" s="325" t="s">
        <v>183</v>
      </c>
      <c r="C13" s="319">
        <f>价格汇总!C66</f>
        <v>1640</v>
      </c>
      <c r="D13" s="323" t="str">
        <f>价格汇总!D66</f>
        <v>100KG起收</v>
      </c>
      <c r="E13" s="323" t="str">
        <f>价格汇总!E66</f>
        <v>100KG起收</v>
      </c>
      <c r="F13" s="280">
        <f>价格汇总!F66</f>
        <v>8.2</v>
      </c>
      <c r="G13" s="319">
        <f>价格汇总!G66</f>
        <v>1640</v>
      </c>
      <c r="H13" s="323" t="str">
        <f>价格汇总!H66</f>
        <v>100KG起收</v>
      </c>
      <c r="I13" s="323" t="str">
        <f>价格汇总!I66</f>
        <v>100KG起收</v>
      </c>
      <c r="J13" s="280">
        <f>价格汇总!J66</f>
        <v>8.2</v>
      </c>
      <c r="K13" s="322" t="s">
        <v>339</v>
      </c>
      <c r="L13" s="137" t="s">
        <v>308</v>
      </c>
      <c r="M13" s="181"/>
    </row>
    <row r="14" s="170" customFormat="1" ht="101.25" spans="2:13">
      <c r="B14" s="324" t="s">
        <v>315</v>
      </c>
      <c r="C14" s="319">
        <f>价格汇总!C67</f>
        <v>1720</v>
      </c>
      <c r="D14" s="323" t="str">
        <f>价格汇总!D67</f>
        <v>100KG起收</v>
      </c>
      <c r="E14" s="323" t="str">
        <f>价格汇总!E67</f>
        <v>100KG起收</v>
      </c>
      <c r="F14" s="280">
        <f>价格汇总!F67</f>
        <v>8.6</v>
      </c>
      <c r="G14" s="319">
        <f>价格汇总!G67</f>
        <v>1720</v>
      </c>
      <c r="H14" s="323" t="str">
        <f>价格汇总!H67</f>
        <v>100KG起收</v>
      </c>
      <c r="I14" s="323" t="str">
        <f>价格汇总!I67</f>
        <v>100KG起收</v>
      </c>
      <c r="J14" s="280">
        <f>价格汇总!J67</f>
        <v>8.6</v>
      </c>
      <c r="K14" s="322" t="s">
        <v>339</v>
      </c>
      <c r="L14" s="137" t="s">
        <v>308</v>
      </c>
      <c r="M14" s="181"/>
    </row>
    <row r="15" s="170" customFormat="1" ht="48" customHeight="1" spans="2:13">
      <c r="B15" s="234" t="s">
        <v>317</v>
      </c>
      <c r="C15" s="319">
        <f>价格汇总!C68</f>
        <v>1060</v>
      </c>
      <c r="D15" s="323" t="str">
        <f>价格汇总!D68</f>
        <v>——</v>
      </c>
      <c r="E15" s="323" t="str">
        <f>价格汇总!E68</f>
        <v>——</v>
      </c>
      <c r="F15" s="280">
        <f>价格汇总!F68</f>
        <v>5.3</v>
      </c>
      <c r="G15" s="319">
        <f>价格汇总!G68</f>
        <v>1060</v>
      </c>
      <c r="H15" s="323" t="str">
        <f>价格汇总!H68</f>
        <v>——</v>
      </c>
      <c r="I15" s="323" t="str">
        <f>价格汇总!I68</f>
        <v>——</v>
      </c>
      <c r="J15" s="280">
        <f>价格汇总!J68</f>
        <v>5.3</v>
      </c>
      <c r="K15" s="327" t="s">
        <v>340</v>
      </c>
      <c r="L15" s="137" t="s">
        <v>308</v>
      </c>
      <c r="M15" s="181"/>
    </row>
    <row r="16" s="170" customFormat="1" ht="28" customHeight="1" spans="2:13">
      <c r="B16" s="328" t="s">
        <v>318</v>
      </c>
      <c r="C16" s="329"/>
      <c r="D16" s="329"/>
      <c r="E16" s="329"/>
      <c r="F16" s="329"/>
      <c r="G16" s="329"/>
      <c r="H16" s="329"/>
      <c r="I16" s="329"/>
      <c r="J16" s="329"/>
      <c r="K16" s="329"/>
      <c r="L16" s="330"/>
      <c r="M16" s="181"/>
    </row>
    <row r="17" s="170" customFormat="1" ht="27" customHeight="1" spans="2:13">
      <c r="B17" s="240" t="s">
        <v>319</v>
      </c>
      <c r="C17" s="241"/>
      <c r="D17" s="241"/>
      <c r="E17" s="241"/>
      <c r="F17" s="241"/>
      <c r="G17" s="241"/>
      <c r="H17" s="241"/>
      <c r="I17" s="241"/>
      <c r="J17" s="241"/>
      <c r="K17" s="241"/>
      <c r="L17" s="331"/>
      <c r="M17" s="181"/>
    </row>
    <row r="18" s="170" customFormat="1" ht="28" customHeight="1" spans="2:13">
      <c r="B18" s="266" t="s">
        <v>320</v>
      </c>
      <c r="C18" s="267"/>
      <c r="D18" s="267"/>
      <c r="E18" s="267"/>
      <c r="F18" s="267"/>
      <c r="G18" s="267"/>
      <c r="H18" s="267"/>
      <c r="I18" s="267"/>
      <c r="J18" s="267"/>
      <c r="K18" s="267"/>
      <c r="L18" s="268"/>
      <c r="M18" s="217"/>
    </row>
    <row r="19" s="170" customFormat="1" ht="30" customHeight="1" spans="2:13">
      <c r="B19" s="266"/>
      <c r="C19" s="267"/>
      <c r="D19" s="267"/>
      <c r="E19" s="267"/>
      <c r="F19" s="267"/>
      <c r="G19" s="267"/>
      <c r="H19" s="267"/>
      <c r="I19" s="267"/>
      <c r="J19" s="267"/>
      <c r="K19" s="267"/>
      <c r="L19" s="268"/>
      <c r="M19" s="217"/>
    </row>
    <row r="20" s="170" customFormat="1" ht="21" customHeight="1" spans="2:13">
      <c r="B20" s="266"/>
      <c r="C20" s="267"/>
      <c r="D20" s="267"/>
      <c r="E20" s="267"/>
      <c r="F20" s="267"/>
      <c r="G20" s="267"/>
      <c r="H20" s="267"/>
      <c r="I20" s="267"/>
      <c r="J20" s="267"/>
      <c r="K20" s="267"/>
      <c r="L20" s="268"/>
      <c r="M20" s="217"/>
    </row>
    <row r="21" s="170" customFormat="1" ht="51" customHeight="1" spans="2:13">
      <c r="B21" s="266"/>
      <c r="C21" s="267"/>
      <c r="D21" s="267"/>
      <c r="E21" s="267"/>
      <c r="F21" s="267"/>
      <c r="G21" s="267"/>
      <c r="H21" s="267"/>
      <c r="I21" s="267"/>
      <c r="J21" s="267"/>
      <c r="K21" s="267"/>
      <c r="L21" s="268"/>
      <c r="M21" s="217"/>
    </row>
    <row r="22" s="170" customFormat="1" ht="29" customHeight="1" spans="2:13">
      <c r="B22" s="269" t="s">
        <v>321</v>
      </c>
      <c r="C22" s="270"/>
      <c r="D22" s="270"/>
      <c r="E22" s="270"/>
      <c r="F22" s="270"/>
      <c r="G22" s="270"/>
      <c r="H22" s="270"/>
      <c r="I22" s="270"/>
      <c r="J22" s="270"/>
      <c r="K22" s="270"/>
      <c r="L22" s="332"/>
      <c r="M22" s="217"/>
    </row>
    <row r="23" s="170" customFormat="1" ht="22" customHeight="1" spans="2:13">
      <c r="B23" s="333" t="s">
        <v>330</v>
      </c>
      <c r="C23" s="334"/>
      <c r="D23" s="334"/>
      <c r="E23" s="334"/>
      <c r="F23" s="334"/>
      <c r="G23" s="334"/>
      <c r="H23" s="334"/>
      <c r="I23" s="334"/>
      <c r="J23" s="334"/>
      <c r="K23" s="334"/>
      <c r="L23" s="335"/>
      <c r="M23" s="181"/>
    </row>
    <row r="24" s="170" customFormat="1" ht="22" customHeight="1" spans="2:13">
      <c r="B24" s="336" t="s">
        <v>331</v>
      </c>
      <c r="C24" s="337"/>
      <c r="D24" s="337"/>
      <c r="E24" s="337"/>
      <c r="F24" s="337"/>
      <c r="G24" s="337"/>
      <c r="H24" s="337"/>
      <c r="I24" s="337"/>
      <c r="J24" s="337"/>
      <c r="K24" s="337"/>
      <c r="L24" s="338"/>
      <c r="M24" s="181"/>
    </row>
    <row r="25" s="170" customFormat="1" ht="29" customHeight="1" spans="2:13">
      <c r="B25" s="269" t="s">
        <v>323</v>
      </c>
      <c r="C25" s="270"/>
      <c r="D25" s="270"/>
      <c r="E25" s="270"/>
      <c r="F25" s="270"/>
      <c r="G25" s="270"/>
      <c r="H25" s="270"/>
      <c r="I25" s="270"/>
      <c r="J25" s="270"/>
      <c r="K25" s="270"/>
      <c r="L25" s="332"/>
      <c r="M25" s="181"/>
    </row>
    <row r="26" s="170" customFormat="1" ht="105" customHeight="1" spans="2:13">
      <c r="B26" s="266" t="s">
        <v>341</v>
      </c>
      <c r="C26" s="267"/>
      <c r="D26" s="267"/>
      <c r="E26" s="267"/>
      <c r="F26" s="267"/>
      <c r="G26" s="267"/>
      <c r="H26" s="267"/>
      <c r="I26" s="267"/>
      <c r="J26" s="267"/>
      <c r="K26" s="267"/>
      <c r="L26" s="268"/>
      <c r="M26" s="181"/>
    </row>
  </sheetData>
  <mergeCells count="16">
    <mergeCell ref="B3:L3"/>
    <mergeCell ref="K4:L4"/>
    <mergeCell ref="C5:F5"/>
    <mergeCell ref="G5:J5"/>
    <mergeCell ref="B16:L16"/>
    <mergeCell ref="B17:L17"/>
    <mergeCell ref="B22:L22"/>
    <mergeCell ref="B23:L23"/>
    <mergeCell ref="B24:L24"/>
    <mergeCell ref="B25:L25"/>
    <mergeCell ref="B26:L26"/>
    <mergeCell ref="B5:B6"/>
    <mergeCell ref="K5:K6"/>
    <mergeCell ref="L5:L6"/>
    <mergeCell ref="B1:L2"/>
    <mergeCell ref="B18:L21"/>
  </mergeCells>
  <hyperlinks>
    <hyperlink ref="M5" location="目录!A1" display="返回主页"/>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B1:L25"/>
  <sheetViews>
    <sheetView workbookViewId="0">
      <selection activeCell="E12" sqref="E12"/>
    </sheetView>
  </sheetViews>
  <sheetFormatPr defaultColWidth="8.725" defaultRowHeight="16.5"/>
  <cols>
    <col min="1" max="1" width="5.25" style="170" customWidth="1"/>
    <col min="2" max="2" width="35" style="170" customWidth="1"/>
    <col min="3" max="8" width="16.375" style="170" customWidth="1"/>
    <col min="9" max="9" width="18.5083333333333" style="170" customWidth="1"/>
    <col min="10" max="10" width="22.75" style="170" customWidth="1"/>
    <col min="11" max="11" width="11.9083333333333" style="181" customWidth="1"/>
    <col min="12" max="16384" width="8.725" style="170"/>
  </cols>
  <sheetData>
    <row r="1" s="170" customFormat="1" ht="18" customHeight="1" spans="2:12">
      <c r="B1" s="131" t="s">
        <v>342</v>
      </c>
      <c r="C1" s="131"/>
      <c r="D1" s="131"/>
      <c r="E1" s="131"/>
      <c r="F1" s="131"/>
      <c r="G1" s="131"/>
      <c r="H1" s="131"/>
      <c r="I1" s="131"/>
      <c r="J1" s="131"/>
      <c r="K1" s="181"/>
    </row>
    <row r="2" s="170" customFormat="1" ht="18" customHeight="1" spans="2:12">
      <c r="B2" s="131"/>
      <c r="C2" s="131"/>
      <c r="D2" s="131"/>
      <c r="E2" s="131"/>
      <c r="F2" s="131"/>
      <c r="G2" s="131"/>
      <c r="H2" s="131"/>
      <c r="I2" s="131"/>
      <c r="J2" s="131"/>
      <c r="K2" s="181"/>
    </row>
    <row r="3" s="170" customFormat="1" ht="45" customHeight="1" spans="2:12">
      <c r="B3" s="314" t="s">
        <v>343</v>
      </c>
      <c r="C3" s="315"/>
      <c r="D3" s="315"/>
      <c r="E3" s="315"/>
      <c r="F3" s="315"/>
      <c r="G3" s="315"/>
      <c r="H3" s="315"/>
      <c r="I3" s="315"/>
      <c r="J3" s="315"/>
      <c r="K3" s="181"/>
    </row>
    <row r="4" s="170" customFormat="1" ht="23" customHeight="1" spans="2:12">
      <c r="B4" s="184" t="s">
        <v>302</v>
      </c>
      <c r="H4" s="316"/>
      <c r="I4" s="184" t="s">
        <v>217</v>
      </c>
      <c r="J4" s="184"/>
      <c r="K4" s="181"/>
    </row>
    <row r="5" s="170" customFormat="1" ht="30" customHeight="1" spans="2:12">
      <c r="B5" s="317" t="s">
        <v>175</v>
      </c>
      <c r="C5" s="190" t="s">
        <v>337</v>
      </c>
      <c r="D5" s="190"/>
      <c r="E5" s="190"/>
      <c r="F5" s="190" t="s">
        <v>338</v>
      </c>
      <c r="G5" s="190"/>
      <c r="H5" s="190"/>
      <c r="I5" s="188" t="s">
        <v>136</v>
      </c>
      <c r="J5" s="229" t="s">
        <v>303</v>
      </c>
      <c r="K5" s="45" t="s">
        <v>222</v>
      </c>
    </row>
    <row r="6" s="170" customFormat="1" ht="45" customHeight="1" spans="2:12">
      <c r="B6" s="318"/>
      <c r="C6" s="190" t="s">
        <v>138</v>
      </c>
      <c r="D6" s="190" t="s">
        <v>139</v>
      </c>
      <c r="E6" s="190" t="s">
        <v>151</v>
      </c>
      <c r="F6" s="190" t="s">
        <v>138</v>
      </c>
      <c r="G6" s="190" t="s">
        <v>139</v>
      </c>
      <c r="H6" s="190" t="s">
        <v>151</v>
      </c>
      <c r="I6" s="188"/>
      <c r="J6" s="230"/>
      <c r="K6" s="181"/>
    </row>
    <row r="7" s="170" customFormat="1" ht="60.75" spans="2:12">
      <c r="B7" s="257" t="s">
        <v>304</v>
      </c>
      <c r="C7" s="279">
        <f>价格汇总!D73</f>
        <v>7.6</v>
      </c>
      <c r="D7" s="279">
        <f>价格汇总!E73</f>
        <v>6.6</v>
      </c>
      <c r="E7" s="280">
        <f>价格汇总!F73</f>
        <v>6.6</v>
      </c>
      <c r="F7" s="279">
        <f>价格汇总!H73</f>
        <v>7.6</v>
      </c>
      <c r="G7" s="279">
        <f>价格汇总!I73</f>
        <v>6.6</v>
      </c>
      <c r="H7" s="280">
        <f>价格汇总!J73</f>
        <v>6.6</v>
      </c>
      <c r="I7" s="320" t="s">
        <v>316</v>
      </c>
      <c r="J7" s="339" t="s">
        <v>327</v>
      </c>
      <c r="K7" s="181"/>
    </row>
    <row r="8" s="170" customFormat="1" ht="40.5" spans="2:12">
      <c r="B8" s="257" t="s">
        <v>177</v>
      </c>
      <c r="C8" s="279">
        <f>价格汇总!D74</f>
        <v>7.8</v>
      </c>
      <c r="D8" s="279">
        <f>价格汇总!E74</f>
        <v>6.8</v>
      </c>
      <c r="E8" s="280">
        <f>价格汇总!F74</f>
        <v>6.8</v>
      </c>
      <c r="F8" s="279">
        <f>价格汇总!H74</f>
        <v>7.8</v>
      </c>
      <c r="G8" s="279">
        <f>价格汇总!I74</f>
        <v>6.8</v>
      </c>
      <c r="H8" s="280">
        <f>价格汇总!J74</f>
        <v>6.8</v>
      </c>
      <c r="I8" s="320" t="s">
        <v>316</v>
      </c>
      <c r="J8" s="321" t="s">
        <v>308</v>
      </c>
      <c r="K8" s="181"/>
    </row>
    <row r="9" s="170" customFormat="1" ht="121.5" spans="2:12">
      <c r="B9" s="257" t="s">
        <v>309</v>
      </c>
      <c r="C9" s="279">
        <f>价格汇总!D75</f>
        <v>8.1</v>
      </c>
      <c r="D9" s="279">
        <f>价格汇总!E75</f>
        <v>7.1</v>
      </c>
      <c r="E9" s="280">
        <f>价格汇总!F75</f>
        <v>7.1</v>
      </c>
      <c r="F9" s="279">
        <f>价格汇总!H75</f>
        <v>8.1</v>
      </c>
      <c r="G9" s="279">
        <f>价格汇总!I75</f>
        <v>7.1</v>
      </c>
      <c r="H9" s="280">
        <f>价格汇总!J75</f>
        <v>7.1</v>
      </c>
      <c r="I9" s="320" t="s">
        <v>339</v>
      </c>
      <c r="J9" s="339" t="s">
        <v>334</v>
      </c>
      <c r="K9" s="181"/>
      <c r="L9" s="341"/>
    </row>
    <row r="10" s="170" customFormat="1" ht="20.25" spans="2:12">
      <c r="B10" s="257" t="s">
        <v>179</v>
      </c>
      <c r="C10" s="279">
        <f>价格汇总!D76</f>
        <v>8.9</v>
      </c>
      <c r="D10" s="279">
        <f>价格汇总!E76</f>
        <v>7.9</v>
      </c>
      <c r="E10" s="280">
        <f>价格汇总!F76</f>
        <v>7.9</v>
      </c>
      <c r="F10" s="279">
        <f>价格汇总!H76</f>
        <v>8.9</v>
      </c>
      <c r="G10" s="279">
        <f>价格汇总!I76</f>
        <v>7.9</v>
      </c>
      <c r="H10" s="280">
        <f>价格汇总!J76</f>
        <v>7.9</v>
      </c>
      <c r="I10" s="322" t="s">
        <v>339</v>
      </c>
      <c r="J10" s="137" t="s">
        <v>308</v>
      </c>
      <c r="K10" s="181"/>
    </row>
    <row r="11" s="170" customFormat="1" ht="101.25" spans="2:12">
      <c r="B11" s="257" t="s">
        <v>311</v>
      </c>
      <c r="C11" s="285" t="str">
        <f>价格汇总!D77</f>
        <v>100KG起收</v>
      </c>
      <c r="D11" s="285" t="str">
        <f>价格汇总!E77</f>
        <v>100KG起收</v>
      </c>
      <c r="E11" s="280">
        <f>价格汇总!F77</f>
        <v>8.4</v>
      </c>
      <c r="F11" s="285" t="str">
        <f>价格汇总!H77</f>
        <v>100KG起收</v>
      </c>
      <c r="G11" s="285" t="str">
        <f>价格汇总!I77</f>
        <v>100KG起收</v>
      </c>
      <c r="H11" s="280">
        <f>价格汇总!J77</f>
        <v>8.4</v>
      </c>
      <c r="I11" s="322" t="s">
        <v>339</v>
      </c>
      <c r="J11" s="137" t="s">
        <v>308</v>
      </c>
      <c r="K11" s="181"/>
    </row>
    <row r="12" s="170" customFormat="1" ht="121.5" spans="2:12">
      <c r="B12" s="324" t="s">
        <v>313</v>
      </c>
      <c r="C12" s="285" t="str">
        <f>价格汇总!D78</f>
        <v>100KG起收</v>
      </c>
      <c r="D12" s="285" t="str">
        <f>价格汇总!E78</f>
        <v>100KG起收</v>
      </c>
      <c r="E12" s="280">
        <f>价格汇总!F78</f>
        <v>8.6</v>
      </c>
      <c r="F12" s="285" t="str">
        <f>价格汇总!H78</f>
        <v>100KG起收</v>
      </c>
      <c r="G12" s="285" t="str">
        <f>价格汇总!I78</f>
        <v>100KG起收</v>
      </c>
      <c r="H12" s="280">
        <f>价格汇总!J78</f>
        <v>8.6</v>
      </c>
      <c r="I12" s="322" t="s">
        <v>339</v>
      </c>
      <c r="J12" s="137" t="s">
        <v>308</v>
      </c>
      <c r="K12" s="181"/>
    </row>
    <row r="13" s="170" customFormat="1" ht="81" spans="2:12">
      <c r="B13" s="325" t="s">
        <v>183</v>
      </c>
      <c r="C13" s="285" t="str">
        <f>价格汇总!D79</f>
        <v>100KG起收</v>
      </c>
      <c r="D13" s="285" t="str">
        <f>价格汇总!E79</f>
        <v>100KG起收</v>
      </c>
      <c r="E13" s="280">
        <f>价格汇总!F79</f>
        <v>9.5</v>
      </c>
      <c r="F13" s="285" t="str">
        <f>价格汇总!H79</f>
        <v>100KG起收</v>
      </c>
      <c r="G13" s="285" t="str">
        <f>价格汇总!I79</f>
        <v>100KG起收</v>
      </c>
      <c r="H13" s="280">
        <f>价格汇总!J79</f>
        <v>9.5</v>
      </c>
      <c r="I13" s="322" t="s">
        <v>339</v>
      </c>
      <c r="J13" s="137" t="s">
        <v>308</v>
      </c>
      <c r="K13" s="181"/>
    </row>
    <row r="14" s="170" customFormat="1" ht="101.25" spans="2:12">
      <c r="B14" s="324" t="s">
        <v>315</v>
      </c>
      <c r="C14" s="285" t="str">
        <f>价格汇总!D80</f>
        <v>100KG起收</v>
      </c>
      <c r="D14" s="285" t="str">
        <f>价格汇总!E80</f>
        <v>100KG起收</v>
      </c>
      <c r="E14" s="280">
        <f>价格汇总!F80</f>
        <v>9.9</v>
      </c>
      <c r="F14" s="285" t="str">
        <f>价格汇总!H80</f>
        <v>100KG起收</v>
      </c>
      <c r="G14" s="285" t="str">
        <f>价格汇总!I80</f>
        <v>100KG起收</v>
      </c>
      <c r="H14" s="280">
        <f>价格汇总!J80</f>
        <v>9.9</v>
      </c>
      <c r="I14" s="322" t="s">
        <v>339</v>
      </c>
      <c r="J14" s="137" t="s">
        <v>308</v>
      </c>
      <c r="K14" s="181"/>
    </row>
    <row r="15" s="170" customFormat="1" ht="48" customHeight="1" spans="2:12">
      <c r="B15" s="234" t="s">
        <v>317</v>
      </c>
      <c r="C15" s="285" t="str">
        <f>价格汇总!D81</f>
        <v>——</v>
      </c>
      <c r="D15" s="285" t="str">
        <f>价格汇总!E81</f>
        <v>——</v>
      </c>
      <c r="E15" s="280">
        <f>价格汇总!F81</f>
        <v>6.6</v>
      </c>
      <c r="F15" s="285" t="str">
        <f>价格汇总!H81</f>
        <v>——</v>
      </c>
      <c r="G15" s="285" t="str">
        <f>价格汇总!I81</f>
        <v>——</v>
      </c>
      <c r="H15" s="280">
        <f>价格汇总!J81</f>
        <v>6.6</v>
      </c>
      <c r="I15" s="327" t="s">
        <v>340</v>
      </c>
      <c r="J15" s="137" t="s">
        <v>308</v>
      </c>
      <c r="K15" s="181"/>
    </row>
    <row r="16" s="170" customFormat="1" ht="46" customHeight="1" spans="2:12">
      <c r="B16" s="342" t="s">
        <v>344</v>
      </c>
      <c r="C16" s="343"/>
      <c r="D16" s="343"/>
      <c r="E16" s="343"/>
      <c r="F16" s="343"/>
      <c r="G16" s="343"/>
      <c r="H16" s="343"/>
      <c r="I16" s="343"/>
      <c r="J16" s="344"/>
      <c r="K16" s="181"/>
    </row>
    <row r="17" s="170" customFormat="1" ht="60" customHeight="1" spans="2:11">
      <c r="B17" s="345" t="s">
        <v>345</v>
      </c>
      <c r="C17" s="346"/>
      <c r="D17" s="346"/>
      <c r="E17" s="346"/>
      <c r="F17" s="346"/>
      <c r="G17" s="346"/>
      <c r="H17" s="346"/>
      <c r="I17" s="346"/>
      <c r="J17" s="347"/>
      <c r="K17" s="217"/>
    </row>
    <row r="18" s="170" customFormat="1" ht="60" customHeight="1" spans="2:11">
      <c r="B18" s="345" t="s">
        <v>346</v>
      </c>
      <c r="C18" s="346"/>
      <c r="D18" s="346"/>
      <c r="E18" s="346"/>
      <c r="F18" s="346"/>
      <c r="G18" s="346"/>
      <c r="H18" s="346"/>
      <c r="I18" s="346"/>
      <c r="J18" s="347"/>
      <c r="K18" s="217"/>
    </row>
    <row r="19" s="170" customFormat="1" ht="60" customHeight="1" spans="2:11">
      <c r="B19" s="345" t="s">
        <v>347</v>
      </c>
      <c r="C19" s="346"/>
      <c r="D19" s="346"/>
      <c r="E19" s="346"/>
      <c r="F19" s="346"/>
      <c r="G19" s="346"/>
      <c r="H19" s="346"/>
      <c r="I19" s="346"/>
      <c r="J19" s="347"/>
      <c r="K19" s="217"/>
    </row>
    <row r="20" s="170" customFormat="1" ht="60" customHeight="1" spans="2:11">
      <c r="B20" s="345" t="s">
        <v>348</v>
      </c>
      <c r="C20" s="346"/>
      <c r="D20" s="346"/>
      <c r="E20" s="346"/>
      <c r="F20" s="346"/>
      <c r="G20" s="346"/>
      <c r="H20" s="346"/>
      <c r="I20" s="346"/>
      <c r="J20" s="347"/>
      <c r="K20" s="217"/>
    </row>
    <row r="21" s="170" customFormat="1" ht="29" customHeight="1" spans="2:11">
      <c r="B21" s="269" t="s">
        <v>321</v>
      </c>
      <c r="C21" s="270"/>
      <c r="D21" s="270"/>
      <c r="E21" s="270"/>
      <c r="F21" s="270"/>
      <c r="G21" s="270"/>
      <c r="H21" s="270"/>
      <c r="I21" s="270"/>
      <c r="J21" s="332"/>
      <c r="K21" s="217"/>
    </row>
    <row r="22" s="170" customFormat="1" ht="22" customHeight="1" spans="2:11">
      <c r="B22" s="333" t="s">
        <v>330</v>
      </c>
      <c r="C22" s="334"/>
      <c r="D22" s="334"/>
      <c r="E22" s="334"/>
      <c r="F22" s="334"/>
      <c r="G22" s="334"/>
      <c r="H22" s="334"/>
      <c r="I22" s="334"/>
      <c r="J22" s="335"/>
      <c r="K22" s="181"/>
    </row>
    <row r="23" s="170" customFormat="1" ht="22" customHeight="1" spans="2:11">
      <c r="B23" s="336" t="s">
        <v>331</v>
      </c>
      <c r="C23" s="337"/>
      <c r="D23" s="337"/>
      <c r="E23" s="337"/>
      <c r="F23" s="337"/>
      <c r="G23" s="337"/>
      <c r="H23" s="337"/>
      <c r="I23" s="337"/>
      <c r="J23" s="338"/>
      <c r="K23" s="181"/>
    </row>
    <row r="24" s="170" customFormat="1" ht="29" customHeight="1" spans="2:11">
      <c r="B24" s="269" t="s">
        <v>323</v>
      </c>
      <c r="C24" s="270"/>
      <c r="D24" s="270"/>
      <c r="E24" s="270"/>
      <c r="F24" s="270"/>
      <c r="G24" s="270"/>
      <c r="H24" s="270"/>
      <c r="I24" s="270"/>
      <c r="J24" s="332"/>
      <c r="K24" s="181"/>
    </row>
    <row r="25" s="170" customFormat="1" ht="105" customHeight="1" spans="2:11">
      <c r="B25" s="266" t="s">
        <v>341</v>
      </c>
      <c r="C25" s="267"/>
      <c r="D25" s="267"/>
      <c r="E25" s="267"/>
      <c r="F25" s="267"/>
      <c r="G25" s="267"/>
      <c r="H25" s="267"/>
      <c r="I25" s="267"/>
      <c r="J25" s="268"/>
      <c r="K25" s="181"/>
    </row>
  </sheetData>
  <mergeCells count="18">
    <mergeCell ref="B3:J3"/>
    <mergeCell ref="I4:J4"/>
    <mergeCell ref="C5:E5"/>
    <mergeCell ref="F5:H5"/>
    <mergeCell ref="B16:J16"/>
    <mergeCell ref="B17:J17"/>
    <mergeCell ref="B18:J18"/>
    <mergeCell ref="B19:J19"/>
    <mergeCell ref="B20:J20"/>
    <mergeCell ref="B21:J21"/>
    <mergeCell ref="B22:J22"/>
    <mergeCell ref="B23:J23"/>
    <mergeCell ref="B24:J24"/>
    <mergeCell ref="B25:J25"/>
    <mergeCell ref="B5:B6"/>
    <mergeCell ref="I5:I6"/>
    <mergeCell ref="J5:J6"/>
    <mergeCell ref="B1:J2"/>
  </mergeCells>
  <hyperlinks>
    <hyperlink ref="K5" location="目录!A1" display="返回主页"/>
  </hyperlink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M26"/>
  <sheetViews>
    <sheetView workbookViewId="0">
      <selection activeCell="B1" sqref="B1:L2"/>
    </sheetView>
  </sheetViews>
  <sheetFormatPr defaultColWidth="9" defaultRowHeight="16.5"/>
  <cols>
    <col min="1" max="1" width="5.25" style="170" customWidth="1"/>
    <col min="2" max="2" width="35" style="170" customWidth="1"/>
    <col min="3" max="10" width="16.375" style="170" customWidth="1"/>
    <col min="11" max="11" width="18.5083333333333" style="170" customWidth="1"/>
    <col min="12" max="12" width="22.75" style="170" customWidth="1"/>
    <col min="13" max="13" width="11.9083333333333" style="181" customWidth="1"/>
  </cols>
  <sheetData>
    <row r="1" spans="2:13">
      <c r="B1" s="131" t="s">
        <v>349</v>
      </c>
      <c r="C1" s="131"/>
      <c r="D1" s="131"/>
      <c r="E1" s="131"/>
      <c r="F1" s="131"/>
      <c r="G1" s="131"/>
      <c r="H1" s="131"/>
      <c r="I1" s="131"/>
      <c r="J1" s="131"/>
      <c r="K1" s="131"/>
      <c r="L1" s="131"/>
    </row>
    <row r="2" spans="2:13">
      <c r="B2" s="131"/>
      <c r="C2" s="131"/>
      <c r="D2" s="131"/>
      <c r="E2" s="131"/>
      <c r="F2" s="131"/>
      <c r="G2" s="131"/>
      <c r="H2" s="131"/>
      <c r="I2" s="131"/>
      <c r="J2" s="131"/>
      <c r="K2" s="131"/>
      <c r="L2" s="131"/>
    </row>
    <row r="3" ht="42" customHeight="1" spans="2:13">
      <c r="B3" s="314" t="s">
        <v>350</v>
      </c>
      <c r="C3" s="315"/>
      <c r="D3" s="315"/>
      <c r="E3" s="315"/>
      <c r="F3" s="315"/>
      <c r="G3" s="315"/>
      <c r="H3" s="315"/>
      <c r="I3" s="315"/>
      <c r="J3" s="315"/>
      <c r="K3" s="315"/>
      <c r="L3" s="315"/>
    </row>
    <row r="4" spans="2:13">
      <c r="B4" s="184" t="s">
        <v>302</v>
      </c>
      <c r="J4" s="316"/>
      <c r="K4" s="184" t="s">
        <v>217</v>
      </c>
      <c r="L4" s="184"/>
    </row>
    <row r="5" ht="18" spans="2:13">
      <c r="B5" s="317" t="s">
        <v>175</v>
      </c>
      <c r="C5" s="190" t="s">
        <v>134</v>
      </c>
      <c r="D5" s="190"/>
      <c r="E5" s="190"/>
      <c r="F5" s="190"/>
      <c r="G5" s="190" t="s">
        <v>135</v>
      </c>
      <c r="H5" s="190"/>
      <c r="I5" s="190"/>
      <c r="J5" s="190"/>
      <c r="K5" s="188" t="s">
        <v>136</v>
      </c>
      <c r="L5" s="229" t="s">
        <v>303</v>
      </c>
      <c r="M5" s="45" t="s">
        <v>222</v>
      </c>
    </row>
    <row r="6" ht="36" spans="2:13">
      <c r="B6" s="318"/>
      <c r="C6" s="190" t="s">
        <v>137</v>
      </c>
      <c r="D6" s="190" t="s">
        <v>138</v>
      </c>
      <c r="E6" s="190" t="s">
        <v>139</v>
      </c>
      <c r="F6" s="190" t="s">
        <v>151</v>
      </c>
      <c r="G6" s="190" t="s">
        <v>137</v>
      </c>
      <c r="H6" s="190" t="s">
        <v>138</v>
      </c>
      <c r="I6" s="190" t="s">
        <v>139</v>
      </c>
      <c r="J6" s="190" t="s">
        <v>151</v>
      </c>
      <c r="K6" s="188"/>
      <c r="L6" s="230"/>
    </row>
    <row r="7" ht="60.75" spans="2:13">
      <c r="B7" s="257" t="s">
        <v>304</v>
      </c>
      <c r="C7" s="313">
        <f>价格汇总!C86</f>
        <v>1120</v>
      </c>
      <c r="D7" s="279">
        <f>价格汇总!D86</f>
        <v>6.6</v>
      </c>
      <c r="E7" s="279">
        <f>价格汇总!E86</f>
        <v>5.6</v>
      </c>
      <c r="F7" s="280">
        <f>价格汇总!F86</f>
        <v>5.6</v>
      </c>
      <c r="G7" s="313">
        <f>价格汇总!G86</f>
        <v>1060</v>
      </c>
      <c r="H7" s="279">
        <f>价格汇总!H86</f>
        <v>6.3</v>
      </c>
      <c r="I7" s="279">
        <f>价格汇总!I86</f>
        <v>5.3</v>
      </c>
      <c r="J7" s="280">
        <f>价格汇总!J86</f>
        <v>5.3</v>
      </c>
      <c r="K7" s="320" t="s">
        <v>316</v>
      </c>
      <c r="L7" s="339" t="s">
        <v>327</v>
      </c>
    </row>
    <row r="8" ht="40.5" spans="2:13">
      <c r="B8" s="257" t="s">
        <v>177</v>
      </c>
      <c r="C8" s="313">
        <f>价格汇总!C87</f>
        <v>1160</v>
      </c>
      <c r="D8" s="279">
        <f>价格汇总!D87</f>
        <v>6.8</v>
      </c>
      <c r="E8" s="279">
        <f>价格汇总!E87</f>
        <v>5.8</v>
      </c>
      <c r="F8" s="280">
        <f>价格汇总!F87</f>
        <v>5.8</v>
      </c>
      <c r="G8" s="313">
        <f>价格汇总!G87</f>
        <v>1100</v>
      </c>
      <c r="H8" s="279">
        <f>价格汇总!H87</f>
        <v>6.5</v>
      </c>
      <c r="I8" s="279">
        <f>价格汇总!I87</f>
        <v>5.5</v>
      </c>
      <c r="J8" s="280">
        <f>价格汇总!J87</f>
        <v>5.5</v>
      </c>
      <c r="K8" s="320" t="s">
        <v>316</v>
      </c>
      <c r="L8" s="321" t="s">
        <v>308</v>
      </c>
    </row>
    <row r="9" ht="121.5" spans="2:13">
      <c r="B9" s="257" t="s">
        <v>309</v>
      </c>
      <c r="C9" s="313">
        <f>价格汇总!C88</f>
        <v>1220</v>
      </c>
      <c r="D9" s="279">
        <f>价格汇总!D88</f>
        <v>7.1</v>
      </c>
      <c r="E9" s="279">
        <f>价格汇总!E88</f>
        <v>6.1</v>
      </c>
      <c r="F9" s="280">
        <f>价格汇总!F88</f>
        <v>6.1</v>
      </c>
      <c r="G9" s="313">
        <f>价格汇总!G88</f>
        <v>1160</v>
      </c>
      <c r="H9" s="279">
        <f>价格汇总!H88</f>
        <v>6.8</v>
      </c>
      <c r="I9" s="279">
        <f>价格汇总!I88</f>
        <v>5.8</v>
      </c>
      <c r="J9" s="280">
        <f>价格汇总!J88</f>
        <v>5.8</v>
      </c>
      <c r="K9" s="320" t="s">
        <v>339</v>
      </c>
      <c r="L9" s="339" t="s">
        <v>334</v>
      </c>
      <c r="M9" s="340"/>
    </row>
    <row r="10" ht="20.25" spans="2:13">
      <c r="B10" s="257" t="s">
        <v>179</v>
      </c>
      <c r="C10" s="313">
        <f>价格汇总!C89</f>
        <v>1380</v>
      </c>
      <c r="D10" s="279">
        <f>价格汇总!D89</f>
        <v>7.9</v>
      </c>
      <c r="E10" s="279">
        <f>价格汇总!E89</f>
        <v>6.9</v>
      </c>
      <c r="F10" s="280">
        <f>价格汇总!F89</f>
        <v>6.9</v>
      </c>
      <c r="G10" s="313">
        <f>价格汇总!G89</f>
        <v>1320</v>
      </c>
      <c r="H10" s="279">
        <f>价格汇总!H89</f>
        <v>7.6</v>
      </c>
      <c r="I10" s="279">
        <f>价格汇总!I89</f>
        <v>6.6</v>
      </c>
      <c r="J10" s="280">
        <f>价格汇总!J89</f>
        <v>6.6</v>
      </c>
      <c r="K10" s="322" t="s">
        <v>339</v>
      </c>
      <c r="L10" s="137" t="s">
        <v>308</v>
      </c>
    </row>
    <row r="11" ht="101.25" spans="2:13">
      <c r="B11" s="257" t="s">
        <v>311</v>
      </c>
      <c r="C11" s="313">
        <f>价格汇总!C90</f>
        <v>1480</v>
      </c>
      <c r="D11" s="285" t="str">
        <f>价格汇总!D90</f>
        <v>100KG起收</v>
      </c>
      <c r="E11" s="285" t="str">
        <f>价格汇总!E90</f>
        <v>100KG起收</v>
      </c>
      <c r="F11" s="280">
        <f>价格汇总!F90</f>
        <v>7.4</v>
      </c>
      <c r="G11" s="313">
        <f>价格汇总!G90</f>
        <v>1420</v>
      </c>
      <c r="H11" s="285" t="str">
        <f>价格汇总!H90</f>
        <v>100KG起收</v>
      </c>
      <c r="I11" s="285" t="str">
        <f>价格汇总!I90</f>
        <v>100KG起收</v>
      </c>
      <c r="J11" s="280">
        <f>价格汇总!J90</f>
        <v>7.1</v>
      </c>
      <c r="K11" s="322" t="s">
        <v>339</v>
      </c>
      <c r="L11" s="137" t="s">
        <v>308</v>
      </c>
    </row>
    <row r="12" ht="121.5" spans="2:13">
      <c r="B12" s="324" t="s">
        <v>313</v>
      </c>
      <c r="C12" s="313">
        <f>价格汇总!C91</f>
        <v>1520</v>
      </c>
      <c r="D12" s="285" t="str">
        <f>价格汇总!D91</f>
        <v>100KG起收</v>
      </c>
      <c r="E12" s="285" t="str">
        <f>价格汇总!E91</f>
        <v>100KG起收</v>
      </c>
      <c r="F12" s="280">
        <f>价格汇总!F91</f>
        <v>7.6</v>
      </c>
      <c r="G12" s="313">
        <f>价格汇总!G91</f>
        <v>1460</v>
      </c>
      <c r="H12" s="285" t="str">
        <f>价格汇总!H91</f>
        <v>100KG起收</v>
      </c>
      <c r="I12" s="285" t="str">
        <f>价格汇总!I91</f>
        <v>100KG起收</v>
      </c>
      <c r="J12" s="280">
        <f>价格汇总!J91</f>
        <v>7.3</v>
      </c>
      <c r="K12" s="322" t="s">
        <v>339</v>
      </c>
      <c r="L12" s="137" t="s">
        <v>308</v>
      </c>
    </row>
    <row r="13" ht="81" spans="2:13">
      <c r="B13" s="325" t="s">
        <v>183</v>
      </c>
      <c r="C13" s="313">
        <f>价格汇总!C92</f>
        <v>1700</v>
      </c>
      <c r="D13" s="285" t="str">
        <f>价格汇总!D92</f>
        <v>100KG起收</v>
      </c>
      <c r="E13" s="285" t="str">
        <f>价格汇总!E92</f>
        <v>100KG起收</v>
      </c>
      <c r="F13" s="280">
        <f>价格汇总!F92</f>
        <v>8.5</v>
      </c>
      <c r="G13" s="313">
        <f>价格汇总!G92</f>
        <v>1640</v>
      </c>
      <c r="H13" s="285" t="str">
        <f>价格汇总!H92</f>
        <v>100KG起收</v>
      </c>
      <c r="I13" s="285" t="str">
        <f>价格汇总!I92</f>
        <v>100KG起收</v>
      </c>
      <c r="J13" s="280">
        <f>价格汇总!J92</f>
        <v>8.2</v>
      </c>
      <c r="K13" s="322" t="s">
        <v>339</v>
      </c>
      <c r="L13" s="137" t="s">
        <v>308</v>
      </c>
    </row>
    <row r="14" ht="101.25" spans="2:13">
      <c r="B14" s="324" t="s">
        <v>315</v>
      </c>
      <c r="C14" s="313">
        <f>价格汇总!C93</f>
        <v>1780</v>
      </c>
      <c r="D14" s="285" t="str">
        <f>价格汇总!D93</f>
        <v>100KG起收</v>
      </c>
      <c r="E14" s="285" t="str">
        <f>价格汇总!E93</f>
        <v>100KG起收</v>
      </c>
      <c r="F14" s="280">
        <f>价格汇总!F93</f>
        <v>8.9</v>
      </c>
      <c r="G14" s="313">
        <f>价格汇总!G93</f>
        <v>1720</v>
      </c>
      <c r="H14" s="285" t="str">
        <f>价格汇总!H93</f>
        <v>100KG起收</v>
      </c>
      <c r="I14" s="285" t="str">
        <f>价格汇总!I93</f>
        <v>100KG起收</v>
      </c>
      <c r="J14" s="280">
        <f>价格汇总!J93</f>
        <v>8.6</v>
      </c>
      <c r="K14" s="322" t="s">
        <v>339</v>
      </c>
      <c r="L14" s="137" t="s">
        <v>308</v>
      </c>
    </row>
    <row r="15" ht="42" spans="2:13">
      <c r="B15" s="234" t="s">
        <v>317</v>
      </c>
      <c r="C15" s="313">
        <f>价格汇总!C94</f>
        <v>1120</v>
      </c>
      <c r="D15" s="285" t="str">
        <f>价格汇总!D94</f>
        <v>——</v>
      </c>
      <c r="E15" s="285" t="str">
        <f>价格汇总!E94</f>
        <v>——</v>
      </c>
      <c r="F15" s="280">
        <f>价格汇总!F94</f>
        <v>5.6</v>
      </c>
      <c r="G15" s="313">
        <f>价格汇总!G94</f>
        <v>1060</v>
      </c>
      <c r="H15" s="285" t="str">
        <f>价格汇总!H94</f>
        <v>——</v>
      </c>
      <c r="I15" s="285" t="str">
        <f>价格汇总!I94</f>
        <v>——</v>
      </c>
      <c r="J15" s="280">
        <f>价格汇总!J94</f>
        <v>5.3</v>
      </c>
      <c r="K15" s="327" t="s">
        <v>340</v>
      </c>
      <c r="L15" s="137" t="s">
        <v>308</v>
      </c>
    </row>
    <row r="16" spans="2:13">
      <c r="B16" s="328" t="s">
        <v>318</v>
      </c>
      <c r="C16" s="329"/>
      <c r="D16" s="329"/>
      <c r="E16" s="329"/>
      <c r="F16" s="329"/>
      <c r="G16" s="329"/>
      <c r="H16" s="329"/>
      <c r="I16" s="329"/>
      <c r="J16" s="329"/>
      <c r="K16" s="329"/>
      <c r="L16" s="330"/>
    </row>
    <row r="17" spans="2:13">
      <c r="B17" s="240" t="s">
        <v>319</v>
      </c>
      <c r="C17" s="241"/>
      <c r="D17" s="241"/>
      <c r="E17" s="241"/>
      <c r="F17" s="241"/>
      <c r="G17" s="241"/>
      <c r="H17" s="241"/>
      <c r="I17" s="241"/>
      <c r="J17" s="241"/>
      <c r="K17" s="241"/>
      <c r="L17" s="331"/>
    </row>
    <row r="18" ht="17.25" spans="2:13">
      <c r="B18" s="266" t="s">
        <v>320</v>
      </c>
      <c r="C18" s="267"/>
      <c r="D18" s="267"/>
      <c r="E18" s="267"/>
      <c r="F18" s="267"/>
      <c r="G18" s="267"/>
      <c r="H18" s="267"/>
      <c r="I18" s="267"/>
      <c r="J18" s="267"/>
      <c r="K18" s="267"/>
      <c r="L18" s="268"/>
      <c r="M18" s="217"/>
    </row>
    <row r="19" ht="17.25" spans="2:13">
      <c r="B19" s="266"/>
      <c r="C19" s="267"/>
      <c r="D19" s="267"/>
      <c r="E19" s="267"/>
      <c r="F19" s="267"/>
      <c r="G19" s="267"/>
      <c r="H19" s="267"/>
      <c r="I19" s="267"/>
      <c r="J19" s="267"/>
      <c r="K19" s="267"/>
      <c r="L19" s="268"/>
      <c r="M19" s="217"/>
    </row>
    <row r="20" ht="17.25" spans="2:13">
      <c r="B20" s="266"/>
      <c r="C20" s="267"/>
      <c r="D20" s="267"/>
      <c r="E20" s="267"/>
      <c r="F20" s="267"/>
      <c r="G20" s="267"/>
      <c r="H20" s="267"/>
      <c r="I20" s="267"/>
      <c r="J20" s="267"/>
      <c r="K20" s="267"/>
      <c r="L20" s="268"/>
      <c r="M20" s="217"/>
    </row>
    <row r="21" ht="17.25" spans="2:13">
      <c r="B21" s="266"/>
      <c r="C21" s="267"/>
      <c r="D21" s="267"/>
      <c r="E21" s="267"/>
      <c r="F21" s="267"/>
      <c r="G21" s="267"/>
      <c r="H21" s="267"/>
      <c r="I21" s="267"/>
      <c r="J21" s="267"/>
      <c r="K21" s="267"/>
      <c r="L21" s="268"/>
      <c r="M21" s="217"/>
    </row>
    <row r="22" ht="17.25" spans="2:13">
      <c r="B22" s="269" t="s">
        <v>321</v>
      </c>
      <c r="C22" s="270"/>
      <c r="D22" s="270"/>
      <c r="E22" s="270"/>
      <c r="F22" s="270"/>
      <c r="G22" s="270"/>
      <c r="H22" s="270"/>
      <c r="I22" s="270"/>
      <c r="J22" s="270"/>
      <c r="K22" s="270"/>
      <c r="L22" s="332"/>
      <c r="M22" s="217"/>
    </row>
    <row r="23" spans="2:13">
      <c r="B23" s="333" t="s">
        <v>330</v>
      </c>
      <c r="C23" s="334"/>
      <c r="D23" s="334"/>
      <c r="E23" s="334"/>
      <c r="F23" s="334"/>
      <c r="G23" s="334"/>
      <c r="H23" s="334"/>
      <c r="I23" s="334"/>
      <c r="J23" s="334"/>
      <c r="K23" s="334"/>
      <c r="L23" s="335"/>
    </row>
    <row r="24" ht="17.25" spans="2:13">
      <c r="B24" s="336" t="s">
        <v>331</v>
      </c>
      <c r="C24" s="337"/>
      <c r="D24" s="337"/>
      <c r="E24" s="337"/>
      <c r="F24" s="337"/>
      <c r="G24" s="337"/>
      <c r="H24" s="337"/>
      <c r="I24" s="337"/>
      <c r="J24" s="337"/>
      <c r="K24" s="337"/>
      <c r="L24" s="338"/>
    </row>
    <row r="25" spans="2:13">
      <c r="B25" s="269" t="s">
        <v>323</v>
      </c>
      <c r="C25" s="270"/>
      <c r="D25" s="270"/>
      <c r="E25" s="270"/>
      <c r="F25" s="270"/>
      <c r="G25" s="270"/>
      <c r="H25" s="270"/>
      <c r="I25" s="270"/>
      <c r="J25" s="270"/>
      <c r="K25" s="270"/>
      <c r="L25" s="332"/>
    </row>
    <row r="26" ht="108" customHeight="1" spans="2:13">
      <c r="B26" s="266" t="s">
        <v>341</v>
      </c>
      <c r="C26" s="267"/>
      <c r="D26" s="267"/>
      <c r="E26" s="267"/>
      <c r="F26" s="267"/>
      <c r="G26" s="267"/>
      <c r="H26" s="267"/>
      <c r="I26" s="267"/>
      <c r="J26" s="267"/>
      <c r="K26" s="267"/>
      <c r="L26" s="268"/>
    </row>
  </sheetData>
  <mergeCells count="16">
    <mergeCell ref="B3:L3"/>
    <mergeCell ref="K4:L4"/>
    <mergeCell ref="C5:F5"/>
    <mergeCell ref="G5:J5"/>
    <mergeCell ref="B16:L16"/>
    <mergeCell ref="B17:L17"/>
    <mergeCell ref="B22:L22"/>
    <mergeCell ref="B23:L23"/>
    <mergeCell ref="B24:L24"/>
    <mergeCell ref="B25:L25"/>
    <mergeCell ref="B26:L26"/>
    <mergeCell ref="B5:B6"/>
    <mergeCell ref="K5:K6"/>
    <mergeCell ref="L5:L6"/>
    <mergeCell ref="B1:L2"/>
    <mergeCell ref="B18:L21"/>
  </mergeCells>
  <hyperlinks>
    <hyperlink ref="M5" location="目录!A1" display="返回主页"/>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26"/>
  <sheetViews>
    <sheetView workbookViewId="0">
      <selection activeCell="B4" sqref="B4"/>
    </sheetView>
  </sheetViews>
  <sheetFormatPr defaultColWidth="8.725" defaultRowHeight="16.5"/>
  <cols>
    <col min="1" max="1" width="5.25" style="170" customWidth="1"/>
    <col min="2" max="2" width="35" style="170" customWidth="1"/>
    <col min="3" max="10" width="16.375" style="170" customWidth="1"/>
    <col min="11" max="11" width="18.5083333333333" style="170" customWidth="1"/>
    <col min="12" max="12" width="22.75" style="170" customWidth="1"/>
    <col min="13" max="13" width="11.9083333333333" style="181" customWidth="1"/>
    <col min="14" max="16384" width="8.725" style="170"/>
  </cols>
  <sheetData>
    <row r="1" s="170" customFormat="1" ht="18" customHeight="1" spans="2:13">
      <c r="B1" s="131" t="s">
        <v>351</v>
      </c>
      <c r="C1" s="131"/>
      <c r="D1" s="131"/>
      <c r="E1" s="131"/>
      <c r="F1" s="131"/>
      <c r="G1" s="131"/>
      <c r="H1" s="131"/>
      <c r="I1" s="131"/>
      <c r="J1" s="131"/>
      <c r="K1" s="131"/>
      <c r="L1" s="131"/>
      <c r="M1" s="181"/>
    </row>
    <row r="2" s="170" customFormat="1" ht="18" customHeight="1" spans="2:13">
      <c r="B2" s="131"/>
      <c r="C2" s="131"/>
      <c r="D2" s="131"/>
      <c r="E2" s="131"/>
      <c r="F2" s="131"/>
      <c r="G2" s="131"/>
      <c r="H2" s="131"/>
      <c r="I2" s="131"/>
      <c r="J2" s="131"/>
      <c r="K2" s="131"/>
      <c r="L2" s="131"/>
      <c r="M2" s="181"/>
    </row>
    <row r="3" s="170" customFormat="1" ht="45" customHeight="1" spans="2:13">
      <c r="B3" s="314" t="s">
        <v>352</v>
      </c>
      <c r="C3" s="315"/>
      <c r="D3" s="315"/>
      <c r="E3" s="315"/>
      <c r="F3" s="315"/>
      <c r="G3" s="315"/>
      <c r="H3" s="315"/>
      <c r="I3" s="315"/>
      <c r="J3" s="315"/>
      <c r="K3" s="315"/>
      <c r="L3" s="315"/>
      <c r="M3" s="181"/>
    </row>
    <row r="4" s="170" customFormat="1" ht="23" customHeight="1" spans="2:13">
      <c r="B4" s="184" t="s">
        <v>302</v>
      </c>
      <c r="J4" s="316"/>
      <c r="K4" s="184" t="s">
        <v>353</v>
      </c>
      <c r="L4" s="184"/>
      <c r="M4" s="181"/>
    </row>
    <row r="5" s="170" customFormat="1" ht="30" customHeight="1" spans="2:13">
      <c r="B5" s="317" t="s">
        <v>175</v>
      </c>
      <c r="C5" s="190" t="s">
        <v>337</v>
      </c>
      <c r="D5" s="190"/>
      <c r="E5" s="190"/>
      <c r="F5" s="190"/>
      <c r="G5" s="190" t="s">
        <v>338</v>
      </c>
      <c r="H5" s="190"/>
      <c r="I5" s="190"/>
      <c r="J5" s="190"/>
      <c r="K5" s="188" t="s">
        <v>136</v>
      </c>
      <c r="L5" s="229" t="s">
        <v>303</v>
      </c>
      <c r="M5" s="45" t="s">
        <v>222</v>
      </c>
    </row>
    <row r="6" s="170" customFormat="1" ht="45" customHeight="1" spans="2:13">
      <c r="B6" s="318"/>
      <c r="C6" s="190" t="s">
        <v>137</v>
      </c>
      <c r="D6" s="190" t="s">
        <v>138</v>
      </c>
      <c r="E6" s="190" t="s">
        <v>139</v>
      </c>
      <c r="F6" s="190" t="s">
        <v>151</v>
      </c>
      <c r="G6" s="190" t="s">
        <v>137</v>
      </c>
      <c r="H6" s="190" t="s">
        <v>138</v>
      </c>
      <c r="I6" s="190" t="s">
        <v>139</v>
      </c>
      <c r="J6" s="190" t="s">
        <v>151</v>
      </c>
      <c r="K6" s="188"/>
      <c r="L6" s="230"/>
      <c r="M6" s="181"/>
    </row>
    <row r="7" s="170" customFormat="1" ht="60.75" spans="2:13">
      <c r="B7" s="257" t="s">
        <v>304</v>
      </c>
      <c r="C7" s="319" t="e">
        <f>价格汇总!#REF!</f>
        <v>#REF!</v>
      </c>
      <c r="D7" s="279" t="e">
        <f>价格汇总!#REF!</f>
        <v>#REF!</v>
      </c>
      <c r="E7" s="279" t="e">
        <f>价格汇总!#REF!</f>
        <v>#REF!</v>
      </c>
      <c r="F7" s="280" t="e">
        <f>价格汇总!#REF!</f>
        <v>#REF!</v>
      </c>
      <c r="G7" s="319" t="e">
        <f>价格汇总!#REF!</f>
        <v>#REF!</v>
      </c>
      <c r="H7" s="279" t="e">
        <f>价格汇总!#REF!</f>
        <v>#REF!</v>
      </c>
      <c r="I7" s="279" t="e">
        <f>价格汇总!#REF!</f>
        <v>#REF!</v>
      </c>
      <c r="J7" s="280" t="e">
        <f>价格汇总!#REF!</f>
        <v>#REF!</v>
      </c>
      <c r="K7" s="320" t="s">
        <v>316</v>
      </c>
      <c r="L7" s="321" t="s">
        <v>308</v>
      </c>
      <c r="M7" s="181"/>
    </row>
    <row r="8" s="170" customFormat="1" ht="40.5" spans="2:13">
      <c r="B8" s="257" t="s">
        <v>177</v>
      </c>
      <c r="C8" s="319" t="e">
        <f>价格汇总!#REF!</f>
        <v>#REF!</v>
      </c>
      <c r="D8" s="279" t="e">
        <f>价格汇总!#REF!</f>
        <v>#REF!</v>
      </c>
      <c r="E8" s="279" t="e">
        <f>价格汇总!#REF!</f>
        <v>#REF!</v>
      </c>
      <c r="F8" s="280" t="e">
        <f>价格汇总!#REF!</f>
        <v>#REF!</v>
      </c>
      <c r="G8" s="319" t="e">
        <f>价格汇总!#REF!</f>
        <v>#REF!</v>
      </c>
      <c r="H8" s="279" t="e">
        <f>价格汇总!#REF!</f>
        <v>#REF!</v>
      </c>
      <c r="I8" s="279" t="e">
        <f>价格汇总!#REF!</f>
        <v>#REF!</v>
      </c>
      <c r="J8" s="280" t="e">
        <f>价格汇总!#REF!</f>
        <v>#REF!</v>
      </c>
      <c r="K8" s="320" t="s">
        <v>316</v>
      </c>
      <c r="L8" s="321" t="s">
        <v>308</v>
      </c>
      <c r="M8" s="181"/>
    </row>
    <row r="9" s="170" customFormat="1" ht="121.5" spans="2:13">
      <c r="B9" s="257" t="s">
        <v>309</v>
      </c>
      <c r="C9" s="319" t="e">
        <f>价格汇总!#REF!</f>
        <v>#REF!</v>
      </c>
      <c r="D9" s="279" t="e">
        <f>价格汇总!#REF!</f>
        <v>#REF!</v>
      </c>
      <c r="E9" s="279" t="e">
        <f>价格汇总!#REF!</f>
        <v>#REF!</v>
      </c>
      <c r="F9" s="280" t="e">
        <f>价格汇总!#REF!</f>
        <v>#REF!</v>
      </c>
      <c r="G9" s="319" t="e">
        <f>价格汇总!#REF!</f>
        <v>#REF!</v>
      </c>
      <c r="H9" s="279" t="e">
        <f>价格汇总!#REF!</f>
        <v>#REF!</v>
      </c>
      <c r="I9" s="279" t="e">
        <f>价格汇总!#REF!</f>
        <v>#REF!</v>
      </c>
      <c r="J9" s="280" t="e">
        <f>价格汇总!#REF!</f>
        <v>#REF!</v>
      </c>
      <c r="K9" s="320" t="s">
        <v>339</v>
      </c>
      <c r="L9" s="321" t="s">
        <v>308</v>
      </c>
      <c r="M9" s="181"/>
    </row>
    <row r="10" s="170" customFormat="1" ht="20.25" spans="2:13">
      <c r="B10" s="257" t="s">
        <v>179</v>
      </c>
      <c r="C10" s="319" t="e">
        <f>价格汇总!#REF!</f>
        <v>#REF!</v>
      </c>
      <c r="D10" s="279" t="e">
        <f>价格汇总!#REF!</f>
        <v>#REF!</v>
      </c>
      <c r="E10" s="279" t="e">
        <f>价格汇总!#REF!</f>
        <v>#REF!</v>
      </c>
      <c r="F10" s="280" t="e">
        <f>价格汇总!#REF!</f>
        <v>#REF!</v>
      </c>
      <c r="G10" s="319" t="e">
        <f>价格汇总!#REF!</f>
        <v>#REF!</v>
      </c>
      <c r="H10" s="279" t="e">
        <f>价格汇总!#REF!</f>
        <v>#REF!</v>
      </c>
      <c r="I10" s="279" t="e">
        <f>价格汇总!#REF!</f>
        <v>#REF!</v>
      </c>
      <c r="J10" s="280" t="e">
        <f>价格汇总!#REF!</f>
        <v>#REF!</v>
      </c>
      <c r="K10" s="322" t="s">
        <v>339</v>
      </c>
      <c r="L10" s="321" t="s">
        <v>308</v>
      </c>
      <c r="M10" s="181"/>
    </row>
    <row r="11" s="170" customFormat="1" ht="101.25" spans="2:13">
      <c r="B11" s="257" t="s">
        <v>311</v>
      </c>
      <c r="C11" s="319" t="e">
        <f>价格汇总!#REF!</f>
        <v>#REF!</v>
      </c>
      <c r="D11" s="323" t="e">
        <f>价格汇总!#REF!</f>
        <v>#REF!</v>
      </c>
      <c r="E11" s="323" t="e">
        <f>价格汇总!#REF!</f>
        <v>#REF!</v>
      </c>
      <c r="F11" s="280" t="e">
        <f>价格汇总!#REF!</f>
        <v>#REF!</v>
      </c>
      <c r="G11" s="319" t="e">
        <f>价格汇总!#REF!</f>
        <v>#REF!</v>
      </c>
      <c r="H11" s="323" t="e">
        <f>价格汇总!#REF!</f>
        <v>#REF!</v>
      </c>
      <c r="I11" s="323" t="e">
        <f>价格汇总!#REF!</f>
        <v>#REF!</v>
      </c>
      <c r="J11" s="280" t="e">
        <f>价格汇总!#REF!</f>
        <v>#REF!</v>
      </c>
      <c r="K11" s="322" t="s">
        <v>339</v>
      </c>
      <c r="L11" s="321" t="s">
        <v>308</v>
      </c>
      <c r="M11" s="181"/>
    </row>
    <row r="12" s="170" customFormat="1" ht="121.5" spans="2:13">
      <c r="B12" s="324" t="s">
        <v>313</v>
      </c>
      <c r="C12" s="319" t="e">
        <f>价格汇总!#REF!</f>
        <v>#REF!</v>
      </c>
      <c r="D12" s="323" t="e">
        <f>价格汇总!#REF!</f>
        <v>#REF!</v>
      </c>
      <c r="E12" s="323" t="e">
        <f>价格汇总!#REF!</f>
        <v>#REF!</v>
      </c>
      <c r="F12" s="280" t="e">
        <f>价格汇总!#REF!</f>
        <v>#REF!</v>
      </c>
      <c r="G12" s="319" t="e">
        <f>价格汇总!#REF!</f>
        <v>#REF!</v>
      </c>
      <c r="H12" s="323" t="e">
        <f>价格汇总!#REF!</f>
        <v>#REF!</v>
      </c>
      <c r="I12" s="323" t="e">
        <f>价格汇总!#REF!</f>
        <v>#REF!</v>
      </c>
      <c r="J12" s="280" t="e">
        <f>价格汇总!#REF!</f>
        <v>#REF!</v>
      </c>
      <c r="K12" s="322" t="s">
        <v>339</v>
      </c>
      <c r="L12" s="321" t="s">
        <v>308</v>
      </c>
      <c r="M12" s="181"/>
    </row>
    <row r="13" s="170" customFormat="1" ht="81" spans="2:13">
      <c r="B13" s="325" t="s">
        <v>183</v>
      </c>
      <c r="C13" s="319" t="e">
        <f>价格汇总!#REF!</f>
        <v>#REF!</v>
      </c>
      <c r="D13" s="323" t="e">
        <f>价格汇总!#REF!</f>
        <v>#REF!</v>
      </c>
      <c r="E13" s="323" t="e">
        <f>价格汇总!#REF!</f>
        <v>#REF!</v>
      </c>
      <c r="F13" s="280" t="e">
        <f>价格汇总!#REF!</f>
        <v>#REF!</v>
      </c>
      <c r="G13" s="319" t="e">
        <f>价格汇总!#REF!</f>
        <v>#REF!</v>
      </c>
      <c r="H13" s="323" t="e">
        <f>价格汇总!#REF!</f>
        <v>#REF!</v>
      </c>
      <c r="I13" s="323" t="e">
        <f>价格汇总!#REF!</f>
        <v>#REF!</v>
      </c>
      <c r="J13" s="280" t="e">
        <f>价格汇总!#REF!</f>
        <v>#REF!</v>
      </c>
      <c r="K13" s="322" t="s">
        <v>339</v>
      </c>
      <c r="L13" s="321" t="s">
        <v>308</v>
      </c>
      <c r="M13" s="181"/>
    </row>
    <row r="14" s="170" customFormat="1" ht="101.25" spans="2:13">
      <c r="B14" s="324" t="s">
        <v>315</v>
      </c>
      <c r="C14" s="319" t="e">
        <f>价格汇总!#REF!</f>
        <v>#REF!</v>
      </c>
      <c r="D14" s="323" t="e">
        <f>价格汇总!#REF!</f>
        <v>#REF!</v>
      </c>
      <c r="E14" s="323" t="e">
        <f>价格汇总!#REF!</f>
        <v>#REF!</v>
      </c>
      <c r="F14" s="280" t="e">
        <f>价格汇总!#REF!</f>
        <v>#REF!</v>
      </c>
      <c r="G14" s="319" t="e">
        <f>价格汇总!#REF!</f>
        <v>#REF!</v>
      </c>
      <c r="H14" s="323" t="e">
        <f>价格汇总!#REF!</f>
        <v>#REF!</v>
      </c>
      <c r="I14" s="323" t="e">
        <f>价格汇总!#REF!</f>
        <v>#REF!</v>
      </c>
      <c r="J14" s="280" t="e">
        <f>价格汇总!#REF!</f>
        <v>#REF!</v>
      </c>
      <c r="K14" s="322" t="s">
        <v>339</v>
      </c>
      <c r="L14" s="321" t="s">
        <v>308</v>
      </c>
      <c r="M14" s="181"/>
    </row>
    <row r="15" s="170" customFormat="1" ht="48" customHeight="1" spans="2:13">
      <c r="B15" s="326" t="s">
        <v>185</v>
      </c>
      <c r="C15" s="319" t="e">
        <f>价格汇总!#REF!</f>
        <v>#REF!</v>
      </c>
      <c r="D15" s="323" t="e">
        <f>价格汇总!#REF!</f>
        <v>#REF!</v>
      </c>
      <c r="E15" s="323" t="e">
        <f>价格汇总!#REF!</f>
        <v>#REF!</v>
      </c>
      <c r="F15" s="280" t="e">
        <f>价格汇总!#REF!</f>
        <v>#REF!</v>
      </c>
      <c r="G15" s="319" t="e">
        <f>价格汇总!#REF!</f>
        <v>#REF!</v>
      </c>
      <c r="H15" s="323" t="e">
        <f>价格汇总!#REF!</f>
        <v>#REF!</v>
      </c>
      <c r="I15" s="323" t="e">
        <f>价格汇总!#REF!</f>
        <v>#REF!</v>
      </c>
      <c r="J15" s="280" t="e">
        <f>价格汇总!#REF!</f>
        <v>#REF!</v>
      </c>
      <c r="K15" s="327" t="s">
        <v>340</v>
      </c>
      <c r="L15" s="321" t="s">
        <v>308</v>
      </c>
      <c r="M15" s="181"/>
    </row>
    <row r="16" s="170" customFormat="1" ht="28" customHeight="1" spans="2:13">
      <c r="B16" s="328" t="s">
        <v>354</v>
      </c>
      <c r="C16" s="329"/>
      <c r="D16" s="329"/>
      <c r="E16" s="329"/>
      <c r="F16" s="329"/>
      <c r="G16" s="329"/>
      <c r="H16" s="329"/>
      <c r="I16" s="329"/>
      <c r="J16" s="329"/>
      <c r="K16" s="329"/>
      <c r="L16" s="330"/>
      <c r="M16" s="181"/>
    </row>
    <row r="17" s="170" customFormat="1" ht="27" customHeight="1" spans="2:13">
      <c r="B17" s="240" t="s">
        <v>319</v>
      </c>
      <c r="C17" s="241"/>
      <c r="D17" s="241"/>
      <c r="E17" s="241"/>
      <c r="F17" s="241"/>
      <c r="G17" s="241"/>
      <c r="H17" s="241"/>
      <c r="I17" s="241"/>
      <c r="J17" s="241"/>
      <c r="K17" s="241"/>
      <c r="L17" s="331"/>
      <c r="M17" s="181"/>
    </row>
    <row r="18" s="170" customFormat="1" ht="28" customHeight="1" spans="2:13">
      <c r="B18" s="266" t="s">
        <v>320</v>
      </c>
      <c r="C18" s="267"/>
      <c r="D18" s="267"/>
      <c r="E18" s="267"/>
      <c r="F18" s="267"/>
      <c r="G18" s="267"/>
      <c r="H18" s="267"/>
      <c r="I18" s="267"/>
      <c r="J18" s="267"/>
      <c r="K18" s="267"/>
      <c r="L18" s="268"/>
      <c r="M18" s="217"/>
    </row>
    <row r="19" s="170" customFormat="1" ht="30" customHeight="1" spans="2:13">
      <c r="B19" s="266"/>
      <c r="C19" s="267"/>
      <c r="D19" s="267"/>
      <c r="E19" s="267"/>
      <c r="F19" s="267"/>
      <c r="G19" s="267"/>
      <c r="H19" s="267"/>
      <c r="I19" s="267"/>
      <c r="J19" s="267"/>
      <c r="K19" s="267"/>
      <c r="L19" s="268"/>
      <c r="M19" s="217"/>
    </row>
    <row r="20" s="170" customFormat="1" ht="21" customHeight="1" spans="2:13">
      <c r="B20" s="266"/>
      <c r="C20" s="267"/>
      <c r="D20" s="267"/>
      <c r="E20" s="267"/>
      <c r="F20" s="267"/>
      <c r="G20" s="267"/>
      <c r="H20" s="267"/>
      <c r="I20" s="267"/>
      <c r="J20" s="267"/>
      <c r="K20" s="267"/>
      <c r="L20" s="268"/>
      <c r="M20" s="217"/>
    </row>
    <row r="21" s="170" customFormat="1" ht="51" customHeight="1" spans="2:13">
      <c r="B21" s="266"/>
      <c r="C21" s="267"/>
      <c r="D21" s="267"/>
      <c r="E21" s="267"/>
      <c r="F21" s="267"/>
      <c r="G21" s="267"/>
      <c r="H21" s="267"/>
      <c r="I21" s="267"/>
      <c r="J21" s="267"/>
      <c r="K21" s="267"/>
      <c r="L21" s="268"/>
      <c r="M21" s="217"/>
    </row>
    <row r="22" s="170" customFormat="1" ht="29" customHeight="1" spans="2:13">
      <c r="B22" s="269" t="s">
        <v>321</v>
      </c>
      <c r="C22" s="270"/>
      <c r="D22" s="270"/>
      <c r="E22" s="270"/>
      <c r="F22" s="270"/>
      <c r="G22" s="270"/>
      <c r="H22" s="270"/>
      <c r="I22" s="270"/>
      <c r="J22" s="270"/>
      <c r="K22" s="270"/>
      <c r="L22" s="332"/>
      <c r="M22" s="217"/>
    </row>
    <row r="23" s="170" customFormat="1" ht="22" customHeight="1" spans="2:13">
      <c r="B23" s="333" t="s">
        <v>330</v>
      </c>
      <c r="C23" s="334"/>
      <c r="D23" s="334"/>
      <c r="E23" s="334"/>
      <c r="F23" s="334"/>
      <c r="G23" s="334"/>
      <c r="H23" s="334"/>
      <c r="I23" s="334"/>
      <c r="J23" s="334"/>
      <c r="K23" s="334"/>
      <c r="L23" s="335"/>
      <c r="M23" s="181"/>
    </row>
    <row r="24" s="170" customFormat="1" ht="22" customHeight="1" spans="2:13">
      <c r="B24" s="336" t="s">
        <v>331</v>
      </c>
      <c r="C24" s="337"/>
      <c r="D24" s="337"/>
      <c r="E24" s="337"/>
      <c r="F24" s="337"/>
      <c r="G24" s="337"/>
      <c r="H24" s="337"/>
      <c r="I24" s="337"/>
      <c r="J24" s="337"/>
      <c r="K24" s="337"/>
      <c r="L24" s="338"/>
      <c r="M24" s="181"/>
    </row>
    <row r="25" s="170" customFormat="1" ht="29" customHeight="1" spans="2:13">
      <c r="B25" s="269" t="s">
        <v>323</v>
      </c>
      <c r="C25" s="270"/>
      <c r="D25" s="270"/>
      <c r="E25" s="270"/>
      <c r="F25" s="270"/>
      <c r="G25" s="270"/>
      <c r="H25" s="270"/>
      <c r="I25" s="270"/>
      <c r="J25" s="270"/>
      <c r="K25" s="270"/>
      <c r="L25" s="332"/>
      <c r="M25" s="181"/>
    </row>
    <row r="26" s="170" customFormat="1" ht="82" customHeight="1" spans="2:13">
      <c r="B26" s="266" t="s">
        <v>355</v>
      </c>
      <c r="C26" s="267"/>
      <c r="D26" s="267"/>
      <c r="E26" s="267"/>
      <c r="F26" s="267"/>
      <c r="G26" s="267"/>
      <c r="H26" s="267"/>
      <c r="I26" s="267"/>
      <c r="J26" s="267"/>
      <c r="K26" s="267"/>
      <c r="L26" s="268"/>
      <c r="M26" s="181"/>
    </row>
  </sheetData>
  <mergeCells count="16">
    <mergeCell ref="B3:L3"/>
    <mergeCell ref="K4:L4"/>
    <mergeCell ref="C5:F5"/>
    <mergeCell ref="G5:J5"/>
    <mergeCell ref="B16:L16"/>
    <mergeCell ref="B17:L17"/>
    <mergeCell ref="B22:L22"/>
    <mergeCell ref="B23:L23"/>
    <mergeCell ref="B24:L24"/>
    <mergeCell ref="B25:L25"/>
    <mergeCell ref="B26:L26"/>
    <mergeCell ref="B5:B6"/>
    <mergeCell ref="K5:K6"/>
    <mergeCell ref="L5:L6"/>
    <mergeCell ref="B1:L2"/>
    <mergeCell ref="B18:L21"/>
  </mergeCells>
  <hyperlinks>
    <hyperlink ref="M5" location="目录!A1" display="返回主页"/>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N26"/>
  <sheetViews>
    <sheetView workbookViewId="0">
      <selection activeCell="A4" sqref="A4:B4"/>
    </sheetView>
  </sheetViews>
  <sheetFormatPr defaultColWidth="8.725" defaultRowHeight="16.5"/>
  <cols>
    <col min="1" max="1" width="14.875" style="276" customWidth="1"/>
    <col min="2" max="2" width="38.25" style="170" customWidth="1"/>
    <col min="3" max="9" width="14" style="200" customWidth="1"/>
    <col min="10" max="10" width="14" style="170" customWidth="1"/>
    <col min="11" max="11" width="18.125" style="170" customWidth="1"/>
    <col min="12" max="12" width="21.25" style="170" customWidth="1"/>
    <col min="13" max="13" width="11.9083333333333" style="181" customWidth="1"/>
    <col min="14" max="16384" width="8.725" style="170"/>
  </cols>
  <sheetData>
    <row r="1" ht="18" customHeight="1" spans="1:14">
      <c r="A1" s="243" t="s">
        <v>356</v>
      </c>
      <c r="B1" s="243"/>
      <c r="C1" s="243"/>
      <c r="D1" s="243"/>
      <c r="E1" s="243"/>
      <c r="F1" s="243"/>
      <c r="G1" s="243"/>
      <c r="H1" s="243"/>
      <c r="I1" s="243"/>
      <c r="J1" s="243"/>
      <c r="K1" s="243"/>
      <c r="L1" s="243"/>
    </row>
    <row r="2" ht="18" customHeight="1" spans="1:14">
      <c r="A2" s="243"/>
      <c r="B2" s="243"/>
      <c r="C2" s="243"/>
      <c r="D2" s="243"/>
      <c r="E2" s="243"/>
      <c r="F2" s="243"/>
      <c r="G2" s="243"/>
      <c r="H2" s="243"/>
      <c r="I2" s="243"/>
      <c r="J2" s="243"/>
      <c r="K2" s="243"/>
      <c r="L2" s="243"/>
    </row>
    <row r="3" ht="81" customHeight="1" spans="1:14">
      <c r="A3" s="277" t="s">
        <v>357</v>
      </c>
      <c r="B3" s="277"/>
      <c r="C3" s="277"/>
      <c r="D3" s="277"/>
      <c r="E3" s="277"/>
      <c r="F3" s="277"/>
      <c r="G3" s="277"/>
      <c r="H3" s="277"/>
      <c r="I3" s="277"/>
      <c r="J3" s="277"/>
      <c r="K3" s="277"/>
      <c r="L3" s="277"/>
    </row>
    <row r="4" ht="23" customHeight="1" spans="1:14">
      <c r="A4" s="184" t="s">
        <v>302</v>
      </c>
      <c r="B4" s="184"/>
      <c r="J4" s="184"/>
      <c r="K4" s="184" t="s">
        <v>217</v>
      </c>
      <c r="L4" s="184"/>
    </row>
    <row r="5" ht="30" customHeight="1" spans="1:14">
      <c r="A5" s="186" t="s">
        <v>190</v>
      </c>
      <c r="B5" s="187" t="s">
        <v>191</v>
      </c>
      <c r="C5" s="188" t="s">
        <v>134</v>
      </c>
      <c r="D5" s="189"/>
      <c r="E5" s="189"/>
      <c r="F5" s="189"/>
      <c r="G5" s="188" t="s">
        <v>135</v>
      </c>
      <c r="H5" s="189"/>
      <c r="I5" s="189"/>
      <c r="J5" s="189"/>
      <c r="K5" s="190" t="s">
        <v>136</v>
      </c>
      <c r="L5" s="190" t="s">
        <v>220</v>
      </c>
      <c r="M5" s="45" t="s">
        <v>222</v>
      </c>
    </row>
    <row r="6" ht="45" customHeight="1" spans="1:14">
      <c r="A6" s="191"/>
      <c r="B6" s="192"/>
      <c r="C6" s="190" t="s">
        <v>137</v>
      </c>
      <c r="D6" s="190" t="s">
        <v>138</v>
      </c>
      <c r="E6" s="190" t="s">
        <v>139</v>
      </c>
      <c r="F6" s="190" t="s">
        <v>151</v>
      </c>
      <c r="G6" s="190" t="s">
        <v>137</v>
      </c>
      <c r="H6" s="190" t="s">
        <v>138</v>
      </c>
      <c r="I6" s="190" t="s">
        <v>139</v>
      </c>
      <c r="J6" s="190" t="s">
        <v>151</v>
      </c>
      <c r="K6" s="190"/>
      <c r="L6" s="190"/>
    </row>
    <row r="7" ht="61" customHeight="1" spans="1:14">
      <c r="A7" s="193" t="s">
        <v>192</v>
      </c>
      <c r="B7" s="278" t="s">
        <v>176</v>
      </c>
      <c r="C7" s="313">
        <f>价格汇总!C100</f>
        <v>740</v>
      </c>
      <c r="D7" s="279">
        <f>价格汇总!D100</f>
        <v>4.7</v>
      </c>
      <c r="E7" s="279">
        <f>价格汇总!E100</f>
        <v>3.7</v>
      </c>
      <c r="F7" s="280">
        <f>价格汇总!F100</f>
        <v>3.7</v>
      </c>
      <c r="G7" s="313">
        <f>价格汇总!G100</f>
        <v>740</v>
      </c>
      <c r="H7" s="279">
        <f>价格汇总!H100</f>
        <v>4.7</v>
      </c>
      <c r="I7" s="279">
        <f>价格汇总!I100</f>
        <v>3.7</v>
      </c>
      <c r="J7" s="279">
        <f>价格汇总!J100</f>
        <v>3.7</v>
      </c>
      <c r="K7" s="197" t="s">
        <v>358</v>
      </c>
      <c r="L7" s="281" t="s">
        <v>359</v>
      </c>
      <c r="M7" s="45"/>
    </row>
    <row r="8" ht="61" customHeight="1" spans="1:14">
      <c r="A8" s="193" t="s">
        <v>193</v>
      </c>
      <c r="B8" s="257" t="s">
        <v>177</v>
      </c>
      <c r="C8" s="313">
        <f>价格汇总!C101</f>
        <v>800</v>
      </c>
      <c r="D8" s="279">
        <f>价格汇总!D101</f>
        <v>5</v>
      </c>
      <c r="E8" s="279">
        <f>价格汇总!E101</f>
        <v>4</v>
      </c>
      <c r="F8" s="280">
        <f>价格汇总!F101</f>
        <v>4</v>
      </c>
      <c r="G8" s="313">
        <f>价格汇总!G101</f>
        <v>800</v>
      </c>
      <c r="H8" s="279">
        <f>价格汇总!H101</f>
        <v>5</v>
      </c>
      <c r="I8" s="279">
        <f>价格汇总!I101</f>
        <v>4</v>
      </c>
      <c r="J8" s="279">
        <f>价格汇总!J101</f>
        <v>4</v>
      </c>
      <c r="K8" s="197" t="s">
        <v>360</v>
      </c>
      <c r="L8" s="282"/>
      <c r="M8" s="45"/>
    </row>
    <row r="9" ht="101.25" spans="1:14">
      <c r="A9" s="193" t="s">
        <v>194</v>
      </c>
      <c r="B9" s="278" t="s">
        <v>178</v>
      </c>
      <c r="C9" s="313">
        <f>价格汇总!C102</f>
        <v>860</v>
      </c>
      <c r="D9" s="279">
        <f>价格汇总!D102</f>
        <v>5.3</v>
      </c>
      <c r="E9" s="279">
        <f>价格汇总!E102</f>
        <v>4.3</v>
      </c>
      <c r="F9" s="280">
        <f>价格汇总!F102</f>
        <v>4.3</v>
      </c>
      <c r="G9" s="313">
        <f>价格汇总!G102</f>
        <v>860</v>
      </c>
      <c r="H9" s="279">
        <f>价格汇总!H102</f>
        <v>5.3</v>
      </c>
      <c r="I9" s="279">
        <f>价格汇总!I102</f>
        <v>4.3</v>
      </c>
      <c r="J9" s="279">
        <f>价格汇总!J102</f>
        <v>4.3</v>
      </c>
      <c r="K9" s="197" t="s">
        <v>361</v>
      </c>
      <c r="L9" s="282"/>
      <c r="M9" s="45"/>
    </row>
    <row r="10" ht="43" customHeight="1" spans="1:14">
      <c r="A10" s="203" t="s">
        <v>195</v>
      </c>
      <c r="B10" s="278" t="s">
        <v>179</v>
      </c>
      <c r="C10" s="313">
        <f>价格汇总!C103</f>
        <v>1020</v>
      </c>
      <c r="D10" s="279">
        <f>价格汇总!D103</f>
        <v>6.1</v>
      </c>
      <c r="E10" s="279">
        <f>价格汇总!E103</f>
        <v>5.1</v>
      </c>
      <c r="F10" s="280">
        <f>价格汇总!F103</f>
        <v>5.1</v>
      </c>
      <c r="G10" s="313">
        <f>价格汇总!G103</f>
        <v>1020</v>
      </c>
      <c r="H10" s="279">
        <f>价格汇总!H103</f>
        <v>6.1</v>
      </c>
      <c r="I10" s="279">
        <f>价格汇总!I103</f>
        <v>5.1</v>
      </c>
      <c r="J10" s="279">
        <f>价格汇总!J103</f>
        <v>5.1</v>
      </c>
      <c r="K10" s="197" t="s">
        <v>362</v>
      </c>
      <c r="L10" s="282"/>
      <c r="M10" s="45"/>
    </row>
    <row r="11" ht="101.25" spans="1:14">
      <c r="A11" s="203" t="s">
        <v>196</v>
      </c>
      <c r="B11" s="284" t="s">
        <v>180</v>
      </c>
      <c r="C11" s="313">
        <f>价格汇总!C104</f>
        <v>1120</v>
      </c>
      <c r="D11" s="285" t="str">
        <f>价格汇总!D104</f>
        <v>100KG起收</v>
      </c>
      <c r="E11" s="285" t="str">
        <f>价格汇总!E104</f>
        <v>100KG起收</v>
      </c>
      <c r="F11" s="280">
        <f>价格汇总!F104</f>
        <v>5.6</v>
      </c>
      <c r="G11" s="313">
        <f>价格汇总!G104</f>
        <v>1120</v>
      </c>
      <c r="H11" s="285" t="str">
        <f>价格汇总!H104</f>
        <v>100KG起收</v>
      </c>
      <c r="I11" s="285" t="str">
        <f>价格汇总!I104</f>
        <v>100KG起收</v>
      </c>
      <c r="J11" s="279">
        <f>价格汇总!J104</f>
        <v>5.6</v>
      </c>
      <c r="K11" s="197" t="s">
        <v>363</v>
      </c>
      <c r="L11" s="282"/>
      <c r="M11" s="45"/>
    </row>
    <row r="12" ht="101.25" spans="1:14">
      <c r="A12" s="203" t="s">
        <v>197</v>
      </c>
      <c r="B12" s="286" t="s">
        <v>182</v>
      </c>
      <c r="C12" s="313">
        <f>价格汇总!C105</f>
        <v>1160</v>
      </c>
      <c r="D12" s="285" t="str">
        <f>价格汇总!D105</f>
        <v>100KG起收</v>
      </c>
      <c r="E12" s="285" t="str">
        <f>价格汇总!E105</f>
        <v>100KG起收</v>
      </c>
      <c r="F12" s="280">
        <f>价格汇总!F105</f>
        <v>5.8</v>
      </c>
      <c r="G12" s="313">
        <f>价格汇总!G105</f>
        <v>1160</v>
      </c>
      <c r="H12" s="285" t="str">
        <f>价格汇总!H105</f>
        <v>100KG起收</v>
      </c>
      <c r="I12" s="285" t="str">
        <f>价格汇总!I105</f>
        <v>100KG起收</v>
      </c>
      <c r="J12" s="279">
        <f>价格汇总!J105</f>
        <v>5.8</v>
      </c>
      <c r="K12" s="197" t="s">
        <v>363</v>
      </c>
      <c r="L12" s="282"/>
      <c r="M12" s="45"/>
    </row>
    <row r="13" ht="98" customHeight="1" spans="1:14">
      <c r="A13" s="233" t="s">
        <v>198</v>
      </c>
      <c r="B13" s="287" t="s">
        <v>183</v>
      </c>
      <c r="C13" s="313">
        <f>价格汇总!C106</f>
        <v>1340</v>
      </c>
      <c r="D13" s="285" t="str">
        <f>价格汇总!D106</f>
        <v>100KG起收</v>
      </c>
      <c r="E13" s="285" t="str">
        <f>价格汇总!E106</f>
        <v>100KG起收</v>
      </c>
      <c r="F13" s="280">
        <f>价格汇总!F106</f>
        <v>6.7</v>
      </c>
      <c r="G13" s="313">
        <f>价格汇总!G106</f>
        <v>1340</v>
      </c>
      <c r="H13" s="285" t="str">
        <f>价格汇总!H106</f>
        <v>100KG起收</v>
      </c>
      <c r="I13" s="285" t="str">
        <f>价格汇总!I106</f>
        <v>100KG起收</v>
      </c>
      <c r="J13" s="279">
        <f>价格汇总!J106</f>
        <v>6.7</v>
      </c>
      <c r="K13" s="197" t="s">
        <v>364</v>
      </c>
      <c r="L13" s="282"/>
      <c r="M13" s="45"/>
    </row>
    <row r="14" ht="101.25" spans="1:14">
      <c r="A14" s="203" t="s">
        <v>199</v>
      </c>
      <c r="B14" s="286" t="s">
        <v>184</v>
      </c>
      <c r="C14" s="313">
        <f>价格汇总!C107</f>
        <v>1420</v>
      </c>
      <c r="D14" s="285" t="str">
        <f>价格汇总!D107</f>
        <v>100KG起收</v>
      </c>
      <c r="E14" s="285" t="str">
        <f>价格汇总!E107</f>
        <v>100KG起收</v>
      </c>
      <c r="F14" s="280">
        <f>价格汇总!F107</f>
        <v>7.1</v>
      </c>
      <c r="G14" s="313">
        <f>价格汇总!G107</f>
        <v>1420</v>
      </c>
      <c r="H14" s="285" t="str">
        <f>价格汇总!H107</f>
        <v>100KG起收</v>
      </c>
      <c r="I14" s="285" t="str">
        <f>价格汇总!I107</f>
        <v>100KG起收</v>
      </c>
      <c r="J14" s="279">
        <f>价格汇总!J107</f>
        <v>7.1</v>
      </c>
      <c r="K14" s="197" t="s">
        <v>364</v>
      </c>
      <c r="L14" s="282"/>
      <c r="M14" s="45"/>
    </row>
    <row r="15" ht="26" customHeight="1" spans="1:14">
      <c r="A15" s="288" t="s">
        <v>317</v>
      </c>
      <c r="B15" s="289"/>
      <c r="C15" s="313">
        <f>价格汇总!C108</f>
        <v>740</v>
      </c>
      <c r="D15" s="285" t="str">
        <f>价格汇总!D108</f>
        <v>——</v>
      </c>
      <c r="E15" s="285" t="str">
        <f>价格汇总!E108</f>
        <v>——</v>
      </c>
      <c r="F15" s="280">
        <f>价格汇总!F108</f>
        <v>3.7</v>
      </c>
      <c r="G15" s="313">
        <f>价格汇总!G108</f>
        <v>740</v>
      </c>
      <c r="H15" s="285" t="str">
        <f>价格汇总!H108</f>
        <v>——</v>
      </c>
      <c r="I15" s="285" t="str">
        <f>价格汇总!I108</f>
        <v>——</v>
      </c>
      <c r="J15" s="279">
        <f>价格汇总!J108</f>
        <v>3.7</v>
      </c>
      <c r="K15" s="290" t="s">
        <v>358</v>
      </c>
      <c r="L15" s="282"/>
      <c r="N15" s="200"/>
    </row>
    <row r="16" ht="28" customHeight="1" spans="1:14">
      <c r="A16" s="210" t="s">
        <v>365</v>
      </c>
      <c r="B16" s="211"/>
      <c r="C16" s="211"/>
      <c r="D16" s="211"/>
      <c r="E16" s="211"/>
      <c r="F16" s="211"/>
      <c r="G16" s="211"/>
      <c r="H16" s="211"/>
      <c r="I16" s="211"/>
      <c r="J16" s="211"/>
      <c r="K16" s="211"/>
      <c r="L16" s="212"/>
    </row>
    <row r="17" ht="27" customHeight="1" spans="1:13">
      <c r="A17" s="263" t="s">
        <v>319</v>
      </c>
      <c r="B17" s="264"/>
      <c r="C17" s="264"/>
      <c r="D17" s="264"/>
      <c r="E17" s="264"/>
      <c r="F17" s="264"/>
      <c r="G17" s="264"/>
      <c r="H17" s="264"/>
      <c r="I17" s="264"/>
      <c r="J17" s="264"/>
      <c r="K17" s="264"/>
      <c r="L17" s="265"/>
    </row>
    <row r="18" ht="29" customHeight="1" spans="1:13">
      <c r="A18" s="266" t="s">
        <v>320</v>
      </c>
      <c r="B18" s="267"/>
      <c r="C18" s="267"/>
      <c r="D18" s="267"/>
      <c r="E18" s="267"/>
      <c r="F18" s="267"/>
      <c r="G18" s="267"/>
      <c r="H18" s="267"/>
      <c r="I18" s="267"/>
      <c r="J18" s="267"/>
      <c r="K18" s="267"/>
      <c r="L18" s="268"/>
      <c r="M18" s="217"/>
    </row>
    <row r="19" ht="29" customHeight="1" spans="1:13">
      <c r="A19" s="266"/>
      <c r="B19" s="267"/>
      <c r="C19" s="267"/>
      <c r="D19" s="267"/>
      <c r="E19" s="267"/>
      <c r="F19" s="267"/>
      <c r="G19" s="267"/>
      <c r="H19" s="267"/>
      <c r="I19" s="267"/>
      <c r="J19" s="267"/>
      <c r="K19" s="267"/>
      <c r="L19" s="268"/>
      <c r="M19" s="217"/>
    </row>
    <row r="20" ht="29" customHeight="1" spans="1:13">
      <c r="A20" s="266"/>
      <c r="B20" s="267"/>
      <c r="C20" s="267"/>
      <c r="D20" s="267"/>
      <c r="E20" s="267"/>
      <c r="F20" s="267"/>
      <c r="G20" s="267"/>
      <c r="H20" s="267"/>
      <c r="I20" s="267"/>
      <c r="J20" s="267"/>
      <c r="K20" s="267"/>
      <c r="L20" s="268"/>
      <c r="M20" s="217"/>
    </row>
    <row r="21" ht="51" customHeight="1" spans="1:13">
      <c r="A21" s="266"/>
      <c r="B21" s="267"/>
      <c r="C21" s="267"/>
      <c r="D21" s="267"/>
      <c r="E21" s="267"/>
      <c r="F21" s="267"/>
      <c r="G21" s="267"/>
      <c r="H21" s="267"/>
      <c r="I21" s="267"/>
      <c r="J21" s="267"/>
      <c r="K21" s="267"/>
      <c r="L21" s="268"/>
      <c r="M21" s="217"/>
    </row>
    <row r="22" ht="29" customHeight="1" spans="1:13">
      <c r="A22" s="269" t="s">
        <v>321</v>
      </c>
      <c r="B22" s="270"/>
      <c r="C22" s="270"/>
      <c r="D22" s="270"/>
      <c r="E22" s="270"/>
      <c r="F22" s="270"/>
      <c r="G22" s="270"/>
      <c r="H22" s="270"/>
      <c r="I22" s="270"/>
      <c r="J22" s="270"/>
      <c r="K22" s="270"/>
      <c r="L22" s="271"/>
      <c r="M22" s="217"/>
    </row>
    <row r="23" ht="19" customHeight="1" spans="1:13">
      <c r="A23" s="272" t="s">
        <v>322</v>
      </c>
      <c r="B23" s="273"/>
      <c r="C23" s="273"/>
      <c r="D23" s="273"/>
      <c r="E23" s="273"/>
      <c r="F23" s="273"/>
      <c r="G23" s="273"/>
      <c r="H23" s="273"/>
      <c r="I23" s="273"/>
      <c r="J23" s="273"/>
      <c r="K23" s="273"/>
      <c r="L23" s="274"/>
    </row>
    <row r="24" ht="19" customHeight="1" spans="1:13">
      <c r="A24" s="272"/>
      <c r="B24" s="273"/>
      <c r="C24" s="273"/>
      <c r="D24" s="273"/>
      <c r="E24" s="273"/>
      <c r="F24" s="273"/>
      <c r="G24" s="273"/>
      <c r="H24" s="273"/>
      <c r="I24" s="273"/>
      <c r="J24" s="273"/>
      <c r="K24" s="273"/>
      <c r="L24" s="274"/>
    </row>
    <row r="25" ht="29" customHeight="1" spans="1:13">
      <c r="A25" s="269" t="s">
        <v>323</v>
      </c>
      <c r="B25" s="270"/>
      <c r="C25" s="270"/>
      <c r="D25" s="270"/>
      <c r="E25" s="270"/>
      <c r="F25" s="270"/>
      <c r="G25" s="270"/>
      <c r="H25" s="270"/>
      <c r="I25" s="270"/>
      <c r="J25" s="270"/>
      <c r="K25" s="270"/>
      <c r="L25" s="271"/>
    </row>
    <row r="26" ht="103" customHeight="1" spans="1:13">
      <c r="A26" s="266" t="s">
        <v>341</v>
      </c>
      <c r="B26" s="267"/>
      <c r="C26" s="267"/>
      <c r="D26" s="267"/>
      <c r="E26" s="267"/>
      <c r="F26" s="267"/>
      <c r="G26" s="267"/>
      <c r="H26" s="267"/>
      <c r="I26" s="267"/>
      <c r="J26" s="267"/>
      <c r="K26" s="267"/>
      <c r="L26" s="268"/>
    </row>
  </sheetData>
  <mergeCells count="19">
    <mergeCell ref="A3:L3"/>
    <mergeCell ref="A4:B4"/>
    <mergeCell ref="K4:L4"/>
    <mergeCell ref="C5:F5"/>
    <mergeCell ref="G5:J5"/>
    <mergeCell ref="A15:B15"/>
    <mergeCell ref="A16:L16"/>
    <mergeCell ref="A17:L17"/>
    <mergeCell ref="A22:L22"/>
    <mergeCell ref="A25:L25"/>
    <mergeCell ref="A26:L26"/>
    <mergeCell ref="A5:A6"/>
    <mergeCell ref="B5:B6"/>
    <mergeCell ref="K5:K6"/>
    <mergeCell ref="L5:L6"/>
    <mergeCell ref="L7:L15"/>
    <mergeCell ref="A1:L2"/>
    <mergeCell ref="A18:L21"/>
    <mergeCell ref="A23:L24"/>
  </mergeCells>
  <hyperlinks>
    <hyperlink ref="M5" location="目录!A1" display="返回主页"/>
  </hyperlink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M25"/>
  <sheetViews>
    <sheetView workbookViewId="0">
      <selection activeCell="F7" sqref="F7"/>
    </sheetView>
  </sheetViews>
  <sheetFormatPr defaultColWidth="8.725" defaultRowHeight="16.5"/>
  <cols>
    <col min="1" max="1" width="12" style="170" customWidth="1"/>
    <col min="2" max="2" width="36.5083333333333" style="170" customWidth="1"/>
    <col min="3" max="9" width="14.375" style="200" customWidth="1"/>
    <col min="10" max="10" width="14.375" style="170" customWidth="1"/>
    <col min="11" max="11" width="19.45" style="170" customWidth="1"/>
    <col min="12" max="12" width="25" style="170" customWidth="1"/>
    <col min="13" max="13" width="11.9083333333333" style="181" customWidth="1"/>
    <col min="14" max="16384" width="8.725" style="170"/>
  </cols>
  <sheetData>
    <row r="1" ht="18" customHeight="1" spans="1:13">
      <c r="B1" s="131" t="s">
        <v>366</v>
      </c>
      <c r="C1" s="131"/>
      <c r="D1" s="131"/>
      <c r="E1" s="131"/>
      <c r="F1" s="131"/>
      <c r="G1" s="131"/>
      <c r="H1" s="131"/>
      <c r="I1" s="131"/>
      <c r="J1" s="131"/>
      <c r="K1" s="131"/>
      <c r="L1" s="131"/>
    </row>
    <row r="2" ht="18" customHeight="1" spans="1:13">
      <c r="B2" s="131"/>
      <c r="C2" s="131"/>
      <c r="D2" s="131"/>
      <c r="E2" s="131"/>
      <c r="F2" s="131"/>
      <c r="G2" s="131"/>
      <c r="H2" s="131"/>
      <c r="I2" s="131"/>
      <c r="J2" s="131"/>
      <c r="K2" s="131"/>
      <c r="L2" s="131"/>
    </row>
    <row r="3" ht="81" customHeight="1" spans="1:13">
      <c r="B3" s="277" t="s">
        <v>367</v>
      </c>
      <c r="C3" s="298"/>
      <c r="D3" s="298"/>
      <c r="E3" s="298"/>
      <c r="F3" s="298"/>
      <c r="G3" s="298"/>
      <c r="H3" s="298"/>
      <c r="I3" s="298"/>
      <c r="J3" s="298"/>
      <c r="K3" s="298"/>
      <c r="L3" s="298"/>
    </row>
    <row r="4" ht="23" customHeight="1" spans="1:13">
      <c r="B4" s="184" t="s">
        <v>302</v>
      </c>
      <c r="C4" s="184"/>
      <c r="D4" s="184"/>
      <c r="E4" s="184"/>
      <c r="F4" s="184"/>
      <c r="G4" s="184"/>
      <c r="J4" s="184"/>
      <c r="K4" s="184" t="s">
        <v>368</v>
      </c>
      <c r="L4" s="184"/>
    </row>
    <row r="5" ht="30" customHeight="1" spans="1:13">
      <c r="A5" s="186" t="s">
        <v>190</v>
      </c>
      <c r="B5" s="190" t="s">
        <v>191</v>
      </c>
      <c r="C5" s="188" t="s">
        <v>134</v>
      </c>
      <c r="D5" s="189"/>
      <c r="E5" s="189"/>
      <c r="F5" s="189"/>
      <c r="G5" s="188" t="s">
        <v>135</v>
      </c>
      <c r="H5" s="189"/>
      <c r="I5" s="189"/>
      <c r="J5" s="189"/>
      <c r="K5" s="190" t="s">
        <v>136</v>
      </c>
      <c r="L5" s="190" t="s">
        <v>220</v>
      </c>
      <c r="M5" s="45" t="s">
        <v>222</v>
      </c>
    </row>
    <row r="6" ht="51" customHeight="1" spans="1:13">
      <c r="A6" s="191"/>
      <c r="B6" s="190"/>
      <c r="C6" s="190" t="s">
        <v>137</v>
      </c>
      <c r="D6" s="190" t="s">
        <v>138</v>
      </c>
      <c r="E6" s="190" t="s">
        <v>139</v>
      </c>
      <c r="F6" s="190" t="s">
        <v>151</v>
      </c>
      <c r="G6" s="190" t="s">
        <v>137</v>
      </c>
      <c r="H6" s="190" t="s">
        <v>138</v>
      </c>
      <c r="I6" s="190" t="s">
        <v>139</v>
      </c>
      <c r="J6" s="190" t="s">
        <v>151</v>
      </c>
      <c r="K6" s="190"/>
      <c r="L6" s="190"/>
    </row>
    <row r="7" ht="40.5" spans="1:13">
      <c r="A7" s="193" t="s">
        <v>192</v>
      </c>
      <c r="B7" s="278" t="s">
        <v>369</v>
      </c>
      <c r="C7" s="299" t="e">
        <f>价格汇总!#REF!</f>
        <v>#REF!</v>
      </c>
      <c r="D7" s="299" t="e">
        <f>价格汇总!#REF!</f>
        <v>#REF!</v>
      </c>
      <c r="E7" s="299" t="e">
        <f>价格汇总!#REF!</f>
        <v>#REF!</v>
      </c>
      <c r="F7" s="299" t="e">
        <f>价格汇总!#REF!</f>
        <v>#REF!</v>
      </c>
      <c r="G7" s="299" t="e">
        <f>价格汇总!#REF!</f>
        <v>#REF!</v>
      </c>
      <c r="H7" s="299" t="e">
        <f>价格汇总!#REF!</f>
        <v>#REF!</v>
      </c>
      <c r="I7" s="299" t="e">
        <f>价格汇总!#REF!</f>
        <v>#REF!</v>
      </c>
      <c r="J7" s="299" t="e">
        <f>价格汇总!#REF!</f>
        <v>#REF!</v>
      </c>
      <c r="K7" s="197" t="s">
        <v>358</v>
      </c>
      <c r="L7" s="281" t="s">
        <v>370</v>
      </c>
      <c r="M7" s="45"/>
    </row>
    <row r="8" ht="60.75" spans="1:13">
      <c r="A8" s="193" t="s">
        <v>193</v>
      </c>
      <c r="B8" s="257" t="s">
        <v>371</v>
      </c>
      <c r="C8" s="299" t="e">
        <f>价格汇总!#REF!</f>
        <v>#REF!</v>
      </c>
      <c r="D8" s="299" t="e">
        <f>价格汇总!#REF!</f>
        <v>#REF!</v>
      </c>
      <c r="E8" s="299" t="e">
        <f>价格汇总!#REF!</f>
        <v>#REF!</v>
      </c>
      <c r="F8" s="299" t="e">
        <f>价格汇总!#REF!</f>
        <v>#REF!</v>
      </c>
      <c r="G8" s="299" t="e">
        <f>价格汇总!#REF!</f>
        <v>#REF!</v>
      </c>
      <c r="H8" s="299" t="e">
        <f>价格汇总!#REF!</f>
        <v>#REF!</v>
      </c>
      <c r="I8" s="299" t="e">
        <f>价格汇总!#REF!</f>
        <v>#REF!</v>
      </c>
      <c r="J8" s="299" t="e">
        <f>价格汇总!#REF!</f>
        <v>#REF!</v>
      </c>
      <c r="K8" s="197" t="s">
        <v>360</v>
      </c>
      <c r="L8" s="282"/>
      <c r="M8" s="45"/>
    </row>
    <row r="9" ht="81" spans="1:13">
      <c r="A9" s="203" t="s">
        <v>195</v>
      </c>
      <c r="B9" s="278" t="s">
        <v>372</v>
      </c>
      <c r="C9" s="299" t="e">
        <f>价格汇总!#REF!</f>
        <v>#REF!</v>
      </c>
      <c r="D9" s="299" t="e">
        <f>价格汇总!#REF!</f>
        <v>#REF!</v>
      </c>
      <c r="E9" s="299" t="e">
        <f>价格汇总!#REF!</f>
        <v>#REF!</v>
      </c>
      <c r="F9" s="299" t="e">
        <f>价格汇总!#REF!</f>
        <v>#REF!</v>
      </c>
      <c r="G9" s="299" t="e">
        <f>价格汇总!#REF!</f>
        <v>#REF!</v>
      </c>
      <c r="H9" s="299" t="e">
        <f>价格汇总!#REF!</f>
        <v>#REF!</v>
      </c>
      <c r="I9" s="299" t="e">
        <f>价格汇总!#REF!</f>
        <v>#REF!</v>
      </c>
      <c r="J9" s="299" t="e">
        <f>价格汇总!#REF!</f>
        <v>#REF!</v>
      </c>
      <c r="K9" s="197" t="s">
        <v>362</v>
      </c>
      <c r="L9" s="282"/>
      <c r="M9" s="45"/>
    </row>
    <row r="10" ht="81" spans="1:13">
      <c r="A10" s="203" t="s">
        <v>196</v>
      </c>
      <c r="B10" s="284" t="s">
        <v>373</v>
      </c>
      <c r="C10" s="299" t="e">
        <f>价格汇总!#REF!</f>
        <v>#REF!</v>
      </c>
      <c r="D10" s="299" t="e">
        <f>价格汇总!#REF!</f>
        <v>#REF!</v>
      </c>
      <c r="E10" s="299" t="e">
        <f>价格汇总!#REF!</f>
        <v>#REF!</v>
      </c>
      <c r="F10" s="299" t="e">
        <f>价格汇总!#REF!</f>
        <v>#REF!</v>
      </c>
      <c r="G10" s="299" t="e">
        <f>价格汇总!#REF!</f>
        <v>#REF!</v>
      </c>
      <c r="H10" s="299" t="e">
        <f>价格汇总!#REF!</f>
        <v>#REF!</v>
      </c>
      <c r="I10" s="299" t="e">
        <f>价格汇总!#REF!</f>
        <v>#REF!</v>
      </c>
      <c r="J10" s="299" t="e">
        <f>价格汇总!#REF!</f>
        <v>#REF!</v>
      </c>
      <c r="K10" s="197" t="s">
        <v>363</v>
      </c>
      <c r="L10" s="282"/>
      <c r="M10" s="45"/>
    </row>
    <row r="11" ht="60.75" spans="1:13">
      <c r="A11" s="203" t="s">
        <v>197</v>
      </c>
      <c r="B11" s="278" t="s">
        <v>374</v>
      </c>
      <c r="C11" s="299" t="e">
        <f>价格汇总!#REF!</f>
        <v>#REF!</v>
      </c>
      <c r="D11" s="299" t="e">
        <f>价格汇总!#REF!</f>
        <v>#REF!</v>
      </c>
      <c r="E11" s="299" t="e">
        <f>价格汇总!#REF!</f>
        <v>#REF!</v>
      </c>
      <c r="F11" s="299" t="e">
        <f>价格汇总!#REF!</f>
        <v>#REF!</v>
      </c>
      <c r="G11" s="299" t="e">
        <f>价格汇总!#REF!</f>
        <v>#REF!</v>
      </c>
      <c r="H11" s="299" t="e">
        <f>价格汇总!#REF!</f>
        <v>#REF!</v>
      </c>
      <c r="I11" s="299" t="e">
        <f>价格汇总!#REF!</f>
        <v>#REF!</v>
      </c>
      <c r="J11" s="299" t="e">
        <f>价格汇总!#REF!</f>
        <v>#REF!</v>
      </c>
      <c r="K11" s="197" t="s">
        <v>363</v>
      </c>
      <c r="L11" s="282"/>
      <c r="M11" s="45"/>
    </row>
    <row r="12" ht="21" spans="1:13">
      <c r="A12" s="233" t="s">
        <v>198</v>
      </c>
      <c r="B12" s="300" t="s">
        <v>375</v>
      </c>
      <c r="C12" s="299" t="e">
        <f>价格汇总!#REF!</f>
        <v>#REF!</v>
      </c>
      <c r="D12" s="299" t="e">
        <f>价格汇总!#REF!</f>
        <v>#REF!</v>
      </c>
      <c r="E12" s="299" t="e">
        <f>价格汇总!#REF!</f>
        <v>#REF!</v>
      </c>
      <c r="F12" s="299" t="e">
        <f>价格汇总!#REF!</f>
        <v>#REF!</v>
      </c>
      <c r="G12" s="299" t="e">
        <f>价格汇总!#REF!</f>
        <v>#REF!</v>
      </c>
      <c r="H12" s="299" t="e">
        <f>价格汇总!#REF!</f>
        <v>#REF!</v>
      </c>
      <c r="I12" s="299" t="e">
        <f>价格汇总!#REF!</f>
        <v>#REF!</v>
      </c>
      <c r="J12" s="299" t="e">
        <f>价格汇总!#REF!</f>
        <v>#REF!</v>
      </c>
      <c r="K12" s="197" t="s">
        <v>364</v>
      </c>
      <c r="L12" s="282"/>
      <c r="M12" s="45"/>
    </row>
    <row r="13" ht="81" spans="1:13">
      <c r="A13" s="203" t="s">
        <v>199</v>
      </c>
      <c r="B13" s="278" t="s">
        <v>376</v>
      </c>
      <c r="C13" s="299" t="e">
        <f>价格汇总!#REF!</f>
        <v>#REF!</v>
      </c>
      <c r="D13" s="299" t="e">
        <f>价格汇总!#REF!</f>
        <v>#REF!</v>
      </c>
      <c r="E13" s="299" t="e">
        <f>价格汇总!#REF!</f>
        <v>#REF!</v>
      </c>
      <c r="F13" s="299" t="e">
        <f>价格汇总!#REF!</f>
        <v>#REF!</v>
      </c>
      <c r="G13" s="299" t="e">
        <f>价格汇总!#REF!</f>
        <v>#REF!</v>
      </c>
      <c r="H13" s="299" t="e">
        <f>价格汇总!#REF!</f>
        <v>#REF!</v>
      </c>
      <c r="I13" s="299" t="e">
        <f>价格汇总!#REF!</f>
        <v>#REF!</v>
      </c>
      <c r="J13" s="299" t="e">
        <f>价格汇总!#REF!</f>
        <v>#REF!</v>
      </c>
      <c r="K13" s="197" t="s">
        <v>364</v>
      </c>
      <c r="L13" s="282"/>
      <c r="M13" s="45"/>
    </row>
    <row r="14" ht="28" customHeight="1" spans="1:13">
      <c r="B14" s="301" t="s">
        <v>377</v>
      </c>
      <c r="C14" s="302"/>
      <c r="D14" s="302"/>
      <c r="E14" s="302"/>
      <c r="F14" s="302"/>
      <c r="G14" s="302"/>
      <c r="H14" s="302"/>
      <c r="I14" s="302"/>
      <c r="J14" s="302"/>
      <c r="K14" s="302"/>
      <c r="L14" s="303"/>
      <c r="M14" s="45"/>
    </row>
    <row r="15" ht="28" customHeight="1" spans="1:13">
      <c r="B15" s="210" t="s">
        <v>354</v>
      </c>
      <c r="C15" s="211"/>
      <c r="D15" s="211"/>
      <c r="E15" s="211"/>
      <c r="F15" s="211"/>
      <c r="G15" s="211"/>
      <c r="H15" s="211"/>
      <c r="I15" s="211"/>
      <c r="J15" s="211"/>
      <c r="K15" s="211"/>
      <c r="L15" s="212"/>
    </row>
    <row r="16" ht="27" customHeight="1" spans="1:13">
      <c r="B16" s="304" t="s">
        <v>319</v>
      </c>
      <c r="C16" s="305"/>
      <c r="D16" s="305"/>
      <c r="E16" s="305"/>
      <c r="F16" s="305"/>
      <c r="G16" s="305"/>
      <c r="H16" s="305"/>
      <c r="I16" s="305"/>
      <c r="J16" s="305"/>
      <c r="K16" s="305"/>
      <c r="L16" s="306"/>
    </row>
    <row r="17" ht="36" customHeight="1" spans="2:13">
      <c r="B17" s="307" t="s">
        <v>320</v>
      </c>
      <c r="C17" s="308"/>
      <c r="D17" s="308"/>
      <c r="E17" s="308"/>
      <c r="F17" s="308"/>
      <c r="G17" s="308"/>
      <c r="H17" s="308"/>
      <c r="I17" s="308"/>
      <c r="J17" s="308"/>
      <c r="K17" s="308"/>
      <c r="L17" s="309"/>
      <c r="M17" s="217"/>
    </row>
    <row r="18" ht="36" customHeight="1" spans="2:13">
      <c r="B18" s="216"/>
      <c r="C18" s="217"/>
      <c r="D18" s="217"/>
      <c r="E18" s="217"/>
      <c r="F18" s="217"/>
      <c r="G18" s="217"/>
      <c r="H18" s="217"/>
      <c r="I18" s="217"/>
      <c r="J18" s="217"/>
      <c r="K18" s="217"/>
      <c r="L18" s="218"/>
      <c r="M18" s="217"/>
    </row>
    <row r="19" ht="36" customHeight="1" spans="2:13">
      <c r="B19" s="216"/>
      <c r="C19" s="217"/>
      <c r="D19" s="217"/>
      <c r="E19" s="217"/>
      <c r="F19" s="217"/>
      <c r="G19" s="217"/>
      <c r="H19" s="217"/>
      <c r="I19" s="217"/>
      <c r="J19" s="217"/>
      <c r="K19" s="217"/>
      <c r="L19" s="218"/>
      <c r="M19" s="217"/>
    </row>
    <row r="20" ht="36" customHeight="1" spans="2:13">
      <c r="B20" s="225"/>
      <c r="C20" s="226"/>
      <c r="D20" s="226"/>
      <c r="E20" s="226"/>
      <c r="F20" s="226"/>
      <c r="G20" s="226"/>
      <c r="H20" s="226"/>
      <c r="I20" s="226"/>
      <c r="J20" s="226"/>
      <c r="K20" s="226"/>
      <c r="L20" s="227"/>
      <c r="M20" s="217"/>
    </row>
    <row r="21" ht="29" customHeight="1" spans="2:13">
      <c r="B21" s="310" t="s">
        <v>321</v>
      </c>
      <c r="C21" s="311"/>
      <c r="D21" s="311"/>
      <c r="E21" s="311"/>
      <c r="F21" s="311"/>
      <c r="G21" s="311"/>
      <c r="H21" s="311"/>
      <c r="I21" s="311"/>
      <c r="J21" s="311"/>
      <c r="K21" s="311"/>
      <c r="L21" s="312"/>
      <c r="M21" s="217"/>
    </row>
    <row r="22" ht="19" customHeight="1" spans="2:13">
      <c r="B22" s="307" t="s">
        <v>322</v>
      </c>
      <c r="C22" s="308"/>
      <c r="D22" s="308"/>
      <c r="E22" s="308"/>
      <c r="F22" s="308"/>
      <c r="G22" s="308"/>
      <c r="H22" s="308"/>
      <c r="I22" s="308"/>
      <c r="J22" s="308"/>
      <c r="K22" s="308"/>
      <c r="L22" s="309"/>
    </row>
    <row r="23" ht="19" customHeight="1" spans="2:13">
      <c r="B23" s="225"/>
      <c r="C23" s="226"/>
      <c r="D23" s="226"/>
      <c r="E23" s="226"/>
      <c r="F23" s="226"/>
      <c r="G23" s="226"/>
      <c r="H23" s="226"/>
      <c r="I23" s="226"/>
      <c r="J23" s="226"/>
      <c r="K23" s="226"/>
      <c r="L23" s="227"/>
    </row>
    <row r="24" ht="29" customHeight="1" spans="2:13">
      <c r="B24" s="310" t="s">
        <v>323</v>
      </c>
      <c r="C24" s="311"/>
      <c r="D24" s="311"/>
      <c r="E24" s="311"/>
      <c r="F24" s="311"/>
      <c r="G24" s="311"/>
      <c r="H24" s="311"/>
      <c r="I24" s="311"/>
      <c r="J24" s="311"/>
      <c r="K24" s="311"/>
      <c r="L24" s="312"/>
    </row>
    <row r="25" ht="81" customHeight="1" spans="2:13">
      <c r="B25" s="266" t="s">
        <v>378</v>
      </c>
      <c r="C25" s="267"/>
      <c r="D25" s="267"/>
      <c r="E25" s="267"/>
      <c r="F25" s="267"/>
      <c r="G25" s="267"/>
      <c r="H25" s="267"/>
      <c r="I25" s="267"/>
      <c r="J25" s="267"/>
      <c r="K25" s="267"/>
      <c r="L25" s="268"/>
    </row>
  </sheetData>
  <mergeCells count="16">
    <mergeCell ref="B3:L3"/>
    <mergeCell ref="B4:G4"/>
    <mergeCell ref="K4:L4"/>
    <mergeCell ref="C5:F5"/>
    <mergeCell ref="G5:J5"/>
    <mergeCell ref="B14:L14"/>
    <mergeCell ref="B15:L15"/>
    <mergeCell ref="B25:L25"/>
    <mergeCell ref="A5:A6"/>
    <mergeCell ref="B5:B6"/>
    <mergeCell ref="K5:K6"/>
    <mergeCell ref="L5:L6"/>
    <mergeCell ref="L7:L13"/>
    <mergeCell ref="B1:L2"/>
    <mergeCell ref="B17:L20"/>
    <mergeCell ref="B22:L23"/>
  </mergeCells>
  <hyperlinks>
    <hyperlink ref="M5" location="目录!A1" display="返回主页"/>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25"/>
  <sheetViews>
    <sheetView workbookViewId="0">
      <selection activeCell="K7" sqref="K7"/>
    </sheetView>
  </sheetViews>
  <sheetFormatPr defaultColWidth="8.725" defaultRowHeight="16.5"/>
  <cols>
    <col min="1" max="1" width="14.875" style="276" customWidth="1"/>
    <col min="2" max="2" width="38.25" style="170" customWidth="1"/>
    <col min="3" max="7" width="14" style="200" customWidth="1"/>
    <col min="8" max="8" width="14" style="170" customWidth="1"/>
    <col min="9" max="9" width="18.125" style="170" customWidth="1"/>
    <col min="10" max="10" width="21.25" style="170" customWidth="1"/>
    <col min="11" max="11" width="11.9083333333333" style="181" customWidth="1"/>
    <col min="12" max="16384" width="8.725" style="170"/>
  </cols>
  <sheetData>
    <row r="1" s="170" customFormat="1" ht="18" customHeight="1" spans="1:12">
      <c r="A1" s="243" t="s">
        <v>379</v>
      </c>
      <c r="B1" s="243"/>
      <c r="C1" s="243"/>
      <c r="D1" s="243"/>
      <c r="E1" s="243"/>
      <c r="F1" s="243"/>
      <c r="G1" s="243"/>
      <c r="H1" s="243"/>
      <c r="I1" s="243"/>
      <c r="J1" s="243"/>
      <c r="K1" s="181"/>
    </row>
    <row r="2" s="170" customFormat="1" ht="18" customHeight="1" spans="1:12">
      <c r="A2" s="243"/>
      <c r="B2" s="243"/>
      <c r="C2" s="243"/>
      <c r="D2" s="243"/>
      <c r="E2" s="243"/>
      <c r="F2" s="243"/>
      <c r="G2" s="243"/>
      <c r="H2" s="243"/>
      <c r="I2" s="243"/>
      <c r="J2" s="243"/>
      <c r="K2" s="181"/>
    </row>
    <row r="3" s="170" customFormat="1" ht="81" customHeight="1" spans="1:12">
      <c r="A3" s="277" t="s">
        <v>380</v>
      </c>
      <c r="B3" s="277"/>
      <c r="C3" s="277"/>
      <c r="D3" s="277"/>
      <c r="E3" s="277"/>
      <c r="F3" s="277"/>
      <c r="G3" s="277"/>
      <c r="H3" s="277"/>
      <c r="I3" s="277"/>
      <c r="J3" s="277"/>
      <c r="K3" s="181"/>
    </row>
    <row r="4" s="170" customFormat="1" ht="23" customHeight="1" spans="1:12">
      <c r="A4" s="184" t="s">
        <v>302</v>
      </c>
      <c r="B4" s="184"/>
      <c r="C4" s="200"/>
      <c r="D4" s="200"/>
      <c r="E4" s="200"/>
      <c r="F4" s="200"/>
      <c r="G4" s="200"/>
      <c r="H4" s="184"/>
      <c r="I4" s="184" t="s">
        <v>217</v>
      </c>
      <c r="J4" s="184"/>
      <c r="K4" s="181"/>
    </row>
    <row r="5" s="170" customFormat="1" ht="30" customHeight="1" spans="1:12">
      <c r="A5" s="186" t="s">
        <v>190</v>
      </c>
      <c r="B5" s="187" t="s">
        <v>191</v>
      </c>
      <c r="C5" s="190" t="s">
        <v>337</v>
      </c>
      <c r="D5" s="190"/>
      <c r="E5" s="190"/>
      <c r="F5" s="190" t="s">
        <v>338</v>
      </c>
      <c r="G5" s="190"/>
      <c r="H5" s="190"/>
      <c r="I5" s="190" t="s">
        <v>136</v>
      </c>
      <c r="J5" s="190" t="s">
        <v>220</v>
      </c>
      <c r="K5" s="45" t="s">
        <v>222</v>
      </c>
    </row>
    <row r="6" s="170" customFormat="1" ht="45" customHeight="1" spans="1:12">
      <c r="A6" s="191"/>
      <c r="B6" s="192"/>
      <c r="C6" s="190" t="s">
        <v>138</v>
      </c>
      <c r="D6" s="190" t="s">
        <v>139</v>
      </c>
      <c r="E6" s="190" t="s">
        <v>151</v>
      </c>
      <c r="F6" s="190" t="s">
        <v>138</v>
      </c>
      <c r="G6" s="190" t="s">
        <v>139</v>
      </c>
      <c r="H6" s="190" t="s">
        <v>151</v>
      </c>
      <c r="I6" s="190"/>
      <c r="J6" s="190"/>
      <c r="K6" s="181"/>
    </row>
    <row r="7" s="170" customFormat="1" ht="54" customHeight="1" spans="1:12">
      <c r="A7" s="193" t="s">
        <v>192</v>
      </c>
      <c r="B7" s="278" t="s">
        <v>176</v>
      </c>
      <c r="C7" s="279">
        <f>价格汇总!D112</f>
        <v>6</v>
      </c>
      <c r="D7" s="279">
        <f>价格汇总!E112</f>
        <v>5</v>
      </c>
      <c r="E7" s="280">
        <f>价格汇总!F112</f>
        <v>5</v>
      </c>
      <c r="F7" s="279">
        <f>价格汇总!H112</f>
        <v>6</v>
      </c>
      <c r="G7" s="279">
        <f>价格汇总!I112</f>
        <v>5</v>
      </c>
      <c r="H7" s="280">
        <f>价格汇总!J112</f>
        <v>5</v>
      </c>
      <c r="I7" s="197" t="s">
        <v>358</v>
      </c>
      <c r="J7" s="281" t="s">
        <v>359</v>
      </c>
      <c r="K7" s="45"/>
    </row>
    <row r="8" s="170" customFormat="1" ht="62" customHeight="1" spans="1:12">
      <c r="A8" s="193" t="s">
        <v>193</v>
      </c>
      <c r="B8" s="257" t="s">
        <v>177</v>
      </c>
      <c r="C8" s="279">
        <f>价格汇总!D113</f>
        <v>6.3</v>
      </c>
      <c r="D8" s="279">
        <f>价格汇总!E113</f>
        <v>5.3</v>
      </c>
      <c r="E8" s="280">
        <f>价格汇总!F113</f>
        <v>5.3</v>
      </c>
      <c r="F8" s="279">
        <f>价格汇总!H113</f>
        <v>6.3</v>
      </c>
      <c r="G8" s="279">
        <f>价格汇总!I113</f>
        <v>5.3</v>
      </c>
      <c r="H8" s="280">
        <f>价格汇总!J113</f>
        <v>5.3</v>
      </c>
      <c r="I8" s="197" t="s">
        <v>360</v>
      </c>
      <c r="J8" s="282"/>
      <c r="K8" s="283"/>
    </row>
    <row r="9" s="170" customFormat="1" ht="105" customHeight="1" spans="1:12">
      <c r="A9" s="193" t="s">
        <v>194</v>
      </c>
      <c r="B9" s="278" t="s">
        <v>178</v>
      </c>
      <c r="C9" s="279">
        <f>价格汇总!D114</f>
        <v>6.6</v>
      </c>
      <c r="D9" s="279">
        <f>价格汇总!E114</f>
        <v>5.6</v>
      </c>
      <c r="E9" s="280">
        <f>价格汇总!F114</f>
        <v>5.6</v>
      </c>
      <c r="F9" s="279">
        <f>价格汇总!H114</f>
        <v>6.6</v>
      </c>
      <c r="G9" s="279">
        <f>价格汇总!I114</f>
        <v>5.6</v>
      </c>
      <c r="H9" s="280">
        <f>价格汇总!J114</f>
        <v>5.6</v>
      </c>
      <c r="I9" s="197" t="s">
        <v>361</v>
      </c>
      <c r="J9" s="282"/>
      <c r="K9" s="45"/>
    </row>
    <row r="10" s="170" customFormat="1" ht="45" customHeight="1" spans="1:12">
      <c r="A10" s="203" t="s">
        <v>195</v>
      </c>
      <c r="B10" s="278" t="s">
        <v>179</v>
      </c>
      <c r="C10" s="279">
        <f>价格汇总!D115</f>
        <v>7.4</v>
      </c>
      <c r="D10" s="279">
        <f>价格汇总!E115</f>
        <v>6.4</v>
      </c>
      <c r="E10" s="280">
        <f>价格汇总!F115</f>
        <v>6.4</v>
      </c>
      <c r="F10" s="279">
        <f>价格汇总!H115</f>
        <v>7.4</v>
      </c>
      <c r="G10" s="279">
        <f>价格汇总!I115</f>
        <v>6.4</v>
      </c>
      <c r="H10" s="280">
        <f>价格汇总!J115</f>
        <v>6.4</v>
      </c>
      <c r="I10" s="197" t="s">
        <v>362</v>
      </c>
      <c r="J10" s="282"/>
      <c r="K10" s="45"/>
    </row>
    <row r="11" s="170" customFormat="1" ht="101.25" spans="1:12">
      <c r="A11" s="203" t="s">
        <v>196</v>
      </c>
      <c r="B11" s="284" t="s">
        <v>180</v>
      </c>
      <c r="C11" s="285" t="str">
        <f>价格汇总!D116</f>
        <v>100KG起收</v>
      </c>
      <c r="D11" s="285" t="str">
        <f>价格汇总!E116</f>
        <v>100KG起收</v>
      </c>
      <c r="E11" s="280">
        <f>价格汇总!F116</f>
        <v>6.9</v>
      </c>
      <c r="F11" s="285" t="str">
        <f>价格汇总!H116</f>
        <v>100KG起收</v>
      </c>
      <c r="G11" s="285" t="str">
        <f>价格汇总!I116</f>
        <v>100KG起收</v>
      </c>
      <c r="H11" s="280">
        <f>价格汇总!J116</f>
        <v>6.9</v>
      </c>
      <c r="I11" s="197" t="s">
        <v>363</v>
      </c>
      <c r="J11" s="282"/>
      <c r="K11" s="45"/>
    </row>
    <row r="12" s="170" customFormat="1" ht="101.25" spans="1:12">
      <c r="A12" s="203" t="s">
        <v>197</v>
      </c>
      <c r="B12" s="286" t="s">
        <v>182</v>
      </c>
      <c r="C12" s="285" t="str">
        <f>价格汇总!D117</f>
        <v>100KG起收</v>
      </c>
      <c r="D12" s="285" t="str">
        <f>价格汇总!E117</f>
        <v>100KG起收</v>
      </c>
      <c r="E12" s="280">
        <f>价格汇总!F117</f>
        <v>7.1</v>
      </c>
      <c r="F12" s="285" t="str">
        <f>价格汇总!H117</f>
        <v>100KG起收</v>
      </c>
      <c r="G12" s="285" t="str">
        <f>价格汇总!I117</f>
        <v>100KG起收</v>
      </c>
      <c r="H12" s="280">
        <f>价格汇总!J117</f>
        <v>7.1</v>
      </c>
      <c r="I12" s="197" t="s">
        <v>363</v>
      </c>
      <c r="J12" s="282"/>
      <c r="K12" s="45"/>
    </row>
    <row r="13" s="170" customFormat="1" ht="81" spans="1:12">
      <c r="A13" s="233" t="s">
        <v>198</v>
      </c>
      <c r="B13" s="287" t="s">
        <v>183</v>
      </c>
      <c r="C13" s="285" t="str">
        <f>价格汇总!D118</f>
        <v>100KG起收</v>
      </c>
      <c r="D13" s="285" t="str">
        <f>价格汇总!E118</f>
        <v>100KG起收</v>
      </c>
      <c r="E13" s="280">
        <f>价格汇总!F118</f>
        <v>8</v>
      </c>
      <c r="F13" s="285" t="str">
        <f>价格汇总!H118</f>
        <v>100KG起收</v>
      </c>
      <c r="G13" s="285" t="str">
        <f>价格汇总!I118</f>
        <v>100KG起收</v>
      </c>
      <c r="H13" s="280">
        <f>价格汇总!J118</f>
        <v>8</v>
      </c>
      <c r="I13" s="197" t="s">
        <v>364</v>
      </c>
      <c r="J13" s="282"/>
      <c r="K13" s="45"/>
    </row>
    <row r="14" s="170" customFormat="1" ht="101.25" spans="1:12">
      <c r="A14" s="203" t="s">
        <v>199</v>
      </c>
      <c r="B14" s="286" t="s">
        <v>184</v>
      </c>
      <c r="C14" s="285" t="str">
        <f>价格汇总!D119</f>
        <v>100KG起收</v>
      </c>
      <c r="D14" s="285" t="str">
        <f>价格汇总!E119</f>
        <v>100KG起收</v>
      </c>
      <c r="E14" s="280">
        <f>价格汇总!F119</f>
        <v>8.4</v>
      </c>
      <c r="F14" s="285" t="str">
        <f>价格汇总!H119</f>
        <v>100KG起收</v>
      </c>
      <c r="G14" s="285" t="str">
        <f>价格汇总!I119</f>
        <v>100KG起收</v>
      </c>
      <c r="H14" s="280">
        <f>价格汇总!J119</f>
        <v>8.4</v>
      </c>
      <c r="I14" s="197" t="s">
        <v>364</v>
      </c>
      <c r="J14" s="282"/>
      <c r="K14" s="45"/>
    </row>
    <row r="15" s="170" customFormat="1" ht="26" customHeight="1" spans="1:12">
      <c r="A15" s="288" t="s">
        <v>317</v>
      </c>
      <c r="B15" s="289"/>
      <c r="C15" s="285" t="str">
        <f>价格汇总!D120</f>
        <v>——</v>
      </c>
      <c r="D15" s="285" t="str">
        <f>价格汇总!E120</f>
        <v>——</v>
      </c>
      <c r="E15" s="280">
        <f>价格汇总!F120</f>
        <v>5</v>
      </c>
      <c r="F15" s="285" t="str">
        <f>价格汇总!H120</f>
        <v>——</v>
      </c>
      <c r="G15" s="285" t="str">
        <f>价格汇总!I120</f>
        <v>——</v>
      </c>
      <c r="H15" s="280">
        <f>价格汇总!J120</f>
        <v>5</v>
      </c>
      <c r="I15" s="290" t="s">
        <v>358</v>
      </c>
      <c r="J15" s="282"/>
      <c r="K15" s="181"/>
      <c r="L15" s="200"/>
    </row>
    <row r="16" s="170" customFormat="1" ht="69" customHeight="1" spans="1:12">
      <c r="A16" s="291"/>
      <c r="B16" s="292" t="s">
        <v>344</v>
      </c>
      <c r="C16" s="292"/>
      <c r="D16" s="292"/>
      <c r="E16" s="292"/>
      <c r="F16" s="292"/>
      <c r="G16" s="292"/>
      <c r="H16" s="292"/>
      <c r="I16" s="292"/>
      <c r="J16" s="292"/>
      <c r="K16" s="181"/>
    </row>
    <row r="17" s="275" customFormat="1" ht="69" customHeight="1" spans="1:11">
      <c r="A17" s="293"/>
      <c r="B17" s="294" t="s">
        <v>345</v>
      </c>
      <c r="C17" s="294"/>
      <c r="D17" s="294"/>
      <c r="E17" s="294"/>
      <c r="F17" s="294"/>
      <c r="G17" s="294"/>
      <c r="H17" s="294"/>
      <c r="I17" s="294"/>
      <c r="J17" s="294"/>
      <c r="K17" s="219"/>
    </row>
    <row r="18" s="275" customFormat="1" ht="69" customHeight="1" spans="1:11">
      <c r="A18" s="293"/>
      <c r="B18" s="294" t="s">
        <v>346</v>
      </c>
      <c r="C18" s="294"/>
      <c r="D18" s="294"/>
      <c r="E18" s="294"/>
      <c r="F18" s="294"/>
      <c r="G18" s="294"/>
      <c r="H18" s="294"/>
      <c r="I18" s="294"/>
      <c r="J18" s="294"/>
      <c r="K18" s="219"/>
    </row>
    <row r="19" s="275" customFormat="1" ht="69" customHeight="1" spans="1:11">
      <c r="A19" s="293"/>
      <c r="B19" s="294" t="s">
        <v>347</v>
      </c>
      <c r="C19" s="294"/>
      <c r="D19" s="294"/>
      <c r="E19" s="294"/>
      <c r="F19" s="294"/>
      <c r="G19" s="294"/>
      <c r="H19" s="294"/>
      <c r="I19" s="294"/>
      <c r="J19" s="294"/>
      <c r="K19" s="219"/>
    </row>
    <row r="20" s="275" customFormat="1" ht="69" customHeight="1" spans="1:11">
      <c r="A20" s="293"/>
      <c r="B20" s="294" t="s">
        <v>348</v>
      </c>
      <c r="C20" s="294"/>
      <c r="D20" s="294"/>
      <c r="E20" s="294"/>
      <c r="F20" s="294"/>
      <c r="G20" s="294"/>
      <c r="H20" s="294"/>
      <c r="I20" s="294"/>
      <c r="J20" s="294"/>
      <c r="K20" s="219"/>
    </row>
    <row r="21" s="170" customFormat="1" ht="29" customHeight="1" spans="1:11">
      <c r="A21" s="295" t="s">
        <v>321</v>
      </c>
      <c r="B21" s="296"/>
      <c r="C21" s="296"/>
      <c r="D21" s="296"/>
      <c r="E21" s="296"/>
      <c r="F21" s="296"/>
      <c r="G21" s="296"/>
      <c r="H21" s="296"/>
      <c r="I21" s="296"/>
      <c r="J21" s="297"/>
      <c r="K21" s="217"/>
    </row>
    <row r="22" s="170" customFormat="1" ht="19" customHeight="1" spans="1:11">
      <c r="A22" s="272" t="s">
        <v>322</v>
      </c>
      <c r="B22" s="273"/>
      <c r="C22" s="273"/>
      <c r="D22" s="273"/>
      <c r="E22" s="273"/>
      <c r="F22" s="273"/>
      <c r="G22" s="273"/>
      <c r="H22" s="273"/>
      <c r="I22" s="273"/>
      <c r="J22" s="274"/>
      <c r="K22" s="181"/>
    </row>
    <row r="23" s="170" customFormat="1" ht="19" customHeight="1" spans="1:11">
      <c r="A23" s="272"/>
      <c r="B23" s="273"/>
      <c r="C23" s="273"/>
      <c r="D23" s="273"/>
      <c r="E23" s="273"/>
      <c r="F23" s="273"/>
      <c r="G23" s="273"/>
      <c r="H23" s="273"/>
      <c r="I23" s="273"/>
      <c r="J23" s="274"/>
      <c r="K23" s="181"/>
    </row>
    <row r="24" s="170" customFormat="1" ht="29" customHeight="1" spans="1:11">
      <c r="A24" s="269" t="s">
        <v>323</v>
      </c>
      <c r="B24" s="270"/>
      <c r="C24" s="270"/>
      <c r="D24" s="270"/>
      <c r="E24" s="270"/>
      <c r="F24" s="270"/>
      <c r="G24" s="270"/>
      <c r="H24" s="270"/>
      <c r="I24" s="270"/>
      <c r="J24" s="271"/>
      <c r="K24" s="181"/>
    </row>
    <row r="25" s="170" customFormat="1" ht="99" customHeight="1" spans="1:11">
      <c r="A25" s="266" t="s">
        <v>341</v>
      </c>
      <c r="B25" s="267"/>
      <c r="C25" s="267"/>
      <c r="D25" s="267"/>
      <c r="E25" s="267"/>
      <c r="F25" s="267"/>
      <c r="G25" s="267"/>
      <c r="H25" s="267"/>
      <c r="I25" s="267"/>
      <c r="J25" s="268"/>
      <c r="K25" s="181"/>
    </row>
  </sheetData>
  <mergeCells count="21">
    <mergeCell ref="A3:J3"/>
    <mergeCell ref="A4:B4"/>
    <mergeCell ref="I4:J4"/>
    <mergeCell ref="C5:E5"/>
    <mergeCell ref="F5:H5"/>
    <mergeCell ref="A15:B15"/>
    <mergeCell ref="B16:J16"/>
    <mergeCell ref="B17:J17"/>
    <mergeCell ref="B18:J18"/>
    <mergeCell ref="B19:J19"/>
    <mergeCell ref="B20:J20"/>
    <mergeCell ref="A21:J21"/>
    <mergeCell ref="A24:J24"/>
    <mergeCell ref="A25:J25"/>
    <mergeCell ref="A5:A6"/>
    <mergeCell ref="B5:B6"/>
    <mergeCell ref="I5:I6"/>
    <mergeCell ref="J5:J6"/>
    <mergeCell ref="J7:J15"/>
    <mergeCell ref="A1:J2"/>
    <mergeCell ref="A22:J23"/>
  </mergeCells>
  <hyperlinks>
    <hyperlink ref="K5" location="目录!A1" display="返回主页"/>
  </hyperlink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O22"/>
  <sheetViews>
    <sheetView zoomScale="90" zoomScaleNormal="90" workbookViewId="0">
      <selection activeCell="D30" sqref="D30"/>
    </sheetView>
  </sheetViews>
  <sheetFormatPr defaultColWidth="8.725" defaultRowHeight="16.5"/>
  <cols>
    <col min="1" max="2" width="12.25" style="170" customWidth="1"/>
    <col min="3" max="3" width="38.5083333333333" style="170" customWidth="1"/>
    <col min="4" max="4" width="12.5083333333333" style="170" customWidth="1"/>
    <col min="5" max="6" width="17.2583333333333" style="170" customWidth="1"/>
    <col min="7" max="7" width="13.125" style="170" customWidth="1"/>
    <col min="8" max="9" width="17.25" style="170" customWidth="1"/>
    <col min="10" max="10" width="19.45" style="170" customWidth="1"/>
    <col min="11" max="11" width="21" style="170" customWidth="1"/>
    <col min="12" max="12" width="11.9083333333333" style="181" customWidth="1"/>
    <col min="13" max="13" width="11.9083333333333" style="170" customWidth="1"/>
    <col min="14" max="16384" width="8.725" style="170"/>
  </cols>
  <sheetData>
    <row r="1" ht="18" customHeight="1" spans="2:15">
      <c r="B1" s="243" t="s">
        <v>381</v>
      </c>
      <c r="C1" s="243"/>
      <c r="D1" s="243"/>
      <c r="E1" s="243"/>
      <c r="F1" s="243"/>
      <c r="G1" s="243"/>
      <c r="H1" s="243"/>
      <c r="I1" s="243"/>
      <c r="J1" s="243"/>
      <c r="K1" s="243"/>
    </row>
    <row r="2" ht="18" customHeight="1" spans="2:15">
      <c r="B2" s="243"/>
      <c r="C2" s="243"/>
      <c r="D2" s="243"/>
      <c r="E2" s="243"/>
      <c r="F2" s="243"/>
      <c r="G2" s="243"/>
      <c r="H2" s="243"/>
      <c r="I2" s="243"/>
      <c r="J2" s="243"/>
      <c r="K2" s="243"/>
    </row>
    <row r="3" ht="46" customHeight="1" spans="2:15">
      <c r="B3" s="244" t="s">
        <v>382</v>
      </c>
      <c r="C3" s="245"/>
      <c r="D3" s="245"/>
      <c r="E3" s="245"/>
      <c r="F3" s="245"/>
      <c r="G3" s="245"/>
      <c r="H3" s="245"/>
      <c r="I3" s="245"/>
      <c r="J3" s="245"/>
      <c r="K3" s="245"/>
    </row>
    <row r="4" ht="23" customHeight="1" spans="2:15">
      <c r="B4" s="184" t="s">
        <v>302</v>
      </c>
      <c r="C4" s="184"/>
      <c r="I4" s="184"/>
      <c r="J4" s="185" t="s">
        <v>383</v>
      </c>
      <c r="K4" s="185"/>
    </row>
    <row r="5" ht="27" customHeight="1" spans="2:15">
      <c r="B5" s="246" t="s">
        <v>190</v>
      </c>
      <c r="C5" s="247" t="s">
        <v>191</v>
      </c>
      <c r="D5" s="248" t="s">
        <v>134</v>
      </c>
      <c r="E5" s="249"/>
      <c r="F5" s="249"/>
      <c r="G5" s="248" t="s">
        <v>135</v>
      </c>
      <c r="H5" s="249"/>
      <c r="I5" s="249"/>
      <c r="J5" s="250" t="s">
        <v>136</v>
      </c>
      <c r="K5" s="250" t="s">
        <v>220</v>
      </c>
      <c r="N5" s="199"/>
      <c r="O5" s="200"/>
    </row>
    <row r="6" ht="39" customHeight="1" spans="2:15">
      <c r="B6" s="230"/>
      <c r="C6" s="251"/>
      <c r="D6" s="188" t="s">
        <v>137</v>
      </c>
      <c r="E6" s="252" t="s">
        <v>151</v>
      </c>
      <c r="F6" s="252" t="s">
        <v>140</v>
      </c>
      <c r="G6" s="188" t="s">
        <v>137</v>
      </c>
      <c r="H6" s="252" t="s">
        <v>151</v>
      </c>
      <c r="I6" s="252" t="s">
        <v>140</v>
      </c>
      <c r="J6" s="190"/>
      <c r="K6" s="190"/>
      <c r="N6" s="199"/>
      <c r="O6" s="200"/>
    </row>
    <row r="7" ht="86" customHeight="1" spans="2:15">
      <c r="B7" s="203" t="s">
        <v>192</v>
      </c>
      <c r="C7" s="253" t="s">
        <v>384</v>
      </c>
      <c r="D7" s="254" t="e">
        <f>(价格汇总!#REF!)</f>
        <v>#REF!</v>
      </c>
      <c r="E7" s="255" t="e">
        <f>(价格汇总!#REF!)</f>
        <v>#REF!</v>
      </c>
      <c r="F7" s="256" t="e">
        <f>(价格汇总!#REF!)</f>
        <v>#REF!</v>
      </c>
      <c r="G7" s="254" t="e">
        <f>(价格汇总!#REF!)</f>
        <v>#REF!</v>
      </c>
      <c r="H7" s="255" t="e">
        <f>(价格汇总!#REF!)</f>
        <v>#REF!</v>
      </c>
      <c r="I7" s="256" t="e">
        <f>(价格汇总!#REF!)</f>
        <v>#REF!</v>
      </c>
      <c r="J7" s="257" t="s">
        <v>385</v>
      </c>
      <c r="K7" s="198" t="s">
        <v>386</v>
      </c>
      <c r="N7" s="199"/>
      <c r="O7" s="200"/>
    </row>
    <row r="8" ht="91" customHeight="1" spans="2:15">
      <c r="B8" s="193" t="s">
        <v>193</v>
      </c>
      <c r="C8" s="258" t="s">
        <v>387</v>
      </c>
      <c r="D8" s="254" t="e">
        <f>(价格汇总!#REF!)</f>
        <v>#REF!</v>
      </c>
      <c r="E8" s="255" t="e">
        <f>(价格汇总!#REF!)</f>
        <v>#REF!</v>
      </c>
      <c r="F8" s="256" t="e">
        <f>(价格汇总!#REF!)</f>
        <v>#REF!</v>
      </c>
      <c r="G8" s="254" t="e">
        <f>(价格汇总!#REF!)</f>
        <v>#REF!</v>
      </c>
      <c r="H8" s="255" t="e">
        <f>(价格汇总!#REF!)</f>
        <v>#REF!</v>
      </c>
      <c r="I8" s="256" t="e">
        <f>(价格汇总!#REF!)</f>
        <v>#REF!</v>
      </c>
      <c r="J8" s="257" t="s">
        <v>385</v>
      </c>
      <c r="K8" s="202"/>
      <c r="N8" s="199"/>
      <c r="O8" s="200"/>
    </row>
    <row r="9" ht="53" customHeight="1" spans="2:15">
      <c r="B9" s="193" t="s">
        <v>195</v>
      </c>
      <c r="C9" s="258" t="s">
        <v>388</v>
      </c>
      <c r="D9" s="254" t="e">
        <f>(价格汇总!#REF!)</f>
        <v>#REF!</v>
      </c>
      <c r="E9" s="255" t="e">
        <f>(价格汇总!#REF!)</f>
        <v>#REF!</v>
      </c>
      <c r="F9" s="256" t="e">
        <f>(价格汇总!#REF!)</f>
        <v>#REF!</v>
      </c>
      <c r="G9" s="254" t="e">
        <f>(价格汇总!#REF!)</f>
        <v>#REF!</v>
      </c>
      <c r="H9" s="255" t="e">
        <f>(价格汇总!#REF!)</f>
        <v>#REF!</v>
      </c>
      <c r="I9" s="256" t="e">
        <f>(价格汇总!#REF!)</f>
        <v>#REF!</v>
      </c>
      <c r="J9" s="257" t="s">
        <v>385</v>
      </c>
      <c r="K9" s="202"/>
      <c r="N9" s="199"/>
      <c r="O9" s="200"/>
    </row>
    <row r="10" ht="71" customHeight="1" spans="2:15">
      <c r="B10" s="193" t="s">
        <v>196</v>
      </c>
      <c r="C10" s="259" t="s">
        <v>389</v>
      </c>
      <c r="D10" s="254" t="e">
        <f>(价格汇总!#REF!)</f>
        <v>#REF!</v>
      </c>
      <c r="E10" s="255" t="e">
        <f>(价格汇总!#REF!)</f>
        <v>#REF!</v>
      </c>
      <c r="F10" s="256" t="e">
        <f>(价格汇总!#REF!)</f>
        <v>#REF!</v>
      </c>
      <c r="G10" s="254" t="e">
        <f>(价格汇总!#REF!)</f>
        <v>#REF!</v>
      </c>
      <c r="H10" s="255" t="e">
        <f>(价格汇总!#REF!)</f>
        <v>#REF!</v>
      </c>
      <c r="I10" s="256" t="e">
        <f>(价格汇总!#REF!)</f>
        <v>#REF!</v>
      </c>
      <c r="J10" s="260" t="s">
        <v>385</v>
      </c>
      <c r="K10" s="202"/>
      <c r="N10" s="199"/>
      <c r="O10" s="200"/>
    </row>
    <row r="11" ht="26" customHeight="1" spans="2:15">
      <c r="B11" s="203"/>
      <c r="C11" s="261" t="s">
        <v>185</v>
      </c>
      <c r="D11" s="195" t="e">
        <f>(价格汇总!#REF!)</f>
        <v>#REF!</v>
      </c>
      <c r="E11" s="195"/>
      <c r="F11" s="262" t="s">
        <v>38</v>
      </c>
      <c r="G11" s="262" t="s">
        <v>38</v>
      </c>
      <c r="H11" s="262" t="s">
        <v>38</v>
      </c>
      <c r="I11" s="232" t="e">
        <f>(价格汇总!#REF!)</f>
        <v>#REF!</v>
      </c>
      <c r="J11" s="257" t="s">
        <v>364</v>
      </c>
      <c r="K11" s="202"/>
      <c r="N11" s="199"/>
      <c r="O11" s="200"/>
    </row>
    <row r="12" ht="28" customHeight="1" spans="2:15">
      <c r="B12" s="210" t="s">
        <v>390</v>
      </c>
      <c r="C12" s="211"/>
      <c r="D12" s="211"/>
      <c r="E12" s="211"/>
      <c r="F12" s="211"/>
      <c r="G12" s="211"/>
      <c r="H12" s="211"/>
      <c r="I12" s="211"/>
      <c r="J12" s="211"/>
      <c r="K12" s="212"/>
    </row>
    <row r="13" ht="27" customHeight="1" spans="2:15">
      <c r="B13" s="263" t="s">
        <v>319</v>
      </c>
      <c r="C13" s="264"/>
      <c r="D13" s="264"/>
      <c r="E13" s="264"/>
      <c r="F13" s="264"/>
      <c r="G13" s="264"/>
      <c r="H13" s="264"/>
      <c r="I13" s="264"/>
      <c r="J13" s="264"/>
      <c r="K13" s="265"/>
    </row>
    <row r="14" ht="36" customHeight="1" spans="2:15">
      <c r="B14" s="266" t="s">
        <v>320</v>
      </c>
      <c r="C14" s="267"/>
      <c r="D14" s="267"/>
      <c r="E14" s="267"/>
      <c r="F14" s="267"/>
      <c r="G14" s="267"/>
      <c r="H14" s="267"/>
      <c r="I14" s="267"/>
      <c r="J14" s="267"/>
      <c r="K14" s="268"/>
      <c r="L14" s="217"/>
      <c r="M14" s="219"/>
    </row>
    <row r="15" ht="36" customHeight="1" spans="2:15">
      <c r="B15" s="266"/>
      <c r="C15" s="267"/>
      <c r="D15" s="267"/>
      <c r="E15" s="267"/>
      <c r="F15" s="267"/>
      <c r="G15" s="267"/>
      <c r="H15" s="267"/>
      <c r="I15" s="267"/>
      <c r="J15" s="267"/>
      <c r="K15" s="268"/>
      <c r="L15" s="217"/>
      <c r="M15" s="219"/>
    </row>
    <row r="16" ht="36" customHeight="1" spans="2:15">
      <c r="B16" s="266"/>
      <c r="C16" s="267"/>
      <c r="D16" s="267"/>
      <c r="E16" s="267"/>
      <c r="F16" s="267"/>
      <c r="G16" s="267"/>
      <c r="H16" s="267"/>
      <c r="I16" s="267"/>
      <c r="J16" s="267"/>
      <c r="K16" s="268"/>
      <c r="L16" s="217"/>
      <c r="M16" s="219"/>
    </row>
    <row r="17" ht="36" customHeight="1" spans="2:13">
      <c r="B17" s="266"/>
      <c r="C17" s="267"/>
      <c r="D17" s="267"/>
      <c r="E17" s="267"/>
      <c r="F17" s="267"/>
      <c r="G17" s="267"/>
      <c r="H17" s="267"/>
      <c r="I17" s="267"/>
      <c r="J17" s="267"/>
      <c r="K17" s="268"/>
      <c r="L17" s="217"/>
      <c r="M17" s="219"/>
    </row>
    <row r="18" ht="29" customHeight="1" spans="2:13">
      <c r="B18" s="269" t="s">
        <v>321</v>
      </c>
      <c r="C18" s="270"/>
      <c r="D18" s="270"/>
      <c r="E18" s="270"/>
      <c r="F18" s="270"/>
      <c r="G18" s="270"/>
      <c r="H18" s="270"/>
      <c r="I18" s="270"/>
      <c r="J18" s="270"/>
      <c r="K18" s="271"/>
      <c r="L18" s="217"/>
      <c r="M18" s="219"/>
    </row>
    <row r="19" ht="21" customHeight="1" spans="2:13">
      <c r="B19" s="272" t="s">
        <v>322</v>
      </c>
      <c r="C19" s="273"/>
      <c r="D19" s="273"/>
      <c r="E19" s="273"/>
      <c r="F19" s="273"/>
      <c r="G19" s="273"/>
      <c r="H19" s="273"/>
      <c r="I19" s="273"/>
      <c r="J19" s="273"/>
      <c r="K19" s="274"/>
    </row>
    <row r="20" ht="21" customHeight="1" spans="2:13">
      <c r="B20" s="272"/>
      <c r="C20" s="273"/>
      <c r="D20" s="273"/>
      <c r="E20" s="273"/>
      <c r="F20" s="273"/>
      <c r="G20" s="273"/>
      <c r="H20" s="273"/>
      <c r="I20" s="273"/>
      <c r="J20" s="273"/>
      <c r="K20" s="274"/>
    </row>
    <row r="21" ht="29" customHeight="1" spans="2:13">
      <c r="B21" s="269" t="s">
        <v>323</v>
      </c>
      <c r="C21" s="270"/>
      <c r="D21" s="270"/>
      <c r="E21" s="270"/>
      <c r="F21" s="270"/>
      <c r="G21" s="270"/>
      <c r="H21" s="270"/>
      <c r="I21" s="270"/>
      <c r="J21" s="270"/>
      <c r="K21" s="271"/>
    </row>
    <row r="22" ht="109" customHeight="1" spans="2:13">
      <c r="B22" s="266" t="s">
        <v>391</v>
      </c>
      <c r="C22" s="267"/>
      <c r="D22" s="267"/>
      <c r="E22" s="267"/>
      <c r="F22" s="267"/>
      <c r="G22" s="267"/>
      <c r="H22" s="267"/>
      <c r="I22" s="267"/>
      <c r="J22" s="267"/>
      <c r="K22" s="268"/>
    </row>
  </sheetData>
  <mergeCells count="19">
    <mergeCell ref="B3:K3"/>
    <mergeCell ref="B4:C4"/>
    <mergeCell ref="J4:K4"/>
    <mergeCell ref="D5:F5"/>
    <mergeCell ref="G5:I5"/>
    <mergeCell ref="D11:E11"/>
    <mergeCell ref="B12:K12"/>
    <mergeCell ref="B13:K13"/>
    <mergeCell ref="B18:K18"/>
    <mergeCell ref="B21:K21"/>
    <mergeCell ref="B22:K22"/>
    <mergeCell ref="B5:B6"/>
    <mergeCell ref="C5:C6"/>
    <mergeCell ref="J5:J6"/>
    <mergeCell ref="K5:K6"/>
    <mergeCell ref="K7:K11"/>
    <mergeCell ref="B1:K2"/>
    <mergeCell ref="B14:K17"/>
    <mergeCell ref="B19:K20"/>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P24"/>
  <sheetViews>
    <sheetView workbookViewId="0">
      <selection activeCell="A3" sqref="A3:B3"/>
    </sheetView>
  </sheetViews>
  <sheetFormatPr defaultColWidth="8.725" defaultRowHeight="16.5"/>
  <cols>
    <col min="1" max="1" width="13" style="170" customWidth="1"/>
    <col min="2" max="2" width="35" style="170" customWidth="1"/>
    <col min="3" max="9" width="12.625" style="170" customWidth="1"/>
    <col min="10" max="10" width="12.625" style="200" customWidth="1"/>
    <col min="11" max="11" width="21.125" style="170" customWidth="1"/>
    <col min="12" max="12" width="20.25" style="170" customWidth="1"/>
    <col min="13" max="13" width="11.9083333333333" style="181" customWidth="1"/>
    <col min="14" max="14" width="11.9083333333333" style="170" customWidth="1"/>
    <col min="15" max="16384" width="8.725" style="170"/>
  </cols>
  <sheetData>
    <row r="1" ht="48" customHeight="1" spans="1:16">
      <c r="A1" s="131" t="s">
        <v>392</v>
      </c>
      <c r="B1" s="131"/>
      <c r="C1" s="131"/>
      <c r="D1" s="131"/>
      <c r="E1" s="131"/>
      <c r="F1" s="131"/>
      <c r="G1" s="131"/>
      <c r="H1" s="131"/>
      <c r="I1" s="131"/>
      <c r="J1" s="131"/>
      <c r="K1" s="131"/>
      <c r="L1" s="131"/>
      <c r="M1" s="228"/>
      <c r="N1" s="181"/>
    </row>
    <row r="2" ht="58" customHeight="1" spans="1:16">
      <c r="A2" s="182" t="s">
        <v>393</v>
      </c>
      <c r="B2" s="183"/>
      <c r="C2" s="183"/>
      <c r="D2" s="183"/>
      <c r="E2" s="183"/>
      <c r="F2" s="183"/>
      <c r="G2" s="183"/>
      <c r="H2" s="183"/>
      <c r="I2" s="183"/>
      <c r="J2" s="183"/>
      <c r="K2" s="183"/>
      <c r="L2" s="183"/>
      <c r="M2" s="228"/>
      <c r="N2" s="181"/>
    </row>
    <row r="3" ht="28" customHeight="1" spans="1:16">
      <c r="A3" s="184" t="s">
        <v>302</v>
      </c>
      <c r="B3" s="184"/>
      <c r="J3" s="184"/>
      <c r="K3" s="185" t="s">
        <v>217</v>
      </c>
      <c r="L3" s="185"/>
      <c r="M3" s="228"/>
      <c r="N3" s="181"/>
    </row>
    <row r="4" ht="30" customHeight="1" spans="1:16">
      <c r="A4" s="229" t="s">
        <v>190</v>
      </c>
      <c r="B4" s="187" t="s">
        <v>191</v>
      </c>
      <c r="C4" s="188" t="s">
        <v>134</v>
      </c>
      <c r="D4" s="189"/>
      <c r="E4" s="189"/>
      <c r="F4" s="189"/>
      <c r="G4" s="188" t="s">
        <v>135</v>
      </c>
      <c r="H4" s="189"/>
      <c r="I4" s="189"/>
      <c r="J4" s="189"/>
      <c r="K4" s="190" t="s">
        <v>136</v>
      </c>
      <c r="L4" s="190" t="s">
        <v>220</v>
      </c>
    </row>
    <row r="5" ht="46" customHeight="1" spans="1:16">
      <c r="A5" s="230"/>
      <c r="B5" s="192"/>
      <c r="C5" s="190" t="s">
        <v>137</v>
      </c>
      <c r="D5" s="190" t="s">
        <v>138</v>
      </c>
      <c r="E5" s="190" t="s">
        <v>139</v>
      </c>
      <c r="F5" s="190" t="s">
        <v>151</v>
      </c>
      <c r="G5" s="190" t="s">
        <v>137</v>
      </c>
      <c r="H5" s="190" t="s">
        <v>138</v>
      </c>
      <c r="I5" s="190" t="s">
        <v>139</v>
      </c>
      <c r="J5" s="190" t="s">
        <v>151</v>
      </c>
      <c r="K5" s="190"/>
      <c r="L5" s="190"/>
    </row>
    <row r="6" ht="65" customHeight="1" spans="1:16">
      <c r="A6" s="193" t="s">
        <v>192</v>
      </c>
      <c r="B6" s="231" t="s">
        <v>201</v>
      </c>
      <c r="C6" s="195">
        <f>(价格汇总!G124)</f>
        <v>940</v>
      </c>
      <c r="D6" s="232">
        <f>(价格汇总!H124)</f>
        <v>5.7</v>
      </c>
      <c r="E6" s="232">
        <f>(价格汇总!M124)</f>
        <v>5.2</v>
      </c>
      <c r="F6" s="196">
        <f>(价格汇总!I124)</f>
        <v>4.7</v>
      </c>
      <c r="G6" s="195">
        <f>(价格汇总!J124)</f>
        <v>940</v>
      </c>
      <c r="H6" s="232">
        <f>(价格汇总!K124)</f>
        <v>5.7</v>
      </c>
      <c r="I6" s="232">
        <f>(价格汇总!N124)</f>
        <v>5.2</v>
      </c>
      <c r="J6" s="196">
        <f>(价格汇总!L124)</f>
        <v>4.7</v>
      </c>
      <c r="K6" s="197" t="s">
        <v>385</v>
      </c>
      <c r="L6" s="202" t="s">
        <v>394</v>
      </c>
      <c r="O6" s="199"/>
      <c r="P6" s="200"/>
    </row>
    <row r="7" ht="97" customHeight="1" spans="1:16">
      <c r="A7" s="193" t="s">
        <v>193</v>
      </c>
      <c r="B7" s="231" t="s">
        <v>202</v>
      </c>
      <c r="C7" s="195">
        <f>(价格汇总!G125)</f>
        <v>1000</v>
      </c>
      <c r="D7" s="232">
        <f>(价格汇总!H125)</f>
        <v>6</v>
      </c>
      <c r="E7" s="232">
        <f>(价格汇总!M125)</f>
        <v>5.5</v>
      </c>
      <c r="F7" s="196">
        <f>(价格汇总!I125)</f>
        <v>5</v>
      </c>
      <c r="G7" s="195">
        <f>(价格汇总!J125)</f>
        <v>1000</v>
      </c>
      <c r="H7" s="232">
        <f>(价格汇总!K125)</f>
        <v>6</v>
      </c>
      <c r="I7" s="232">
        <f>(价格汇总!N125)</f>
        <v>5.5</v>
      </c>
      <c r="J7" s="196">
        <f>(价格汇总!L125)</f>
        <v>5</v>
      </c>
      <c r="K7" s="197" t="s">
        <v>385</v>
      </c>
      <c r="L7" s="202"/>
      <c r="O7" s="199"/>
      <c r="P7" s="200"/>
    </row>
    <row r="8" ht="96" customHeight="1" spans="1:16">
      <c r="A8" s="193" t="s">
        <v>195</v>
      </c>
      <c r="B8" s="231" t="s">
        <v>203</v>
      </c>
      <c r="C8" s="195">
        <f>(价格汇总!G126)</f>
        <v>1040</v>
      </c>
      <c r="D8" s="232">
        <f>(价格汇总!H126)</f>
        <v>6.2</v>
      </c>
      <c r="E8" s="232">
        <f>(价格汇总!M126)</f>
        <v>5.7</v>
      </c>
      <c r="F8" s="196">
        <f>(价格汇总!I126)</f>
        <v>5.2</v>
      </c>
      <c r="G8" s="195">
        <f>(价格汇总!J126)</f>
        <v>1040</v>
      </c>
      <c r="H8" s="232">
        <f>(价格汇总!K126)</f>
        <v>6.2</v>
      </c>
      <c r="I8" s="232">
        <f>(价格汇总!N126)</f>
        <v>5.7</v>
      </c>
      <c r="J8" s="196">
        <f>(价格汇总!L126)</f>
        <v>5.2</v>
      </c>
      <c r="K8" s="197" t="s">
        <v>395</v>
      </c>
      <c r="L8" s="202"/>
      <c r="O8" s="199"/>
      <c r="P8" s="200"/>
    </row>
    <row r="9" ht="72" customHeight="1" spans="1:16">
      <c r="A9" s="193" t="s">
        <v>196</v>
      </c>
      <c r="B9" s="231" t="s">
        <v>204</v>
      </c>
      <c r="C9" s="195">
        <f>(价格汇总!G127)</f>
        <v>1080</v>
      </c>
      <c r="D9" s="232">
        <f>(价格汇总!H127)</f>
        <v>6.4</v>
      </c>
      <c r="E9" s="232">
        <f>(价格汇总!M127)</f>
        <v>5.9</v>
      </c>
      <c r="F9" s="196">
        <f>(价格汇总!I127)</f>
        <v>5.4</v>
      </c>
      <c r="G9" s="195">
        <f>(价格汇总!J127)</f>
        <v>1080</v>
      </c>
      <c r="H9" s="232">
        <f>(价格汇总!K127)</f>
        <v>6.4</v>
      </c>
      <c r="I9" s="232">
        <f>(价格汇总!N127)</f>
        <v>5.9</v>
      </c>
      <c r="J9" s="196">
        <f>(价格汇总!L127)</f>
        <v>5.4</v>
      </c>
      <c r="K9" s="197" t="s">
        <v>395</v>
      </c>
      <c r="L9" s="202"/>
      <c r="O9" s="199"/>
      <c r="P9" s="200"/>
    </row>
    <row r="10" ht="90" customHeight="1" spans="1:16">
      <c r="A10" s="203" t="s">
        <v>197</v>
      </c>
      <c r="B10" s="231" t="s">
        <v>205</v>
      </c>
      <c r="C10" s="195">
        <f>(价格汇总!G128)</f>
        <v>1140</v>
      </c>
      <c r="D10" s="232">
        <f>(价格汇总!H128)</f>
        <v>6.7</v>
      </c>
      <c r="E10" s="232">
        <f>(价格汇总!M128)</f>
        <v>6.2</v>
      </c>
      <c r="F10" s="196">
        <f>(价格汇总!I128)</f>
        <v>5.7</v>
      </c>
      <c r="G10" s="195">
        <f>(价格汇总!J128)</f>
        <v>1140</v>
      </c>
      <c r="H10" s="232">
        <f>(价格汇总!K128)</f>
        <v>6.7</v>
      </c>
      <c r="I10" s="232">
        <f>(价格汇总!N128)</f>
        <v>6.2</v>
      </c>
      <c r="J10" s="196">
        <f>(价格汇总!L128)</f>
        <v>5.7</v>
      </c>
      <c r="K10" s="197" t="s">
        <v>395</v>
      </c>
      <c r="L10" s="202"/>
      <c r="O10" s="199"/>
      <c r="P10" s="200"/>
    </row>
    <row r="11" ht="79" customHeight="1" spans="1:16">
      <c r="A11" s="203" t="s">
        <v>198</v>
      </c>
      <c r="B11" s="231" t="s">
        <v>206</v>
      </c>
      <c r="C11" s="195">
        <f>(价格汇总!G129)</f>
        <v>1200</v>
      </c>
      <c r="D11" s="232">
        <f>(价格汇总!H129)</f>
        <v>7</v>
      </c>
      <c r="E11" s="232">
        <f>(价格汇总!M129)</f>
        <v>6.5</v>
      </c>
      <c r="F11" s="196">
        <f>(价格汇总!I129)</f>
        <v>6</v>
      </c>
      <c r="G11" s="195">
        <f>(价格汇总!J129)</f>
        <v>1200</v>
      </c>
      <c r="H11" s="232">
        <f>(价格汇总!K129)</f>
        <v>7</v>
      </c>
      <c r="I11" s="232">
        <f>(价格汇总!N129)</f>
        <v>6.5</v>
      </c>
      <c r="J11" s="196">
        <f>(价格汇总!L129)</f>
        <v>6</v>
      </c>
      <c r="K11" s="197" t="s">
        <v>395</v>
      </c>
      <c r="L11" s="202"/>
      <c r="O11" s="199"/>
      <c r="P11" s="200"/>
    </row>
    <row r="12" ht="95" customHeight="1" spans="1:16">
      <c r="A12" s="203" t="s">
        <v>199</v>
      </c>
      <c r="B12" s="231" t="s">
        <v>207</v>
      </c>
      <c r="C12" s="195">
        <f>(价格汇总!G130)</f>
        <v>1440</v>
      </c>
      <c r="D12" s="232">
        <f>(价格汇总!H130)</f>
        <v>8.2</v>
      </c>
      <c r="E12" s="232">
        <f>(价格汇总!M130)</f>
        <v>7.7</v>
      </c>
      <c r="F12" s="196">
        <f>(价格汇总!I130)</f>
        <v>7.2</v>
      </c>
      <c r="G12" s="195">
        <f>(价格汇总!J130)</f>
        <v>1440</v>
      </c>
      <c r="H12" s="232">
        <f>(价格汇总!K130)</f>
        <v>8.2</v>
      </c>
      <c r="I12" s="232">
        <f>(价格汇总!N130)</f>
        <v>7.7</v>
      </c>
      <c r="J12" s="196">
        <f>(价格汇总!L130)</f>
        <v>7.2</v>
      </c>
      <c r="K12" s="197" t="s">
        <v>395</v>
      </c>
      <c r="L12" s="202"/>
      <c r="O12" s="199"/>
      <c r="P12" s="200"/>
    </row>
    <row r="13" ht="42.75" spans="1:16">
      <c r="A13" s="233"/>
      <c r="B13" s="234" t="s">
        <v>396</v>
      </c>
      <c r="C13" s="195">
        <f>(价格汇总!G131)</f>
        <v>940</v>
      </c>
      <c r="D13" s="207">
        <f>(价格汇总!I131)</f>
        <v>4.7</v>
      </c>
      <c r="E13" s="208"/>
      <c r="F13" s="209"/>
      <c r="G13" s="195">
        <f>(价格汇总!J131)</f>
        <v>940</v>
      </c>
      <c r="H13" s="207">
        <f>(价格汇总!L131)</f>
        <v>4.7</v>
      </c>
      <c r="I13" s="208"/>
      <c r="J13" s="209"/>
      <c r="K13" s="235" t="s">
        <v>385</v>
      </c>
      <c r="L13" s="202"/>
      <c r="O13" s="199"/>
      <c r="P13" s="200"/>
    </row>
    <row r="14" ht="28" customHeight="1" spans="1:16">
      <c r="A14" s="236" t="s">
        <v>390</v>
      </c>
      <c r="B14" s="237"/>
      <c r="C14" s="238"/>
      <c r="D14" s="238"/>
      <c r="E14" s="238"/>
      <c r="F14" s="238"/>
      <c r="G14" s="238"/>
      <c r="H14" s="238"/>
      <c r="I14" s="238"/>
      <c r="J14" s="238"/>
      <c r="K14" s="237"/>
      <c r="L14" s="239"/>
    </row>
    <row r="15" ht="27" customHeight="1" spans="1:16">
      <c r="A15" s="240" t="s">
        <v>319</v>
      </c>
      <c r="B15" s="241"/>
      <c r="C15" s="241"/>
      <c r="D15" s="241"/>
      <c r="E15" s="241"/>
      <c r="F15" s="241"/>
      <c r="G15" s="241"/>
      <c r="H15" s="241"/>
      <c r="I15" s="241"/>
      <c r="J15" s="241"/>
      <c r="K15" s="241"/>
      <c r="L15" s="242"/>
    </row>
    <row r="16" ht="35" customHeight="1" spans="1:16">
      <c r="A16" s="216" t="s">
        <v>320</v>
      </c>
      <c r="B16" s="217"/>
      <c r="C16" s="217"/>
      <c r="D16" s="217"/>
      <c r="E16" s="217"/>
      <c r="F16" s="217"/>
      <c r="G16" s="217"/>
      <c r="H16" s="217"/>
      <c r="I16" s="217"/>
      <c r="J16" s="217"/>
      <c r="K16" s="217"/>
      <c r="L16" s="218"/>
      <c r="M16" s="217"/>
      <c r="N16" s="219"/>
    </row>
    <row r="17" ht="35" customHeight="1" spans="1:14">
      <c r="A17" s="216"/>
      <c r="B17" s="217"/>
      <c r="C17" s="217"/>
      <c r="D17" s="217"/>
      <c r="E17" s="217"/>
      <c r="F17" s="217"/>
      <c r="G17" s="217"/>
      <c r="H17" s="217"/>
      <c r="I17" s="217"/>
      <c r="J17" s="217"/>
      <c r="K17" s="217"/>
      <c r="L17" s="218"/>
      <c r="M17" s="217"/>
      <c r="N17" s="219"/>
    </row>
    <row r="18" ht="35" customHeight="1" spans="1:14">
      <c r="A18" s="216"/>
      <c r="B18" s="217"/>
      <c r="C18" s="217"/>
      <c r="D18" s="217"/>
      <c r="E18" s="217"/>
      <c r="F18" s="217"/>
      <c r="G18" s="217"/>
      <c r="H18" s="217"/>
      <c r="I18" s="217"/>
      <c r="J18" s="217"/>
      <c r="K18" s="217"/>
      <c r="L18" s="218"/>
      <c r="M18" s="217"/>
      <c r="N18" s="219"/>
    </row>
    <row r="19" ht="35" customHeight="1" spans="1:14">
      <c r="A19" s="216"/>
      <c r="B19" s="217"/>
      <c r="C19" s="217"/>
      <c r="D19" s="217"/>
      <c r="E19" s="217"/>
      <c r="F19" s="217"/>
      <c r="G19" s="217"/>
      <c r="H19" s="217"/>
      <c r="I19" s="217"/>
      <c r="J19" s="217"/>
      <c r="K19" s="217"/>
      <c r="L19" s="218"/>
      <c r="M19" s="217"/>
      <c r="N19" s="219"/>
    </row>
    <row r="20" ht="29" customHeight="1" spans="1:14">
      <c r="A20" s="220" t="s">
        <v>321</v>
      </c>
      <c r="B20" s="221"/>
      <c r="C20" s="221"/>
      <c r="D20" s="221"/>
      <c r="E20" s="221"/>
      <c r="F20" s="221"/>
      <c r="G20" s="221"/>
      <c r="H20" s="221"/>
      <c r="I20" s="221"/>
      <c r="J20" s="221"/>
      <c r="K20" s="221"/>
      <c r="L20" s="222"/>
      <c r="M20" s="217"/>
      <c r="N20" s="219"/>
    </row>
    <row r="21" ht="25" customHeight="1" spans="1:14">
      <c r="A21" s="223" t="s">
        <v>322</v>
      </c>
      <c r="B21" s="219"/>
      <c r="C21" s="219"/>
      <c r="D21" s="219"/>
      <c r="E21" s="219"/>
      <c r="F21" s="219"/>
      <c r="G21" s="219"/>
      <c r="H21" s="219"/>
      <c r="I21" s="219"/>
      <c r="J21" s="219"/>
      <c r="K21" s="219"/>
      <c r="L21" s="224"/>
    </row>
    <row r="22" ht="19" customHeight="1" spans="1:14">
      <c r="A22" s="223"/>
      <c r="B22" s="219"/>
      <c r="C22" s="219"/>
      <c r="D22" s="219"/>
      <c r="E22" s="219"/>
      <c r="F22" s="219"/>
      <c r="G22" s="219"/>
      <c r="H22" s="219"/>
      <c r="I22" s="219"/>
      <c r="J22" s="219"/>
      <c r="K22" s="219"/>
      <c r="L22" s="224"/>
    </row>
    <row r="23" ht="29" customHeight="1" spans="1:14">
      <c r="A23" s="220" t="s">
        <v>323</v>
      </c>
      <c r="B23" s="221"/>
      <c r="C23" s="221"/>
      <c r="D23" s="221"/>
      <c r="E23" s="221"/>
      <c r="F23" s="221"/>
      <c r="G23" s="221"/>
      <c r="H23" s="221"/>
      <c r="I23" s="221"/>
      <c r="J23" s="221"/>
      <c r="K23" s="221"/>
      <c r="L23" s="222"/>
    </row>
    <row r="24" ht="116" customHeight="1" spans="1:14">
      <c r="A24" s="225" t="s">
        <v>341</v>
      </c>
      <c r="B24" s="226"/>
      <c r="C24" s="226"/>
      <c r="D24" s="226"/>
      <c r="E24" s="226"/>
      <c r="F24" s="226"/>
      <c r="G24" s="226"/>
      <c r="H24" s="226"/>
      <c r="I24" s="226"/>
      <c r="J24" s="226"/>
      <c r="K24" s="226"/>
      <c r="L24" s="227"/>
    </row>
  </sheetData>
  <mergeCells count="20">
    <mergeCell ref="A1:L1"/>
    <mergeCell ref="A2:L2"/>
    <mergeCell ref="A3:B3"/>
    <mergeCell ref="K3:L3"/>
    <mergeCell ref="C4:F4"/>
    <mergeCell ref="G4:J4"/>
    <mergeCell ref="D13:F13"/>
    <mergeCell ref="H13:J13"/>
    <mergeCell ref="A14:L14"/>
    <mergeCell ref="A15:L15"/>
    <mergeCell ref="A20:L20"/>
    <mergeCell ref="A23:L23"/>
    <mergeCell ref="A24:L24"/>
    <mergeCell ref="A4:A5"/>
    <mergeCell ref="B4:B5"/>
    <mergeCell ref="K4:K5"/>
    <mergeCell ref="L4:L5"/>
    <mergeCell ref="L6:L13"/>
    <mergeCell ref="A16:L19"/>
    <mergeCell ref="A21:L2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P24"/>
  <sheetViews>
    <sheetView showGridLines="0" workbookViewId="0">
      <selection activeCell="M7" sqref="M7"/>
    </sheetView>
  </sheetViews>
  <sheetFormatPr defaultColWidth="8.725" defaultRowHeight="16.5"/>
  <cols>
    <col min="1" max="1" width="13.25" style="170" customWidth="1"/>
    <col min="2" max="2" width="33.5083333333333" style="170" customWidth="1"/>
    <col min="3" max="10" width="11.75" style="170" customWidth="1"/>
    <col min="11" max="11" width="20" style="170" customWidth="1"/>
    <col min="12" max="12" width="19.45" style="170" customWidth="1"/>
    <col min="13" max="13" width="11.9083333333333" style="181" customWidth="1"/>
    <col min="14" max="14" width="11.9083333333333" style="170" customWidth="1"/>
    <col min="15" max="16384" width="8.725" style="170"/>
  </cols>
  <sheetData>
    <row r="1" s="170" customFormat="1" ht="18" customHeight="1" spans="1:16">
      <c r="A1" s="131" t="s">
        <v>208</v>
      </c>
      <c r="B1" s="131"/>
      <c r="C1" s="131"/>
      <c r="D1" s="131"/>
      <c r="E1" s="131"/>
      <c r="F1" s="131"/>
      <c r="G1" s="131"/>
      <c r="H1" s="131"/>
      <c r="I1" s="131"/>
      <c r="J1" s="131"/>
      <c r="K1" s="131"/>
      <c r="L1" s="131"/>
      <c r="M1" s="181"/>
    </row>
    <row r="2" s="170" customFormat="1" ht="18" customHeight="1" spans="1:16">
      <c r="A2" s="131"/>
      <c r="B2" s="131"/>
      <c r="C2" s="131"/>
      <c r="D2" s="131"/>
      <c r="E2" s="131"/>
      <c r="F2" s="131"/>
      <c r="G2" s="131"/>
      <c r="H2" s="131"/>
      <c r="I2" s="131"/>
      <c r="J2" s="131"/>
      <c r="K2" s="131"/>
      <c r="L2" s="131"/>
      <c r="M2" s="181"/>
    </row>
    <row r="3" s="170" customFormat="1" ht="18" customHeight="1" spans="1:16">
      <c r="A3" s="131"/>
      <c r="B3" s="131"/>
      <c r="C3" s="131"/>
      <c r="D3" s="131"/>
      <c r="E3" s="131"/>
      <c r="F3" s="131"/>
      <c r="G3" s="131"/>
      <c r="H3" s="131"/>
      <c r="I3" s="131"/>
      <c r="J3" s="131"/>
      <c r="K3" s="131"/>
      <c r="L3" s="131"/>
      <c r="M3" s="181"/>
    </row>
    <row r="4" s="170" customFormat="1" ht="51" customHeight="1" spans="1:16">
      <c r="A4" s="182" t="s">
        <v>397</v>
      </c>
      <c r="B4" s="183"/>
      <c r="C4" s="183"/>
      <c r="D4" s="183"/>
      <c r="E4" s="183"/>
      <c r="F4" s="183"/>
      <c r="G4" s="183"/>
      <c r="H4" s="183"/>
      <c r="I4" s="183"/>
      <c r="J4" s="183"/>
      <c r="K4" s="183"/>
      <c r="L4" s="183"/>
      <c r="M4" s="181"/>
    </row>
    <row r="5" s="170" customFormat="1" ht="23" customHeight="1" spans="1:16">
      <c r="A5" s="184" t="s">
        <v>302</v>
      </c>
      <c r="B5" s="184"/>
      <c r="J5" s="184"/>
      <c r="K5" s="185" t="s">
        <v>217</v>
      </c>
      <c r="L5" s="185"/>
      <c r="M5" s="181"/>
    </row>
    <row r="6" s="170" customFormat="1" ht="30" customHeight="1" spans="1:16">
      <c r="A6" s="186" t="s">
        <v>190</v>
      </c>
      <c r="B6" s="187" t="s">
        <v>191</v>
      </c>
      <c r="C6" s="188" t="s">
        <v>134</v>
      </c>
      <c r="D6" s="189"/>
      <c r="E6" s="189"/>
      <c r="F6" s="189"/>
      <c r="G6" s="188" t="s">
        <v>135</v>
      </c>
      <c r="H6" s="189"/>
      <c r="I6" s="189"/>
      <c r="J6" s="189"/>
      <c r="K6" s="190" t="s">
        <v>136</v>
      </c>
      <c r="L6" s="190" t="s">
        <v>220</v>
      </c>
      <c r="M6" s="45" t="s">
        <v>222</v>
      </c>
    </row>
    <row r="7" s="170" customFormat="1" ht="51" customHeight="1" spans="1:16">
      <c r="A7" s="191"/>
      <c r="B7" s="192"/>
      <c r="C7" s="190" t="s">
        <v>137</v>
      </c>
      <c r="D7" s="190" t="s">
        <v>138</v>
      </c>
      <c r="E7" s="190" t="s">
        <v>139</v>
      </c>
      <c r="F7" s="190" t="s">
        <v>151</v>
      </c>
      <c r="G7" s="190" t="s">
        <v>137</v>
      </c>
      <c r="H7" s="190" t="s">
        <v>138</v>
      </c>
      <c r="I7" s="190" t="s">
        <v>139</v>
      </c>
      <c r="J7" s="190" t="s">
        <v>151</v>
      </c>
      <c r="K7" s="190"/>
      <c r="L7" s="190"/>
      <c r="M7" s="181"/>
    </row>
    <row r="8" s="170" customFormat="1" ht="63" customHeight="1" spans="1:16">
      <c r="A8" s="193" t="s">
        <v>192</v>
      </c>
      <c r="B8" s="194" t="s">
        <v>209</v>
      </c>
      <c r="C8" s="195">
        <f>(价格汇总!G135)</f>
        <v>1100</v>
      </c>
      <c r="D8" s="195">
        <f>(价格汇总!H135)</f>
        <v>6.5</v>
      </c>
      <c r="E8" s="195">
        <f>(价格汇总!M135)</f>
        <v>6</v>
      </c>
      <c r="F8" s="196">
        <f>(价格汇总!I135)</f>
        <v>5.5</v>
      </c>
      <c r="G8" s="195">
        <f>(价格汇总!J135)</f>
        <v>1100</v>
      </c>
      <c r="H8" s="195">
        <f>(价格汇总!K135)</f>
        <v>6.5</v>
      </c>
      <c r="I8" s="195">
        <f>(价格汇总!N135)</f>
        <v>6</v>
      </c>
      <c r="J8" s="196">
        <f>(价格汇总!L135)</f>
        <v>5.5</v>
      </c>
      <c r="K8" s="197" t="s">
        <v>385</v>
      </c>
      <c r="L8" s="198" t="s">
        <v>398</v>
      </c>
      <c r="M8" s="181"/>
      <c r="O8" s="199"/>
      <c r="P8" s="200"/>
    </row>
    <row r="9" s="170" customFormat="1" ht="58" customHeight="1" spans="1:16">
      <c r="A9" s="193" t="s">
        <v>193</v>
      </c>
      <c r="B9" s="201" t="s">
        <v>210</v>
      </c>
      <c r="C9" s="195">
        <f>(价格汇总!G136)</f>
        <v>1180</v>
      </c>
      <c r="D9" s="195">
        <f>(价格汇总!H136)</f>
        <v>6.9</v>
      </c>
      <c r="E9" s="195">
        <f>(价格汇总!M136)</f>
        <v>6.4</v>
      </c>
      <c r="F9" s="196">
        <f>(价格汇总!I136)</f>
        <v>5.9</v>
      </c>
      <c r="G9" s="195">
        <f>(价格汇总!J136)</f>
        <v>1180</v>
      </c>
      <c r="H9" s="195">
        <f>(价格汇总!K136)</f>
        <v>6.9</v>
      </c>
      <c r="I9" s="195">
        <f>(价格汇总!N136)</f>
        <v>6.4</v>
      </c>
      <c r="J9" s="196">
        <f>(价格汇总!L136)</f>
        <v>5.9</v>
      </c>
      <c r="K9" s="197" t="s">
        <v>385</v>
      </c>
      <c r="L9" s="202"/>
      <c r="M9" s="181"/>
      <c r="O9" s="199"/>
      <c r="P9" s="200"/>
    </row>
    <row r="10" s="170" customFormat="1" ht="105" customHeight="1" spans="1:16">
      <c r="A10" s="203" t="s">
        <v>195</v>
      </c>
      <c r="B10" s="201" t="s">
        <v>211</v>
      </c>
      <c r="C10" s="195">
        <f>(价格汇总!G137)</f>
        <v>1200</v>
      </c>
      <c r="D10" s="195">
        <f>(价格汇总!H137)</f>
        <v>7</v>
      </c>
      <c r="E10" s="195">
        <f>(价格汇总!M137)</f>
        <v>6.5</v>
      </c>
      <c r="F10" s="196">
        <f>(价格汇总!I137)</f>
        <v>6</v>
      </c>
      <c r="G10" s="195">
        <f>(价格汇总!J137)</f>
        <v>1200</v>
      </c>
      <c r="H10" s="195">
        <f>(价格汇总!K137)</f>
        <v>7</v>
      </c>
      <c r="I10" s="195">
        <f>(价格汇总!N137)</f>
        <v>6.5</v>
      </c>
      <c r="J10" s="196">
        <f>(价格汇总!L137)</f>
        <v>6</v>
      </c>
      <c r="K10" s="197" t="s">
        <v>385</v>
      </c>
      <c r="L10" s="202"/>
      <c r="M10" s="181"/>
      <c r="O10" s="199"/>
      <c r="P10" s="200"/>
    </row>
    <row r="11" s="170" customFormat="1" ht="43" customHeight="1" spans="1:16">
      <c r="A11" s="203" t="s">
        <v>196</v>
      </c>
      <c r="B11" s="201" t="s">
        <v>212</v>
      </c>
      <c r="C11" s="195">
        <f>(价格汇总!G138)</f>
        <v>1240</v>
      </c>
      <c r="D11" s="195">
        <f>(价格汇总!H138)</f>
        <v>7.2</v>
      </c>
      <c r="E11" s="195">
        <f>(价格汇总!M138)</f>
        <v>6.7</v>
      </c>
      <c r="F11" s="196">
        <f>(价格汇总!I138)</f>
        <v>6.2</v>
      </c>
      <c r="G11" s="195">
        <f>(价格汇总!J138)</f>
        <v>1240</v>
      </c>
      <c r="H11" s="195">
        <f>(价格汇总!K138)</f>
        <v>7.2</v>
      </c>
      <c r="I11" s="195">
        <f>(价格汇总!N138)</f>
        <v>6.7</v>
      </c>
      <c r="J11" s="196">
        <f>(价格汇总!L138)</f>
        <v>6.2</v>
      </c>
      <c r="K11" s="197" t="s">
        <v>385</v>
      </c>
      <c r="L11" s="202"/>
      <c r="M11" s="181"/>
      <c r="O11" s="199"/>
      <c r="P11" s="200"/>
    </row>
    <row r="12" s="170" customFormat="1" ht="58" customHeight="1" spans="1:16">
      <c r="A12" s="203" t="s">
        <v>197</v>
      </c>
      <c r="B12" s="204" t="s">
        <v>213</v>
      </c>
      <c r="C12" s="195">
        <f>(价格汇总!G139)</f>
        <v>1260</v>
      </c>
      <c r="D12" s="195">
        <f>(价格汇总!H139)</f>
        <v>7.3</v>
      </c>
      <c r="E12" s="195">
        <f>(价格汇总!M139)</f>
        <v>6.8</v>
      </c>
      <c r="F12" s="196">
        <f>(价格汇总!I139)</f>
        <v>6.3</v>
      </c>
      <c r="G12" s="195">
        <f>(价格汇总!J139)</f>
        <v>1260</v>
      </c>
      <c r="H12" s="195">
        <f>(价格汇总!K139)</f>
        <v>7.3</v>
      </c>
      <c r="I12" s="195">
        <f>(价格汇总!N139)</f>
        <v>6.8</v>
      </c>
      <c r="J12" s="196">
        <f>(价格汇总!L139)</f>
        <v>6.3</v>
      </c>
      <c r="K12" s="197" t="s">
        <v>385</v>
      </c>
      <c r="L12" s="202"/>
      <c r="M12" s="181"/>
      <c r="O12" s="199"/>
      <c r="P12" s="200"/>
    </row>
    <row r="13" s="170" customFormat="1" ht="30" customHeight="1" spans="1:16">
      <c r="A13" s="205" t="s">
        <v>317</v>
      </c>
      <c r="B13" s="206"/>
      <c r="C13" s="195">
        <f>(价格汇总!G140)</f>
        <v>1100</v>
      </c>
      <c r="D13" s="207">
        <f>(价格汇总!I140)</f>
        <v>5.5</v>
      </c>
      <c r="E13" s="208"/>
      <c r="F13" s="209"/>
      <c r="G13" s="195">
        <f>(价格汇总!J140)</f>
        <v>1100</v>
      </c>
      <c r="H13" s="207">
        <f>(价格汇总!L140)</f>
        <v>5.5</v>
      </c>
      <c r="I13" s="208"/>
      <c r="J13" s="209"/>
      <c r="K13" s="197" t="s">
        <v>385</v>
      </c>
      <c r="L13" s="202"/>
      <c r="M13" s="181"/>
      <c r="O13" s="199"/>
      <c r="P13" s="200"/>
    </row>
    <row r="14" s="170" customFormat="1" ht="28" customHeight="1" spans="1:16">
      <c r="A14" s="210" t="s">
        <v>390</v>
      </c>
      <c r="B14" s="211"/>
      <c r="C14" s="211"/>
      <c r="D14" s="211"/>
      <c r="E14" s="211"/>
      <c r="F14" s="211"/>
      <c r="G14" s="211"/>
      <c r="H14" s="211"/>
      <c r="I14" s="211"/>
      <c r="J14" s="211"/>
      <c r="K14" s="211"/>
      <c r="L14" s="212"/>
      <c r="M14" s="181"/>
    </row>
    <row r="15" s="170" customFormat="1" ht="27" customHeight="1" spans="1:16">
      <c r="A15" s="213" t="s">
        <v>319</v>
      </c>
      <c r="B15" s="214"/>
      <c r="C15" s="214"/>
      <c r="D15" s="214"/>
      <c r="E15" s="214"/>
      <c r="F15" s="214"/>
      <c r="G15" s="214"/>
      <c r="H15" s="214"/>
      <c r="I15" s="214"/>
      <c r="J15" s="214"/>
      <c r="K15" s="214"/>
      <c r="L15" s="215"/>
      <c r="M15" s="181"/>
    </row>
    <row r="16" s="170" customFormat="1" ht="29" customHeight="1" spans="1:16">
      <c r="A16" s="216" t="s">
        <v>320</v>
      </c>
      <c r="B16" s="217"/>
      <c r="C16" s="217"/>
      <c r="D16" s="217"/>
      <c r="E16" s="217"/>
      <c r="F16" s="217"/>
      <c r="G16" s="217"/>
      <c r="H16" s="217"/>
      <c r="I16" s="217"/>
      <c r="J16" s="217"/>
      <c r="K16" s="217"/>
      <c r="L16" s="218"/>
      <c r="M16" s="217"/>
      <c r="N16" s="219"/>
    </row>
    <row r="17" s="170" customFormat="1" ht="29" customHeight="1" spans="1:14">
      <c r="A17" s="216"/>
      <c r="B17" s="217"/>
      <c r="C17" s="217"/>
      <c r="D17" s="217"/>
      <c r="E17" s="217"/>
      <c r="F17" s="217"/>
      <c r="G17" s="217"/>
      <c r="H17" s="217"/>
      <c r="I17" s="217"/>
      <c r="J17" s="217"/>
      <c r="K17" s="217"/>
      <c r="L17" s="218"/>
      <c r="M17" s="217"/>
      <c r="N17" s="219"/>
    </row>
    <row r="18" s="170" customFormat="1" ht="29" customHeight="1" spans="1:14">
      <c r="A18" s="216"/>
      <c r="B18" s="217"/>
      <c r="C18" s="217"/>
      <c r="D18" s="217"/>
      <c r="E18" s="217"/>
      <c r="F18" s="217"/>
      <c r="G18" s="217"/>
      <c r="H18" s="217"/>
      <c r="I18" s="217"/>
      <c r="J18" s="217"/>
      <c r="K18" s="217"/>
      <c r="L18" s="218"/>
      <c r="M18" s="217"/>
      <c r="N18" s="219"/>
    </row>
    <row r="19" s="170" customFormat="1" ht="60" customHeight="1" spans="1:14">
      <c r="A19" s="216"/>
      <c r="B19" s="217"/>
      <c r="C19" s="217"/>
      <c r="D19" s="217"/>
      <c r="E19" s="217"/>
      <c r="F19" s="217"/>
      <c r="G19" s="217"/>
      <c r="H19" s="217"/>
      <c r="I19" s="217"/>
      <c r="J19" s="217"/>
      <c r="K19" s="217"/>
      <c r="L19" s="218"/>
      <c r="M19" s="217"/>
      <c r="N19" s="219"/>
    </row>
    <row r="20" s="170" customFormat="1" ht="29" customHeight="1" spans="1:14">
      <c r="A20" s="220" t="s">
        <v>321</v>
      </c>
      <c r="B20" s="221"/>
      <c r="C20" s="221"/>
      <c r="D20" s="221"/>
      <c r="E20" s="221"/>
      <c r="F20" s="221"/>
      <c r="G20" s="221"/>
      <c r="H20" s="221"/>
      <c r="I20" s="221"/>
      <c r="J20" s="221"/>
      <c r="K20" s="221"/>
      <c r="L20" s="222"/>
      <c r="M20" s="217"/>
      <c r="N20" s="219"/>
    </row>
    <row r="21" s="170" customFormat="1" ht="25" customHeight="1" spans="1:14">
      <c r="A21" s="223" t="s">
        <v>322</v>
      </c>
      <c r="B21" s="219"/>
      <c r="C21" s="219"/>
      <c r="D21" s="219"/>
      <c r="E21" s="219"/>
      <c r="F21" s="219"/>
      <c r="G21" s="219"/>
      <c r="H21" s="219"/>
      <c r="I21" s="219"/>
      <c r="J21" s="219"/>
      <c r="K21" s="219"/>
      <c r="L21" s="224"/>
      <c r="M21" s="181"/>
    </row>
    <row r="22" s="170" customFormat="1" ht="21" customHeight="1" spans="1:14">
      <c r="A22" s="223"/>
      <c r="B22" s="219"/>
      <c r="C22" s="219"/>
      <c r="D22" s="219"/>
      <c r="E22" s="219"/>
      <c r="F22" s="219"/>
      <c r="G22" s="219"/>
      <c r="H22" s="219"/>
      <c r="I22" s="219"/>
      <c r="J22" s="219"/>
      <c r="K22" s="219"/>
      <c r="L22" s="224"/>
      <c r="M22" s="181"/>
    </row>
    <row r="23" s="170" customFormat="1" ht="29" customHeight="1" spans="1:14">
      <c r="A23" s="220" t="s">
        <v>323</v>
      </c>
      <c r="B23" s="221"/>
      <c r="C23" s="221"/>
      <c r="D23" s="221"/>
      <c r="E23" s="221"/>
      <c r="F23" s="221"/>
      <c r="G23" s="221"/>
      <c r="H23" s="221"/>
      <c r="I23" s="221"/>
      <c r="J23" s="221"/>
      <c r="K23" s="221"/>
      <c r="L23" s="222"/>
      <c r="M23" s="181"/>
    </row>
    <row r="24" s="170" customFormat="1" ht="107" customHeight="1" spans="1:14">
      <c r="A24" s="225" t="s">
        <v>341</v>
      </c>
      <c r="B24" s="226"/>
      <c r="C24" s="226"/>
      <c r="D24" s="226"/>
      <c r="E24" s="226"/>
      <c r="F24" s="226"/>
      <c r="G24" s="226"/>
      <c r="H24" s="226"/>
      <c r="I24" s="226"/>
      <c r="J24" s="226"/>
      <c r="K24" s="226"/>
      <c r="L24" s="227"/>
      <c r="M24" s="181"/>
    </row>
  </sheetData>
  <mergeCells count="21">
    <mergeCell ref="A4:L4"/>
    <mergeCell ref="A5:B5"/>
    <mergeCell ref="K5:L5"/>
    <mergeCell ref="C6:F6"/>
    <mergeCell ref="G6:J6"/>
    <mergeCell ref="A13:B13"/>
    <mergeCell ref="D13:F13"/>
    <mergeCell ref="H13:J13"/>
    <mergeCell ref="A14:L14"/>
    <mergeCell ref="A15:L15"/>
    <mergeCell ref="A20:L20"/>
    <mergeCell ref="A23:L23"/>
    <mergeCell ref="A24:L24"/>
    <mergeCell ref="A6:A7"/>
    <mergeCell ref="B6:B7"/>
    <mergeCell ref="K6:K7"/>
    <mergeCell ref="L6:L7"/>
    <mergeCell ref="L8:L13"/>
    <mergeCell ref="A1:L3"/>
    <mergeCell ref="A16:L19"/>
    <mergeCell ref="A21:L22"/>
  </mergeCells>
  <hyperlinks>
    <hyperlink ref="M6" location="目录!A1" display="返回主页"/>
  </hyperlink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sheetPr>
  <dimension ref="B2:I30"/>
  <sheetViews>
    <sheetView workbookViewId="0">
      <selection activeCell="J5" sqref="J5"/>
    </sheetView>
  </sheetViews>
  <sheetFormatPr defaultColWidth="8.725" defaultRowHeight="13.5"/>
  <cols>
    <col min="1" max="1" width="7.625" style="170" customWidth="1"/>
    <col min="2" max="8" width="15.9083333333333" style="170" customWidth="1"/>
    <col min="9" max="9" width="10" style="170" customWidth="1"/>
    <col min="10" max="16384" width="8.725" style="170"/>
  </cols>
  <sheetData>
    <row r="2" ht="30" customHeight="1" spans="2:9">
      <c r="B2" s="171" t="s">
        <v>399</v>
      </c>
      <c r="C2" s="171"/>
      <c r="D2" s="171"/>
      <c r="E2" s="171"/>
      <c r="F2" s="171"/>
      <c r="G2" s="171"/>
      <c r="H2" s="171"/>
    </row>
    <row r="3" ht="18" spans="2:9">
      <c r="B3" s="172" t="s">
        <v>400</v>
      </c>
      <c r="C3" s="172"/>
      <c r="D3" s="172"/>
      <c r="E3" s="172"/>
      <c r="F3" s="172"/>
      <c r="G3" s="172"/>
      <c r="H3" s="172"/>
      <c r="I3" s="158" t="s">
        <v>222</v>
      </c>
    </row>
    <row r="4" ht="21" customHeight="1" spans="2:9">
      <c r="B4" s="172" t="s">
        <v>401</v>
      </c>
      <c r="C4" s="172"/>
      <c r="D4" s="172"/>
      <c r="E4" s="172"/>
      <c r="F4" s="172"/>
      <c r="G4" s="172"/>
      <c r="H4" s="172"/>
    </row>
    <row r="5" ht="21" customHeight="1" spans="2:9">
      <c r="B5" s="173" t="s">
        <v>402</v>
      </c>
      <c r="C5" s="173"/>
      <c r="D5" s="173"/>
      <c r="E5" s="173"/>
      <c r="F5" s="173"/>
      <c r="G5" s="173"/>
      <c r="H5" s="173"/>
    </row>
    <row r="6" ht="16.5" spans="2:9">
      <c r="B6" s="173" t="s">
        <v>403</v>
      </c>
      <c r="C6" s="173"/>
      <c r="D6" s="173"/>
      <c r="E6" s="173"/>
      <c r="F6" s="173"/>
      <c r="G6" s="173"/>
      <c r="H6" s="173"/>
    </row>
    <row r="7" ht="16.5" spans="2:9">
      <c r="B7" s="173" t="s">
        <v>404</v>
      </c>
      <c r="C7" s="173"/>
      <c r="D7" s="173"/>
      <c r="E7" s="173"/>
      <c r="F7" s="173"/>
      <c r="G7" s="173"/>
      <c r="H7" s="173"/>
    </row>
    <row r="8" ht="16.5" spans="2:9">
      <c r="B8" s="173" t="s">
        <v>405</v>
      </c>
      <c r="C8" s="173"/>
      <c r="D8" s="173"/>
      <c r="E8" s="173"/>
      <c r="F8" s="173"/>
      <c r="G8" s="173"/>
      <c r="H8" s="173"/>
    </row>
    <row r="9" ht="16.5" spans="2:9">
      <c r="B9" s="173" t="s">
        <v>406</v>
      </c>
      <c r="C9" s="173"/>
      <c r="D9" s="173"/>
      <c r="E9" s="173"/>
      <c r="F9" s="173"/>
      <c r="G9" s="173"/>
      <c r="H9" s="173"/>
    </row>
    <row r="10" ht="16.5" spans="2:9">
      <c r="B10" s="173" t="s">
        <v>407</v>
      </c>
      <c r="C10" s="173"/>
      <c r="D10" s="173"/>
      <c r="E10" s="173"/>
      <c r="F10" s="173"/>
      <c r="G10" s="173"/>
      <c r="H10" s="173"/>
    </row>
    <row r="11" ht="36" customHeight="1" spans="2:9">
      <c r="B11" s="173" t="s">
        <v>408</v>
      </c>
      <c r="C11" s="173"/>
      <c r="D11" s="173"/>
      <c r="E11" s="173"/>
      <c r="F11" s="173"/>
      <c r="G11" s="173"/>
      <c r="H11" s="173"/>
    </row>
    <row r="12" ht="23" customHeight="1" spans="2:9">
      <c r="B12" s="174" t="s">
        <v>409</v>
      </c>
      <c r="C12" s="174"/>
      <c r="D12" s="174"/>
      <c r="E12" s="174"/>
      <c r="F12" s="174"/>
      <c r="G12" s="174"/>
      <c r="H12" s="174"/>
    </row>
    <row r="13" ht="60" customHeight="1" spans="2:9">
      <c r="B13" s="175" t="s">
        <v>410</v>
      </c>
      <c r="C13" s="175"/>
      <c r="D13" s="175"/>
      <c r="E13" s="175"/>
      <c r="F13" s="175"/>
      <c r="G13" s="175"/>
      <c r="H13" s="175"/>
    </row>
    <row r="14" ht="34" customHeight="1" spans="2:9">
      <c r="B14" s="173" t="s">
        <v>411</v>
      </c>
      <c r="C14" s="173"/>
      <c r="D14" s="173"/>
      <c r="E14" s="173"/>
      <c r="F14" s="173"/>
      <c r="G14" s="173"/>
      <c r="H14" s="173"/>
    </row>
    <row r="15" ht="38" customHeight="1" spans="2:9">
      <c r="B15" s="176" t="s">
        <v>412</v>
      </c>
      <c r="C15" s="177"/>
      <c r="D15" s="177"/>
      <c r="E15" s="177"/>
      <c r="F15" s="177"/>
      <c r="G15" s="177"/>
      <c r="H15" s="178"/>
    </row>
    <row r="16" ht="36" customHeight="1" spans="2:9">
      <c r="B16" s="176" t="s">
        <v>413</v>
      </c>
      <c r="C16" s="177"/>
      <c r="D16" s="177"/>
      <c r="E16" s="177"/>
      <c r="F16" s="177"/>
      <c r="G16" s="177"/>
      <c r="H16" s="178"/>
    </row>
    <row r="17" ht="36" customHeight="1" spans="2:9">
      <c r="B17" s="176" t="s">
        <v>414</v>
      </c>
      <c r="C17" s="177"/>
      <c r="D17" s="177"/>
      <c r="E17" s="177"/>
      <c r="F17" s="177"/>
      <c r="G17" s="177"/>
      <c r="H17" s="178"/>
    </row>
    <row r="18" ht="54" customHeight="1" spans="2:9">
      <c r="B18" s="176" t="s">
        <v>415</v>
      </c>
      <c r="C18" s="177"/>
      <c r="D18" s="177"/>
      <c r="E18" s="177"/>
      <c r="F18" s="177"/>
      <c r="G18" s="177"/>
      <c r="H18" s="178"/>
    </row>
    <row r="19" ht="20" customHeight="1" spans="2:9">
      <c r="B19" s="174" t="s">
        <v>416</v>
      </c>
      <c r="C19" s="174"/>
      <c r="D19" s="174"/>
      <c r="E19" s="174"/>
      <c r="F19" s="174"/>
      <c r="G19" s="174"/>
      <c r="H19" s="174"/>
    </row>
    <row r="20" ht="39" customHeight="1" spans="2:9">
      <c r="B20" s="173" t="s">
        <v>417</v>
      </c>
      <c r="C20" s="173"/>
      <c r="D20" s="173"/>
      <c r="E20" s="173"/>
      <c r="F20" s="173"/>
      <c r="G20" s="173"/>
      <c r="H20" s="173"/>
    </row>
    <row r="21" ht="25" customHeight="1" spans="2:9">
      <c r="B21" s="173" t="s">
        <v>418</v>
      </c>
      <c r="C21" s="173"/>
      <c r="D21" s="173"/>
      <c r="E21" s="173"/>
      <c r="F21" s="173"/>
      <c r="G21" s="173"/>
      <c r="H21" s="173"/>
    </row>
    <row r="22" ht="23" customHeight="1" spans="2:9">
      <c r="B22" s="173" t="s">
        <v>419</v>
      </c>
      <c r="C22" s="173"/>
      <c r="D22" s="173"/>
      <c r="E22" s="173"/>
      <c r="F22" s="173"/>
      <c r="G22" s="173"/>
      <c r="H22" s="173"/>
    </row>
    <row r="23" ht="105" customHeight="1" spans="2:9">
      <c r="B23" s="173" t="s">
        <v>420</v>
      </c>
      <c r="C23" s="173"/>
      <c r="D23" s="173"/>
      <c r="E23" s="173"/>
      <c r="F23" s="173"/>
      <c r="G23" s="173"/>
      <c r="H23" s="173"/>
    </row>
    <row r="24" ht="74" customHeight="1" spans="2:9">
      <c r="B24" s="176" t="s">
        <v>421</v>
      </c>
      <c r="C24" s="177"/>
      <c r="D24" s="177"/>
      <c r="E24" s="177"/>
      <c r="F24" s="177"/>
      <c r="G24" s="177"/>
      <c r="H24" s="178"/>
    </row>
    <row r="25" ht="157" customHeight="1" spans="2:9">
      <c r="B25" s="173" t="s">
        <v>422</v>
      </c>
      <c r="C25" s="173"/>
      <c r="D25" s="173"/>
      <c r="E25" s="173"/>
      <c r="F25" s="173"/>
      <c r="G25" s="173"/>
      <c r="H25" s="173"/>
      <c r="I25" s="179"/>
    </row>
    <row r="26" ht="16.5" spans="2:9">
      <c r="B26" s="173" t="s">
        <v>423</v>
      </c>
      <c r="C26" s="173"/>
      <c r="D26" s="173"/>
      <c r="E26" s="173"/>
      <c r="F26" s="173"/>
      <c r="G26" s="173"/>
      <c r="H26" s="173"/>
    </row>
    <row r="27" ht="16.5" spans="2:9">
      <c r="B27" s="176" t="s">
        <v>424</v>
      </c>
      <c r="C27" s="177"/>
      <c r="D27" s="177"/>
      <c r="E27" s="177"/>
      <c r="F27" s="177"/>
      <c r="G27" s="177"/>
      <c r="H27" s="178"/>
    </row>
    <row r="28" ht="22" customHeight="1" spans="2:9">
      <c r="B28" s="174" t="s">
        <v>425</v>
      </c>
      <c r="C28" s="174"/>
      <c r="D28" s="174"/>
      <c r="E28" s="174"/>
      <c r="F28" s="174"/>
      <c r="G28" s="174"/>
      <c r="H28" s="174"/>
    </row>
    <row r="29" ht="42" customHeight="1" spans="2:9">
      <c r="B29" s="173" t="s">
        <v>426</v>
      </c>
      <c r="C29" s="173"/>
      <c r="D29" s="173"/>
      <c r="E29" s="173"/>
      <c r="F29" s="173"/>
      <c r="G29" s="173"/>
      <c r="H29" s="173"/>
    </row>
    <row r="30" ht="87" customHeight="1" spans="2:9">
      <c r="B30" s="173" t="s">
        <v>427</v>
      </c>
      <c r="C30" s="180"/>
      <c r="D30" s="180"/>
      <c r="E30" s="180"/>
      <c r="F30" s="180"/>
      <c r="G30" s="180"/>
      <c r="H30" s="180"/>
    </row>
  </sheetData>
  <mergeCells count="29">
    <mergeCell ref="B2:H2"/>
    <mergeCell ref="B3:H3"/>
    <mergeCell ref="B4:H4"/>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s>
  <hyperlinks>
    <hyperlink ref="I3" location="目录!A1" display="返回主页"/>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sheetPr>
  <dimension ref="B1:I9"/>
  <sheetViews>
    <sheetView workbookViewId="0">
      <selection activeCell="K7" sqref="K7"/>
    </sheetView>
  </sheetViews>
  <sheetFormatPr defaultColWidth="9" defaultRowHeight="13.5"/>
  <cols>
    <col min="1" max="1" width="10.25" style="155" customWidth="1"/>
    <col min="2" max="2" width="9" style="155"/>
    <col min="3" max="3" width="11.3666666666667" style="155" customWidth="1"/>
    <col min="4" max="4" width="16" style="155" customWidth="1"/>
    <col min="5" max="5" width="18" style="155" customWidth="1"/>
    <col min="6" max="6" width="19.0916666666667" style="155" customWidth="1"/>
    <col min="7" max="7" width="16.6333333333333" style="155" customWidth="1"/>
    <col min="8" max="8" width="21.45" style="155" customWidth="1"/>
    <col min="9" max="9" width="10.25" style="155" customWidth="1"/>
    <col min="10" max="16384" width="9" style="155"/>
  </cols>
  <sheetData>
    <row r="1" ht="33" customHeight="1" spans="2:9">
      <c r="B1" s="156" t="s">
        <v>45</v>
      </c>
      <c r="C1" s="157"/>
      <c r="D1" s="157"/>
      <c r="E1" s="157"/>
      <c r="F1" s="157"/>
      <c r="G1" s="157"/>
      <c r="H1" s="157"/>
      <c r="I1" s="158" t="s">
        <v>222</v>
      </c>
    </row>
    <row r="2" ht="50" customHeight="1" spans="2:9">
      <c r="B2" s="159" t="s">
        <v>428</v>
      </c>
      <c r="C2" s="159"/>
      <c r="D2" s="159"/>
      <c r="E2" s="159"/>
      <c r="F2" s="159"/>
      <c r="G2" s="159"/>
      <c r="H2" s="159"/>
      <c r="I2" s="160"/>
    </row>
    <row r="3" ht="79" customHeight="1" spans="2:9">
      <c r="B3" s="161" t="s">
        <v>429</v>
      </c>
      <c r="C3" s="162"/>
      <c r="D3" s="162"/>
      <c r="E3" s="162"/>
      <c r="F3" s="162"/>
      <c r="G3" s="162"/>
      <c r="H3" s="163"/>
    </row>
    <row r="4" ht="48" customHeight="1" spans="2:9">
      <c r="B4" s="159" t="s">
        <v>430</v>
      </c>
      <c r="C4" s="159"/>
      <c r="D4" s="159"/>
      <c r="E4" s="159"/>
      <c r="F4" s="159"/>
      <c r="G4" s="159"/>
      <c r="H4" s="159"/>
    </row>
    <row r="5" ht="48" customHeight="1" spans="2:9">
      <c r="B5" s="159" t="s">
        <v>431</v>
      </c>
      <c r="C5" s="159"/>
      <c r="D5" s="159"/>
      <c r="E5" s="159"/>
      <c r="F5" s="159"/>
      <c r="G5" s="159"/>
      <c r="H5" s="159"/>
    </row>
    <row r="6" ht="48" customHeight="1" spans="2:9">
      <c r="B6" s="161" t="s">
        <v>432</v>
      </c>
      <c r="C6" s="162"/>
      <c r="D6" s="162"/>
      <c r="E6" s="162"/>
      <c r="F6" s="162"/>
      <c r="G6" s="162"/>
      <c r="H6" s="163"/>
    </row>
    <row r="7" ht="66" customHeight="1" spans="2:9">
      <c r="B7" s="164" t="s">
        <v>433</v>
      </c>
      <c r="C7" s="164"/>
      <c r="D7" s="164"/>
      <c r="E7" s="164"/>
      <c r="F7" s="164"/>
      <c r="G7" s="164"/>
      <c r="H7" s="164"/>
    </row>
    <row r="8" ht="79" customHeight="1" spans="2:9">
      <c r="B8" s="165" t="s">
        <v>434</v>
      </c>
      <c r="C8" s="166"/>
      <c r="D8" s="166"/>
      <c r="E8" s="166"/>
      <c r="F8" s="166"/>
      <c r="G8" s="166"/>
      <c r="H8" s="166"/>
    </row>
    <row r="9" ht="47" customHeight="1" spans="2:9">
      <c r="B9" s="167" t="s">
        <v>435</v>
      </c>
      <c r="C9" s="168"/>
      <c r="D9" s="168"/>
      <c r="E9" s="168"/>
      <c r="F9" s="168"/>
      <c r="G9" s="168"/>
      <c r="H9" s="169"/>
    </row>
  </sheetData>
  <mergeCells count="9">
    <mergeCell ref="B1:H1"/>
    <mergeCell ref="B2:H2"/>
    <mergeCell ref="B3:H3"/>
    <mergeCell ref="B4:H4"/>
    <mergeCell ref="B5:H5"/>
    <mergeCell ref="B6:H6"/>
    <mergeCell ref="B7:H7"/>
    <mergeCell ref="B8:H8"/>
    <mergeCell ref="B9:H9"/>
  </mergeCells>
  <hyperlinks>
    <hyperlink ref="I1" location="目录!A1" display="返回主页"/>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sheetPr>
  <dimension ref="A1:D30"/>
  <sheetViews>
    <sheetView showGridLines="0" workbookViewId="0">
      <selection activeCell="E11" sqref="E11"/>
    </sheetView>
  </sheetViews>
  <sheetFormatPr defaultColWidth="9" defaultRowHeight="13.5" outlineLevelCol="3"/>
  <cols>
    <col min="1" max="1" width="23.0916666666667" style="130" customWidth="1"/>
    <col min="2" max="3" width="26.45" style="130" customWidth="1"/>
    <col min="4" max="4" width="37.2666666666667" style="130" customWidth="1"/>
    <col min="5" max="16384" width="9" style="130"/>
  </cols>
  <sheetData>
    <row r="1" ht="46" customHeight="1" spans="1:4">
      <c r="A1" s="131" t="s">
        <v>436</v>
      </c>
      <c r="B1" s="131"/>
      <c r="C1" s="131"/>
      <c r="D1" s="131"/>
    </row>
    <row r="2" ht="31" customHeight="1" spans="1:4">
      <c r="A2" s="132" t="s">
        <v>437</v>
      </c>
      <c r="B2" s="133"/>
      <c r="C2" s="133"/>
      <c r="D2" s="134"/>
    </row>
    <row r="3" ht="31" customHeight="1" spans="1:4">
      <c r="A3" s="135" t="s">
        <v>438</v>
      </c>
      <c r="B3" s="135" t="s">
        <v>439</v>
      </c>
      <c r="C3" s="135" t="s">
        <v>440</v>
      </c>
      <c r="D3" s="135" t="s">
        <v>220</v>
      </c>
    </row>
    <row r="4" ht="31" customHeight="1" spans="1:4">
      <c r="A4" s="136" t="s">
        <v>441</v>
      </c>
      <c r="B4" s="137" t="s">
        <v>442</v>
      </c>
      <c r="C4" s="138">
        <v>10</v>
      </c>
      <c r="D4" s="137" t="s">
        <v>443</v>
      </c>
    </row>
    <row r="5" ht="31" customHeight="1" spans="1:4">
      <c r="A5" s="136" t="s">
        <v>444</v>
      </c>
      <c r="B5" s="137" t="s">
        <v>445</v>
      </c>
      <c r="C5" s="138">
        <v>1</v>
      </c>
      <c r="D5" s="137" t="s">
        <v>446</v>
      </c>
    </row>
    <row r="6" ht="31" customHeight="1" spans="1:4">
      <c r="A6" s="136" t="s">
        <v>447</v>
      </c>
      <c r="B6" s="137" t="s">
        <v>442</v>
      </c>
      <c r="C6" s="138">
        <v>10</v>
      </c>
      <c r="D6" s="139" t="s">
        <v>448</v>
      </c>
    </row>
    <row r="7" ht="34" customHeight="1" spans="1:4">
      <c r="A7" s="140" t="s">
        <v>449</v>
      </c>
      <c r="B7" s="137" t="s">
        <v>442</v>
      </c>
      <c r="C7" s="138">
        <v>15</v>
      </c>
      <c r="D7" s="139" t="s">
        <v>450</v>
      </c>
    </row>
    <row r="8" ht="31" customHeight="1" spans="1:4">
      <c r="A8" s="136" t="s">
        <v>451</v>
      </c>
      <c r="B8" s="137" t="s">
        <v>452</v>
      </c>
      <c r="C8" s="141">
        <v>1.5</v>
      </c>
      <c r="D8" s="137" t="s">
        <v>453</v>
      </c>
    </row>
    <row r="9" ht="31" customHeight="1" spans="1:4">
      <c r="A9" s="136" t="s">
        <v>454</v>
      </c>
      <c r="B9" s="137" t="s">
        <v>455</v>
      </c>
      <c r="C9" s="138" t="s">
        <v>456</v>
      </c>
      <c r="D9" s="137" t="s">
        <v>457</v>
      </c>
    </row>
    <row r="10" ht="31" customHeight="1" spans="1:4">
      <c r="A10" s="136" t="s">
        <v>458</v>
      </c>
      <c r="B10" s="137" t="s">
        <v>459</v>
      </c>
      <c r="C10" s="141">
        <v>0.5</v>
      </c>
      <c r="D10" s="137" t="s">
        <v>460</v>
      </c>
    </row>
    <row r="11" ht="31" customHeight="1" spans="1:4">
      <c r="A11" s="136" t="s">
        <v>461</v>
      </c>
      <c r="B11" s="137" t="s">
        <v>462</v>
      </c>
      <c r="C11" s="138" t="s">
        <v>463</v>
      </c>
      <c r="D11" s="137" t="s">
        <v>464</v>
      </c>
    </row>
    <row r="12" ht="31" customHeight="1" spans="1:4">
      <c r="A12" s="142" t="s">
        <v>465</v>
      </c>
      <c r="B12" s="143"/>
      <c r="C12" s="143"/>
      <c r="D12" s="144"/>
    </row>
    <row r="13" ht="31" customHeight="1" spans="1:4">
      <c r="A13" s="145"/>
      <c r="B13" s="146"/>
      <c r="C13" s="146"/>
      <c r="D13" s="147"/>
    </row>
    <row r="14" ht="31" customHeight="1" spans="1:4">
      <c r="A14" s="148" t="s">
        <v>466</v>
      </c>
      <c r="B14" s="149"/>
      <c r="C14" s="149"/>
      <c r="D14" s="150"/>
    </row>
    <row r="15" ht="31" customHeight="1" spans="1:4">
      <c r="A15" s="135" t="s">
        <v>438</v>
      </c>
      <c r="B15" s="135" t="s">
        <v>439</v>
      </c>
      <c r="C15" s="135" t="s">
        <v>440</v>
      </c>
      <c r="D15" s="135" t="s">
        <v>220</v>
      </c>
    </row>
    <row r="16" ht="31" customHeight="1" spans="1:4">
      <c r="A16" s="151" t="s">
        <v>467</v>
      </c>
      <c r="B16" s="137" t="s">
        <v>468</v>
      </c>
      <c r="C16" s="141">
        <v>0</v>
      </c>
      <c r="D16" s="137" t="s">
        <v>469</v>
      </c>
    </row>
    <row r="17" ht="31" customHeight="1" spans="1:4">
      <c r="A17" s="152"/>
      <c r="B17" s="137" t="s">
        <v>468</v>
      </c>
      <c r="C17" s="141">
        <v>15</v>
      </c>
      <c r="D17" s="137" t="s">
        <v>470</v>
      </c>
    </row>
    <row r="18" ht="31" customHeight="1" spans="1:4">
      <c r="A18" s="152"/>
      <c r="B18" s="137" t="s">
        <v>468</v>
      </c>
      <c r="C18" s="141">
        <v>20</v>
      </c>
      <c r="D18" s="137" t="s">
        <v>471</v>
      </c>
    </row>
    <row r="19" ht="31" customHeight="1" spans="1:4">
      <c r="A19" s="153"/>
      <c r="B19" s="137" t="s">
        <v>468</v>
      </c>
      <c r="C19" s="141">
        <v>25</v>
      </c>
      <c r="D19" s="137" t="s">
        <v>472</v>
      </c>
    </row>
    <row r="20" ht="31" customHeight="1"/>
    <row r="21" ht="31" customHeight="1"/>
    <row r="22" ht="31" customHeight="1"/>
    <row r="23" ht="31" customHeight="1"/>
    <row r="24" ht="31" customHeight="1" spans="1:4">
      <c r="D24" s="154"/>
    </row>
    <row r="25" ht="31" customHeight="1"/>
    <row r="26" ht="31" customHeight="1"/>
    <row r="27" ht="31" customHeight="1"/>
    <row r="28" ht="31" customHeight="1"/>
    <row r="29" ht="31" customHeight="1"/>
    <row r="30" ht="31" customHeight="1"/>
  </sheetData>
  <mergeCells count="6">
    <mergeCell ref="A1:D1"/>
    <mergeCell ref="A2:D2"/>
    <mergeCell ref="A12:D12"/>
    <mergeCell ref="A13:D13"/>
    <mergeCell ref="A14:D14"/>
    <mergeCell ref="A16:A19"/>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sheetPr>
  <dimension ref="A1:F260"/>
  <sheetViews>
    <sheetView workbookViewId="0">
      <selection activeCell="F1" sqref="F1"/>
    </sheetView>
  </sheetViews>
  <sheetFormatPr defaultColWidth="8.90833333333333" defaultRowHeight="18.75" customHeight="1" outlineLevelCol="5"/>
  <cols>
    <col min="1" max="1" width="13.5416666666667" style="100" customWidth="1"/>
    <col min="2" max="2" width="17.45" style="100" customWidth="1"/>
    <col min="3" max="3" width="14.3666666666667" style="100" customWidth="1"/>
    <col min="4" max="4" width="10.45" style="100" customWidth="1"/>
    <col min="5" max="5" width="70.45" style="101" customWidth="1"/>
    <col min="6" max="6" width="9.50833333333333" style="100" customWidth="1"/>
    <col min="7" max="16384" width="8.90833333333333" style="100"/>
  </cols>
  <sheetData>
    <row r="1" ht="28" customHeight="1" spans="1:6">
      <c r="A1" s="102" t="s">
        <v>473</v>
      </c>
      <c r="B1" s="103" t="s">
        <v>474</v>
      </c>
      <c r="C1" s="103" t="s">
        <v>475</v>
      </c>
      <c r="D1" s="103" t="s">
        <v>476</v>
      </c>
      <c r="E1" s="103" t="s">
        <v>477</v>
      </c>
      <c r="F1" s="104" t="s">
        <v>222</v>
      </c>
    </row>
    <row r="2" customHeight="1" spans="1:6">
      <c r="A2" s="105" t="s">
        <v>478</v>
      </c>
      <c r="B2" s="106" t="s">
        <v>479</v>
      </c>
      <c r="C2" s="107" t="s">
        <v>480</v>
      </c>
      <c r="D2" s="106">
        <v>98390</v>
      </c>
      <c r="E2" s="108" t="s">
        <v>481</v>
      </c>
      <c r="F2" s="109"/>
    </row>
    <row r="3" customHeight="1" spans="1:6">
      <c r="A3" s="105" t="s">
        <v>478</v>
      </c>
      <c r="B3" s="106" t="s">
        <v>482</v>
      </c>
      <c r="C3" s="106" t="s">
        <v>480</v>
      </c>
      <c r="D3" s="106">
        <v>98390</v>
      </c>
      <c r="E3" s="108"/>
    </row>
    <row r="4" customHeight="1" spans="1:6">
      <c r="A4" s="105" t="s">
        <v>478</v>
      </c>
      <c r="B4" s="106" t="s">
        <v>483</v>
      </c>
      <c r="C4" s="107" t="s">
        <v>480</v>
      </c>
      <c r="D4" s="106">
        <v>98327</v>
      </c>
      <c r="E4" s="108" t="s">
        <v>484</v>
      </c>
    </row>
    <row r="5" customHeight="1" spans="1:6">
      <c r="A5" s="105" t="s">
        <v>478</v>
      </c>
      <c r="B5" s="106" t="s">
        <v>485</v>
      </c>
      <c r="C5" s="106" t="s">
        <v>480</v>
      </c>
      <c r="D5" s="107">
        <v>98144</v>
      </c>
      <c r="E5" s="108"/>
    </row>
    <row r="6" customHeight="1" spans="1:6">
      <c r="A6" s="105" t="s">
        <v>478</v>
      </c>
      <c r="B6" s="107" t="s">
        <v>486</v>
      </c>
      <c r="C6" s="106" t="s">
        <v>480</v>
      </c>
      <c r="D6" s="107">
        <v>98133</v>
      </c>
      <c r="E6" s="110" t="s">
        <v>487</v>
      </c>
    </row>
    <row r="7" customHeight="1" spans="1:6">
      <c r="A7" s="105" t="s">
        <v>478</v>
      </c>
      <c r="B7" s="107" t="s">
        <v>488</v>
      </c>
      <c r="C7" s="106" t="s">
        <v>480</v>
      </c>
      <c r="D7" s="107">
        <v>98121</v>
      </c>
      <c r="E7" s="110" t="s">
        <v>489</v>
      </c>
    </row>
    <row r="8" customHeight="1" spans="1:6">
      <c r="A8" s="105" t="s">
        <v>478</v>
      </c>
      <c r="B8" s="107" t="s">
        <v>490</v>
      </c>
      <c r="C8" s="106" t="s">
        <v>480</v>
      </c>
      <c r="D8" s="107">
        <v>98108</v>
      </c>
      <c r="E8" s="110" t="s">
        <v>491</v>
      </c>
    </row>
    <row r="9" customHeight="1" spans="1:6">
      <c r="A9" s="105" t="s">
        <v>478</v>
      </c>
      <c r="B9" s="107" t="s">
        <v>492</v>
      </c>
      <c r="C9" s="106" t="s">
        <v>480</v>
      </c>
      <c r="D9" s="107">
        <v>98034</v>
      </c>
      <c r="E9" s="110" t="s">
        <v>493</v>
      </c>
    </row>
    <row r="10" customHeight="1" spans="1:6">
      <c r="A10" s="105" t="s">
        <v>478</v>
      </c>
      <c r="B10" s="106" t="s">
        <v>494</v>
      </c>
      <c r="C10" s="107" t="s">
        <v>480</v>
      </c>
      <c r="D10" s="106">
        <v>98032</v>
      </c>
      <c r="E10" s="108" t="s">
        <v>495</v>
      </c>
    </row>
    <row r="11" customHeight="1" spans="1:6">
      <c r="A11" s="105" t="s">
        <v>478</v>
      </c>
      <c r="B11" s="107" t="s">
        <v>496</v>
      </c>
      <c r="C11" s="106" t="s">
        <v>480</v>
      </c>
      <c r="D11" s="107">
        <v>98032</v>
      </c>
      <c r="E11" s="110" t="s">
        <v>497</v>
      </c>
    </row>
    <row r="12" customHeight="1" spans="1:6">
      <c r="A12" s="105" t="s">
        <v>478</v>
      </c>
      <c r="B12" s="107" t="s">
        <v>498</v>
      </c>
      <c r="C12" s="106" t="s">
        <v>480</v>
      </c>
      <c r="D12" s="107">
        <v>98032</v>
      </c>
      <c r="E12" s="110" t="s">
        <v>499</v>
      </c>
    </row>
    <row r="13" customHeight="1" spans="1:6">
      <c r="A13" s="105" t="s">
        <v>478</v>
      </c>
      <c r="B13" s="107" t="s">
        <v>500</v>
      </c>
      <c r="C13" s="107" t="s">
        <v>480</v>
      </c>
      <c r="D13" s="107">
        <v>98005</v>
      </c>
      <c r="E13" s="110" t="s">
        <v>501</v>
      </c>
    </row>
    <row r="14" customHeight="1" spans="1:6">
      <c r="A14" s="105" t="s">
        <v>478</v>
      </c>
      <c r="B14" s="107" t="s">
        <v>502</v>
      </c>
      <c r="C14" s="107" t="s">
        <v>503</v>
      </c>
      <c r="D14" s="107">
        <v>97210</v>
      </c>
      <c r="E14" s="110" t="s">
        <v>504</v>
      </c>
    </row>
    <row r="15" customHeight="1" spans="1:6">
      <c r="A15" s="105" t="s">
        <v>478</v>
      </c>
      <c r="B15" s="107" t="s">
        <v>505</v>
      </c>
      <c r="C15" s="107" t="s">
        <v>503</v>
      </c>
      <c r="D15" s="107">
        <v>97124</v>
      </c>
      <c r="E15" s="110" t="s">
        <v>506</v>
      </c>
    </row>
    <row r="16" customHeight="1" spans="1:6">
      <c r="A16" s="105" t="s">
        <v>478</v>
      </c>
      <c r="B16" s="106" t="s">
        <v>507</v>
      </c>
      <c r="C16" s="107" t="s">
        <v>503</v>
      </c>
      <c r="D16" s="106">
        <v>97060</v>
      </c>
      <c r="E16" s="108" t="s">
        <v>508</v>
      </c>
    </row>
    <row r="17" customHeight="1" spans="1:5">
      <c r="A17" s="105" t="s">
        <v>478</v>
      </c>
      <c r="B17" s="107" t="s">
        <v>509</v>
      </c>
      <c r="C17" s="107" t="s">
        <v>503</v>
      </c>
      <c r="D17" s="107">
        <v>95837</v>
      </c>
      <c r="E17" s="108"/>
    </row>
    <row r="18" customHeight="1" spans="1:5">
      <c r="A18" s="105" t="s">
        <v>478</v>
      </c>
      <c r="B18" s="107" t="s">
        <v>510</v>
      </c>
      <c r="C18" s="107" t="s">
        <v>503</v>
      </c>
      <c r="D18" s="107">
        <v>95826</v>
      </c>
      <c r="E18" s="110" t="s">
        <v>511</v>
      </c>
    </row>
    <row r="19" customHeight="1" spans="1:5">
      <c r="A19" s="105" t="s">
        <v>478</v>
      </c>
      <c r="B19" s="106" t="s">
        <v>512</v>
      </c>
      <c r="C19" s="107" t="s">
        <v>503</v>
      </c>
      <c r="D19" s="106">
        <v>95377</v>
      </c>
      <c r="E19" s="108" t="s">
        <v>513</v>
      </c>
    </row>
    <row r="20" customHeight="1" spans="1:5">
      <c r="A20" s="105" t="s">
        <v>478</v>
      </c>
      <c r="B20" s="106" t="s">
        <v>514</v>
      </c>
      <c r="C20" s="107" t="s">
        <v>503</v>
      </c>
      <c r="D20" s="106">
        <v>95363</v>
      </c>
      <c r="E20" s="108" t="s">
        <v>515</v>
      </c>
    </row>
    <row r="21" customHeight="1" spans="1:5">
      <c r="A21" s="105" t="s">
        <v>478</v>
      </c>
      <c r="B21" s="106" t="s">
        <v>516</v>
      </c>
      <c r="C21" s="107" t="s">
        <v>503</v>
      </c>
      <c r="D21" s="106">
        <v>95304</v>
      </c>
      <c r="E21" s="108" t="s">
        <v>517</v>
      </c>
    </row>
    <row r="22" customHeight="1" spans="1:5">
      <c r="A22" s="105" t="s">
        <v>478</v>
      </c>
      <c r="B22" s="106" t="s">
        <v>518</v>
      </c>
      <c r="C22" s="107" t="s">
        <v>503</v>
      </c>
      <c r="D22" s="106">
        <v>95206</v>
      </c>
      <c r="E22" s="108" t="s">
        <v>519</v>
      </c>
    </row>
    <row r="23" customHeight="1" spans="1:5">
      <c r="A23" s="105" t="s">
        <v>478</v>
      </c>
      <c r="B23" s="106" t="s">
        <v>520</v>
      </c>
      <c r="C23" s="107" t="s">
        <v>503</v>
      </c>
      <c r="D23" s="106">
        <v>95206</v>
      </c>
      <c r="E23" s="108" t="s">
        <v>521</v>
      </c>
    </row>
    <row r="24" customHeight="1" spans="1:5">
      <c r="A24" s="105" t="s">
        <v>478</v>
      </c>
      <c r="B24" s="107" t="s">
        <v>522</v>
      </c>
      <c r="C24" s="107" t="s">
        <v>503</v>
      </c>
      <c r="D24" s="107">
        <v>95131</v>
      </c>
      <c r="E24" s="110" t="s">
        <v>523</v>
      </c>
    </row>
    <row r="25" customHeight="1" spans="1:5">
      <c r="A25" s="105" t="s">
        <v>478</v>
      </c>
      <c r="B25" s="107" t="s">
        <v>524</v>
      </c>
      <c r="C25" s="107" t="s">
        <v>503</v>
      </c>
      <c r="D25" s="107">
        <v>94702</v>
      </c>
      <c r="E25" s="110" t="s">
        <v>525</v>
      </c>
    </row>
    <row r="26" customHeight="1" spans="1:5">
      <c r="A26" s="105" t="s">
        <v>478</v>
      </c>
      <c r="B26" s="107" t="s">
        <v>526</v>
      </c>
      <c r="C26" s="107" t="s">
        <v>503</v>
      </c>
      <c r="D26" s="111">
        <v>94577</v>
      </c>
      <c r="E26" s="110" t="s">
        <v>527</v>
      </c>
    </row>
    <row r="27" customHeight="1" spans="1:5">
      <c r="A27" s="105" t="s">
        <v>478</v>
      </c>
      <c r="B27" s="107" t="s">
        <v>528</v>
      </c>
      <c r="C27" s="107" t="s">
        <v>503</v>
      </c>
      <c r="D27" s="107">
        <v>94560</v>
      </c>
      <c r="E27" s="110" t="s">
        <v>529</v>
      </c>
    </row>
    <row r="28" customHeight="1" spans="1:5">
      <c r="A28" s="105" t="s">
        <v>478</v>
      </c>
      <c r="B28" s="107" t="s">
        <v>530</v>
      </c>
      <c r="C28" s="107" t="s">
        <v>503</v>
      </c>
      <c r="D28" s="107">
        <v>94112</v>
      </c>
      <c r="E28" s="110" t="s">
        <v>531</v>
      </c>
    </row>
    <row r="29" customHeight="1" spans="1:5">
      <c r="A29" s="105" t="s">
        <v>478</v>
      </c>
      <c r="B29" s="107" t="s">
        <v>532</v>
      </c>
      <c r="C29" s="107" t="s">
        <v>503</v>
      </c>
      <c r="D29" s="107">
        <v>94085</v>
      </c>
      <c r="E29" s="110" t="s">
        <v>533</v>
      </c>
    </row>
    <row r="30" customHeight="1" spans="1:5">
      <c r="A30" s="105" t="s">
        <v>478</v>
      </c>
      <c r="B30" s="107" t="s">
        <v>534</v>
      </c>
      <c r="C30" s="107" t="s">
        <v>503</v>
      </c>
      <c r="D30" s="107">
        <v>94080</v>
      </c>
      <c r="E30" s="110" t="s">
        <v>535</v>
      </c>
    </row>
    <row r="31" customHeight="1" spans="1:5">
      <c r="A31" s="105" t="s">
        <v>478</v>
      </c>
      <c r="B31" s="107" t="s">
        <v>536</v>
      </c>
      <c r="C31" s="107" t="s">
        <v>503</v>
      </c>
      <c r="D31" s="107">
        <v>94080</v>
      </c>
      <c r="E31" s="110" t="s">
        <v>537</v>
      </c>
    </row>
    <row r="32" customHeight="1" spans="1:5">
      <c r="A32" s="105" t="s">
        <v>478</v>
      </c>
      <c r="B32" s="107" t="s">
        <v>538</v>
      </c>
      <c r="C32" s="107" t="s">
        <v>503</v>
      </c>
      <c r="D32" s="107">
        <v>92614</v>
      </c>
      <c r="E32" s="110" t="s">
        <v>539</v>
      </c>
    </row>
    <row r="33" customHeight="1" spans="1:5">
      <c r="A33" s="105" t="s">
        <v>478</v>
      </c>
      <c r="B33" s="112" t="s">
        <v>540</v>
      </c>
      <c r="C33" s="107" t="s">
        <v>503</v>
      </c>
      <c r="D33" s="112">
        <v>92551</v>
      </c>
      <c r="E33" s="113" t="s">
        <v>541</v>
      </c>
    </row>
    <row r="34" customHeight="1" spans="1:5">
      <c r="A34" s="105" t="s">
        <v>478</v>
      </c>
      <c r="B34" s="106" t="s">
        <v>542</v>
      </c>
      <c r="C34" s="107" t="s">
        <v>503</v>
      </c>
      <c r="D34" s="106">
        <v>92551</v>
      </c>
      <c r="E34" s="108" t="s">
        <v>543</v>
      </c>
    </row>
    <row r="35" customHeight="1" spans="1:5">
      <c r="A35" s="105" t="s">
        <v>478</v>
      </c>
      <c r="B35" s="106" t="s">
        <v>540</v>
      </c>
      <c r="C35" s="107" t="s">
        <v>503</v>
      </c>
      <c r="D35" s="106">
        <v>92551</v>
      </c>
      <c r="E35" s="108" t="s">
        <v>544</v>
      </c>
    </row>
    <row r="36" customHeight="1" spans="1:5">
      <c r="A36" s="105" t="s">
        <v>478</v>
      </c>
      <c r="B36" s="107" t="s">
        <v>545</v>
      </c>
      <c r="C36" s="107" t="s">
        <v>503</v>
      </c>
      <c r="D36" s="107">
        <v>92507</v>
      </c>
      <c r="E36" s="110" t="s">
        <v>546</v>
      </c>
    </row>
    <row r="37" customHeight="1" spans="1:5">
      <c r="A37" s="105" t="s">
        <v>478</v>
      </c>
      <c r="B37" s="106" t="s">
        <v>547</v>
      </c>
      <c r="C37" s="107" t="s">
        <v>503</v>
      </c>
      <c r="D37" s="106">
        <v>92408</v>
      </c>
      <c r="E37" s="108" t="s">
        <v>548</v>
      </c>
    </row>
    <row r="38" customHeight="1" spans="1:5">
      <c r="A38" s="105" t="s">
        <v>478</v>
      </c>
      <c r="B38" s="106" t="s">
        <v>549</v>
      </c>
      <c r="C38" s="107" t="s">
        <v>503</v>
      </c>
      <c r="D38" s="106">
        <v>92408</v>
      </c>
      <c r="E38" s="108" t="s">
        <v>550</v>
      </c>
    </row>
    <row r="39" customHeight="1" spans="1:5">
      <c r="A39" s="105" t="s">
        <v>478</v>
      </c>
      <c r="B39" s="107" t="s">
        <v>551</v>
      </c>
      <c r="C39" s="107" t="s">
        <v>503</v>
      </c>
      <c r="D39" s="107">
        <v>92408</v>
      </c>
      <c r="E39" s="110" t="s">
        <v>552</v>
      </c>
    </row>
    <row r="40" customHeight="1" spans="1:5">
      <c r="A40" s="105" t="s">
        <v>478</v>
      </c>
      <c r="B40" s="106" t="s">
        <v>553</v>
      </c>
      <c r="C40" s="107" t="s">
        <v>503</v>
      </c>
      <c r="D40" s="106">
        <v>92408</v>
      </c>
      <c r="E40" s="108" t="s">
        <v>554</v>
      </c>
    </row>
    <row r="41" customHeight="1" spans="1:5">
      <c r="A41" s="105" t="s">
        <v>478</v>
      </c>
      <c r="B41" s="106" t="s">
        <v>555</v>
      </c>
      <c r="C41" s="107" t="s">
        <v>503</v>
      </c>
      <c r="D41" s="114">
        <v>92376</v>
      </c>
      <c r="E41" s="110" t="s">
        <v>556</v>
      </c>
    </row>
    <row r="42" customHeight="1" spans="1:5">
      <c r="A42" s="105" t="s">
        <v>478</v>
      </c>
      <c r="B42" s="112" t="s">
        <v>557</v>
      </c>
      <c r="C42" s="115" t="s">
        <v>503</v>
      </c>
      <c r="D42" s="112">
        <v>92376</v>
      </c>
      <c r="E42" s="113" t="s">
        <v>558</v>
      </c>
    </row>
    <row r="43" customHeight="1" spans="1:5">
      <c r="A43" s="105" t="s">
        <v>478</v>
      </c>
      <c r="B43" s="112" t="s">
        <v>559</v>
      </c>
      <c r="C43" s="115" t="s">
        <v>503</v>
      </c>
      <c r="D43" s="112">
        <v>92518</v>
      </c>
      <c r="E43" s="113" t="s">
        <v>560</v>
      </c>
    </row>
    <row r="44" customHeight="1" spans="1:5">
      <c r="A44" s="105" t="s">
        <v>478</v>
      </c>
      <c r="B44" s="112" t="s">
        <v>561</v>
      </c>
      <c r="C44" s="115" t="s">
        <v>503</v>
      </c>
      <c r="D44" s="112">
        <v>92374</v>
      </c>
      <c r="E44" s="113" t="s">
        <v>562</v>
      </c>
    </row>
    <row r="45" customHeight="1" spans="1:5">
      <c r="A45" s="105" t="s">
        <v>478</v>
      </c>
      <c r="B45" s="106" t="s">
        <v>563</v>
      </c>
      <c r="C45" s="107" t="s">
        <v>503</v>
      </c>
      <c r="D45" s="107">
        <v>92374</v>
      </c>
      <c r="E45" s="108"/>
    </row>
    <row r="46" customHeight="1" spans="1:5">
      <c r="A46" s="105" t="s">
        <v>478</v>
      </c>
      <c r="B46" s="106" t="s">
        <v>564</v>
      </c>
      <c r="C46" s="107" t="s">
        <v>503</v>
      </c>
      <c r="D46" s="106">
        <v>92374</v>
      </c>
      <c r="E46" s="108" t="s">
        <v>565</v>
      </c>
    </row>
    <row r="47" customHeight="1" spans="1:5">
      <c r="A47" s="105" t="s">
        <v>478</v>
      </c>
      <c r="B47" s="107" t="s">
        <v>566</v>
      </c>
      <c r="C47" s="107" t="s">
        <v>503</v>
      </c>
      <c r="D47" s="107">
        <v>92121</v>
      </c>
      <c r="E47" s="110" t="s">
        <v>567</v>
      </c>
    </row>
    <row r="48" customHeight="1" spans="1:5">
      <c r="A48" s="105" t="s">
        <v>478</v>
      </c>
      <c r="B48" s="106" t="s">
        <v>568</v>
      </c>
      <c r="C48" s="106" t="s">
        <v>503</v>
      </c>
      <c r="D48" s="106">
        <v>92337</v>
      </c>
      <c r="E48" s="108" t="s">
        <v>569</v>
      </c>
    </row>
    <row r="49" customHeight="1" spans="1:5">
      <c r="A49" s="105" t="s">
        <v>478</v>
      </c>
      <c r="B49" s="106" t="s">
        <v>570</v>
      </c>
      <c r="C49" s="106" t="s">
        <v>571</v>
      </c>
      <c r="D49" s="106">
        <v>97317</v>
      </c>
      <c r="E49" s="108" t="s">
        <v>572</v>
      </c>
    </row>
    <row r="50" customHeight="1" spans="1:5">
      <c r="A50" s="105" t="s">
        <v>478</v>
      </c>
      <c r="B50" s="107" t="s">
        <v>573</v>
      </c>
      <c r="C50" s="107" t="s">
        <v>503</v>
      </c>
      <c r="D50" s="107">
        <v>92110</v>
      </c>
      <c r="E50" s="110" t="s">
        <v>574</v>
      </c>
    </row>
    <row r="51" customHeight="1" spans="1:5">
      <c r="A51" s="105" t="s">
        <v>478</v>
      </c>
      <c r="B51" s="107" t="s">
        <v>575</v>
      </c>
      <c r="C51" s="107" t="s">
        <v>503</v>
      </c>
      <c r="D51" s="107">
        <v>92010</v>
      </c>
      <c r="E51" s="110" t="s">
        <v>576</v>
      </c>
    </row>
    <row r="52" customHeight="1" spans="1:5">
      <c r="A52" s="105" t="s">
        <v>478</v>
      </c>
      <c r="B52" s="106" t="s">
        <v>577</v>
      </c>
      <c r="C52" s="107" t="s">
        <v>503</v>
      </c>
      <c r="D52" s="106">
        <v>91752</v>
      </c>
      <c r="E52" s="108" t="s">
        <v>578</v>
      </c>
    </row>
    <row r="53" customHeight="1" spans="1:5">
      <c r="A53" s="105" t="s">
        <v>478</v>
      </c>
      <c r="B53" s="107" t="s">
        <v>579</v>
      </c>
      <c r="C53" s="107" t="s">
        <v>503</v>
      </c>
      <c r="D53" s="107">
        <v>91311</v>
      </c>
      <c r="E53" s="110" t="s">
        <v>580</v>
      </c>
    </row>
    <row r="54" customHeight="1" spans="1:5">
      <c r="A54" s="105" t="s">
        <v>478</v>
      </c>
      <c r="B54" s="107" t="s">
        <v>581</v>
      </c>
      <c r="C54" s="107" t="s">
        <v>503</v>
      </c>
      <c r="D54" s="107">
        <v>90621</v>
      </c>
      <c r="E54" s="110" t="s">
        <v>582</v>
      </c>
    </row>
    <row r="55" customHeight="1" spans="1:5">
      <c r="A55" s="105" t="s">
        <v>478</v>
      </c>
      <c r="B55" s="107" t="s">
        <v>583</v>
      </c>
      <c r="C55" s="107" t="s">
        <v>503</v>
      </c>
      <c r="D55" s="107">
        <v>90301</v>
      </c>
      <c r="E55" s="110" t="s">
        <v>584</v>
      </c>
    </row>
    <row r="56" customHeight="1" spans="1:5">
      <c r="A56" s="105" t="s">
        <v>478</v>
      </c>
      <c r="B56" s="107" t="s">
        <v>585</v>
      </c>
      <c r="C56" s="107" t="s">
        <v>503</v>
      </c>
      <c r="D56" s="107">
        <v>90277</v>
      </c>
      <c r="E56" s="110" t="s">
        <v>586</v>
      </c>
    </row>
    <row r="57" customHeight="1" spans="1:5">
      <c r="A57" s="105" t="s">
        <v>478</v>
      </c>
      <c r="B57" s="107" t="s">
        <v>587</v>
      </c>
      <c r="C57" s="107" t="s">
        <v>503</v>
      </c>
      <c r="D57" s="107">
        <v>90250</v>
      </c>
      <c r="E57" s="110" t="s">
        <v>588</v>
      </c>
    </row>
    <row r="58" customHeight="1" spans="1:5">
      <c r="A58" s="105" t="s">
        <v>478</v>
      </c>
      <c r="B58" s="107" t="s">
        <v>589</v>
      </c>
      <c r="C58" s="107" t="s">
        <v>503</v>
      </c>
      <c r="D58" s="107">
        <v>90064</v>
      </c>
      <c r="E58" s="110" t="s">
        <v>590</v>
      </c>
    </row>
    <row r="59" customHeight="1" spans="1:5">
      <c r="A59" s="105" t="s">
        <v>478</v>
      </c>
      <c r="B59" s="107" t="s">
        <v>591</v>
      </c>
      <c r="C59" s="107" t="s">
        <v>503</v>
      </c>
      <c r="D59" s="107">
        <v>90040</v>
      </c>
      <c r="E59" s="110" t="s">
        <v>592</v>
      </c>
    </row>
    <row r="60" customHeight="1" spans="1:5">
      <c r="A60" s="105" t="s">
        <v>478</v>
      </c>
      <c r="B60" s="107" t="s">
        <v>593</v>
      </c>
      <c r="C60" s="107" t="s">
        <v>503</v>
      </c>
      <c r="D60" s="107">
        <v>90001</v>
      </c>
      <c r="E60" s="110" t="s">
        <v>594</v>
      </c>
    </row>
    <row r="61" customHeight="1" spans="1:5">
      <c r="A61" s="105" t="s">
        <v>478</v>
      </c>
      <c r="B61" s="106" t="s">
        <v>595</v>
      </c>
      <c r="C61" s="107" t="s">
        <v>596</v>
      </c>
      <c r="D61" s="106">
        <v>89506</v>
      </c>
      <c r="E61" s="108" t="s">
        <v>597</v>
      </c>
    </row>
    <row r="62" customHeight="1" spans="1:5">
      <c r="A62" s="105" t="s">
        <v>478</v>
      </c>
      <c r="B62" s="106" t="s">
        <v>598</v>
      </c>
      <c r="C62" s="107" t="s">
        <v>596</v>
      </c>
      <c r="D62" s="106">
        <v>89434</v>
      </c>
      <c r="E62" s="108" t="s">
        <v>599</v>
      </c>
    </row>
    <row r="63" customHeight="1" spans="1:5">
      <c r="A63" s="105" t="s">
        <v>478</v>
      </c>
      <c r="B63" s="107" t="s">
        <v>600</v>
      </c>
      <c r="C63" s="107" t="s">
        <v>596</v>
      </c>
      <c r="D63" s="107">
        <v>89408</v>
      </c>
      <c r="E63" s="108"/>
    </row>
    <row r="64" customHeight="1" spans="1:5">
      <c r="A64" s="105" t="s">
        <v>478</v>
      </c>
      <c r="B64" s="107" t="s">
        <v>601</v>
      </c>
      <c r="C64" s="107" t="s">
        <v>596</v>
      </c>
      <c r="D64" s="107">
        <v>89120</v>
      </c>
      <c r="E64" s="110" t="s">
        <v>602</v>
      </c>
    </row>
    <row r="65" customHeight="1" spans="1:5">
      <c r="A65" s="105" t="s">
        <v>478</v>
      </c>
      <c r="B65" s="107" t="s">
        <v>603</v>
      </c>
      <c r="C65" s="107" t="s">
        <v>596</v>
      </c>
      <c r="D65" s="107">
        <v>89115</v>
      </c>
      <c r="E65" s="110" t="s">
        <v>604</v>
      </c>
    </row>
    <row r="66" customHeight="1" spans="1:5">
      <c r="A66" s="105" t="s">
        <v>478</v>
      </c>
      <c r="B66" s="106" t="s">
        <v>605</v>
      </c>
      <c r="C66" s="107" t="s">
        <v>596</v>
      </c>
      <c r="D66" s="106">
        <v>89030</v>
      </c>
      <c r="E66" s="108" t="s">
        <v>606</v>
      </c>
    </row>
    <row r="67" customHeight="1" spans="1:5">
      <c r="A67" s="105" t="s">
        <v>478</v>
      </c>
      <c r="B67" s="107" t="s">
        <v>607</v>
      </c>
      <c r="C67" s="107" t="s">
        <v>596</v>
      </c>
      <c r="D67" s="107">
        <v>85906</v>
      </c>
      <c r="E67" s="108"/>
    </row>
    <row r="68" customHeight="1" spans="1:5">
      <c r="A68" s="105" t="s">
        <v>478</v>
      </c>
      <c r="B68" s="106" t="s">
        <v>608</v>
      </c>
      <c r="C68" s="107" t="s">
        <v>609</v>
      </c>
      <c r="D68" s="106">
        <v>85338</v>
      </c>
      <c r="E68" s="108" t="s">
        <v>610</v>
      </c>
    </row>
    <row r="69" customHeight="1" spans="1:5">
      <c r="A69" s="105" t="s">
        <v>478</v>
      </c>
      <c r="B69" s="107" t="s">
        <v>611</v>
      </c>
      <c r="C69" s="107" t="s">
        <v>609</v>
      </c>
      <c r="D69" s="107">
        <v>85043</v>
      </c>
      <c r="E69" s="110" t="s">
        <v>612</v>
      </c>
    </row>
    <row r="70" customHeight="1" spans="1:5">
      <c r="A70" s="105" t="s">
        <v>478</v>
      </c>
      <c r="B70" s="106" t="s">
        <v>613</v>
      </c>
      <c r="C70" s="107" t="s">
        <v>609</v>
      </c>
      <c r="D70" s="106">
        <v>85043</v>
      </c>
      <c r="E70" s="108" t="s">
        <v>614</v>
      </c>
    </row>
    <row r="71" customHeight="1" spans="1:5">
      <c r="A71" s="105" t="s">
        <v>478</v>
      </c>
      <c r="B71" s="106" t="s">
        <v>615</v>
      </c>
      <c r="C71" s="107" t="s">
        <v>609</v>
      </c>
      <c r="D71" s="106">
        <v>85043</v>
      </c>
      <c r="E71" s="108" t="s">
        <v>616</v>
      </c>
    </row>
    <row r="72" customHeight="1" spans="1:5">
      <c r="A72" s="105" t="s">
        <v>478</v>
      </c>
      <c r="B72" s="106" t="s">
        <v>617</v>
      </c>
      <c r="C72" s="107" t="s">
        <v>609</v>
      </c>
      <c r="D72" s="106">
        <v>85043</v>
      </c>
      <c r="E72" s="108" t="s">
        <v>618</v>
      </c>
    </row>
    <row r="73" customHeight="1" spans="1:5">
      <c r="A73" s="105" t="s">
        <v>478</v>
      </c>
      <c r="B73" s="107" t="s">
        <v>619</v>
      </c>
      <c r="C73" s="107" t="s">
        <v>609</v>
      </c>
      <c r="D73" s="107">
        <v>85034</v>
      </c>
      <c r="E73" s="110" t="s">
        <v>620</v>
      </c>
    </row>
    <row r="74" customHeight="1" spans="1:5">
      <c r="A74" s="105" t="s">
        <v>478</v>
      </c>
      <c r="B74" s="107" t="s">
        <v>621</v>
      </c>
      <c r="C74" s="106" t="s">
        <v>596</v>
      </c>
      <c r="D74" s="116">
        <v>89115</v>
      </c>
      <c r="E74" s="110" t="s">
        <v>622</v>
      </c>
    </row>
    <row r="75" customHeight="1" spans="1:5">
      <c r="A75" s="105" t="s">
        <v>478</v>
      </c>
      <c r="B75" s="107" t="s">
        <v>623</v>
      </c>
      <c r="C75" s="106" t="s">
        <v>624</v>
      </c>
      <c r="D75" s="116" t="s">
        <v>625</v>
      </c>
      <c r="E75" s="110" t="s">
        <v>626</v>
      </c>
    </row>
    <row r="76" customHeight="1" spans="1:5">
      <c r="A76" s="105" t="s">
        <v>478</v>
      </c>
      <c r="B76" s="107" t="s">
        <v>627</v>
      </c>
      <c r="C76" s="106" t="s">
        <v>596</v>
      </c>
      <c r="D76" s="116" t="s">
        <v>628</v>
      </c>
      <c r="E76" s="110" t="s">
        <v>629</v>
      </c>
    </row>
    <row r="77" customHeight="1" spans="1:5">
      <c r="A77" s="105" t="s">
        <v>478</v>
      </c>
      <c r="B77" s="107" t="s">
        <v>630</v>
      </c>
      <c r="C77" s="107" t="s">
        <v>609</v>
      </c>
      <c r="D77" s="107">
        <v>85001</v>
      </c>
      <c r="E77" s="110" t="s">
        <v>631</v>
      </c>
    </row>
    <row r="78" customHeight="1" spans="1:5">
      <c r="A78" s="105" t="s">
        <v>478</v>
      </c>
      <c r="B78" s="106" t="s">
        <v>632</v>
      </c>
      <c r="C78" s="107" t="s">
        <v>609</v>
      </c>
      <c r="D78" s="106">
        <v>80216</v>
      </c>
      <c r="E78" s="108" t="s">
        <v>633</v>
      </c>
    </row>
    <row r="79" customHeight="1" spans="1:5">
      <c r="A79" s="105" t="s">
        <v>478</v>
      </c>
      <c r="B79" s="106" t="s">
        <v>634</v>
      </c>
      <c r="C79" s="107" t="s">
        <v>609</v>
      </c>
      <c r="D79" s="106">
        <v>80019</v>
      </c>
      <c r="E79" s="108" t="s">
        <v>635</v>
      </c>
    </row>
    <row r="80" customHeight="1" spans="1:5">
      <c r="A80" s="105" t="s">
        <v>478</v>
      </c>
      <c r="B80" s="107" t="s">
        <v>636</v>
      </c>
      <c r="C80" s="107" t="s">
        <v>609</v>
      </c>
      <c r="D80" s="107">
        <v>80011</v>
      </c>
      <c r="E80" s="110" t="s">
        <v>637</v>
      </c>
    </row>
    <row r="81" customHeight="1" spans="1:5">
      <c r="A81" s="105" t="s">
        <v>478</v>
      </c>
      <c r="B81" s="106" t="s">
        <v>638</v>
      </c>
      <c r="C81" s="107" t="s">
        <v>639</v>
      </c>
      <c r="D81" s="106">
        <v>78666</v>
      </c>
      <c r="E81" s="108" t="s">
        <v>640</v>
      </c>
    </row>
    <row r="82" customHeight="1" spans="1:5">
      <c r="A82" s="105" t="s">
        <v>478</v>
      </c>
      <c r="B82" s="107" t="s">
        <v>641</v>
      </c>
      <c r="C82" s="107" t="s">
        <v>639</v>
      </c>
      <c r="D82" s="107">
        <v>78227</v>
      </c>
      <c r="E82" s="110" t="s">
        <v>642</v>
      </c>
    </row>
    <row r="83" customHeight="1" spans="1:5">
      <c r="A83" s="105" t="s">
        <v>478</v>
      </c>
      <c r="B83" s="106" t="s">
        <v>643</v>
      </c>
      <c r="C83" s="107" t="s">
        <v>639</v>
      </c>
      <c r="D83" s="106">
        <v>78154</v>
      </c>
      <c r="E83" s="108" t="s">
        <v>644</v>
      </c>
    </row>
    <row r="84" customHeight="1" spans="1:5">
      <c r="A84" s="105" t="s">
        <v>478</v>
      </c>
      <c r="B84" s="107" t="s">
        <v>645</v>
      </c>
      <c r="C84" s="107" t="s">
        <v>639</v>
      </c>
      <c r="D84" s="107">
        <v>77338</v>
      </c>
      <c r="E84" s="110" t="s">
        <v>646</v>
      </c>
    </row>
    <row r="85" customHeight="1" spans="1:5">
      <c r="A85" s="105" t="s">
        <v>478</v>
      </c>
      <c r="B85" s="107" t="s">
        <v>647</v>
      </c>
      <c r="C85" s="107" t="s">
        <v>639</v>
      </c>
      <c r="D85" s="107">
        <v>77001</v>
      </c>
      <c r="E85" s="110" t="s">
        <v>648</v>
      </c>
    </row>
    <row r="86" customHeight="1" spans="1:5">
      <c r="A86" s="105" t="s">
        <v>478</v>
      </c>
      <c r="B86" s="106" t="s">
        <v>649</v>
      </c>
      <c r="C86" s="107" t="s">
        <v>639</v>
      </c>
      <c r="D86" s="106">
        <v>76177</v>
      </c>
      <c r="E86" s="108" t="s">
        <v>650</v>
      </c>
    </row>
    <row r="87" customHeight="1" spans="1:5">
      <c r="A87" s="105" t="s">
        <v>478</v>
      </c>
      <c r="B87" s="106" t="s">
        <v>651</v>
      </c>
      <c r="C87" s="107" t="s">
        <v>639</v>
      </c>
      <c r="D87" s="106">
        <v>76177</v>
      </c>
      <c r="E87" s="108" t="s">
        <v>652</v>
      </c>
    </row>
    <row r="88" customHeight="1" spans="1:5">
      <c r="A88" s="105" t="s">
        <v>478</v>
      </c>
      <c r="B88" s="106" t="s">
        <v>653</v>
      </c>
      <c r="C88" s="107" t="s">
        <v>639</v>
      </c>
      <c r="D88" s="106">
        <v>76155</v>
      </c>
      <c r="E88" s="108" t="s">
        <v>654</v>
      </c>
    </row>
    <row r="89" customHeight="1" spans="1:5">
      <c r="A89" s="105" t="s">
        <v>478</v>
      </c>
      <c r="B89" s="107" t="s">
        <v>655</v>
      </c>
      <c r="C89" s="107" t="s">
        <v>639</v>
      </c>
      <c r="D89" s="107">
        <v>76106</v>
      </c>
      <c r="E89" s="110" t="s">
        <v>656</v>
      </c>
    </row>
    <row r="90" customHeight="1" spans="1:5">
      <c r="A90" s="105" t="s">
        <v>478</v>
      </c>
      <c r="B90" s="112" t="s">
        <v>657</v>
      </c>
      <c r="C90" s="112" t="s">
        <v>639</v>
      </c>
      <c r="D90" s="112">
        <v>75241</v>
      </c>
      <c r="E90" s="117" t="s">
        <v>658</v>
      </c>
    </row>
    <row r="91" customHeight="1" spans="1:5">
      <c r="A91" s="105" t="s">
        <v>478</v>
      </c>
      <c r="B91" s="107" t="s">
        <v>659</v>
      </c>
      <c r="C91" s="107" t="s">
        <v>639</v>
      </c>
      <c r="D91" s="107">
        <v>75234</v>
      </c>
      <c r="E91" s="110" t="s">
        <v>660</v>
      </c>
    </row>
    <row r="92" customHeight="1" spans="1:5">
      <c r="A92" s="105" t="s">
        <v>478</v>
      </c>
      <c r="B92" s="107" t="s">
        <v>661</v>
      </c>
      <c r="C92" s="107" t="s">
        <v>639</v>
      </c>
      <c r="D92" s="107">
        <v>75234</v>
      </c>
      <c r="E92" s="110" t="s">
        <v>662</v>
      </c>
    </row>
    <row r="93" customHeight="1" spans="1:5">
      <c r="A93" s="105" t="s">
        <v>478</v>
      </c>
      <c r="B93" s="107" t="s">
        <v>663</v>
      </c>
      <c r="C93" s="107" t="s">
        <v>639</v>
      </c>
      <c r="D93" s="107">
        <v>75134</v>
      </c>
      <c r="E93" s="110" t="s">
        <v>664</v>
      </c>
    </row>
    <row r="94" customHeight="1" spans="1:5">
      <c r="A94" s="105" t="s">
        <v>478</v>
      </c>
      <c r="B94" s="107" t="s">
        <v>665</v>
      </c>
      <c r="C94" s="107" t="s">
        <v>639</v>
      </c>
      <c r="D94" s="107">
        <v>75063</v>
      </c>
      <c r="E94" s="110" t="s">
        <v>666</v>
      </c>
    </row>
    <row r="95" customHeight="1" spans="1:5">
      <c r="A95" s="105" t="s">
        <v>478</v>
      </c>
      <c r="B95" s="107" t="s">
        <v>667</v>
      </c>
      <c r="C95" s="107" t="s">
        <v>639</v>
      </c>
      <c r="D95" s="107">
        <v>75019</v>
      </c>
      <c r="E95" s="108"/>
    </row>
    <row r="96" customHeight="1" spans="1:5">
      <c r="A96" s="105" t="s">
        <v>478</v>
      </c>
      <c r="B96" s="106" t="s">
        <v>668</v>
      </c>
      <c r="C96" s="107" t="s">
        <v>639</v>
      </c>
      <c r="D96" s="106">
        <v>75019</v>
      </c>
      <c r="E96" s="108" t="s">
        <v>669</v>
      </c>
    </row>
    <row r="97" customHeight="1" spans="1:5">
      <c r="A97" s="105" t="s">
        <v>478</v>
      </c>
      <c r="B97" s="107" t="s">
        <v>670</v>
      </c>
      <c r="C97" s="107" t="s">
        <v>639</v>
      </c>
      <c r="D97" s="107">
        <v>75014</v>
      </c>
      <c r="E97" s="110" t="s">
        <v>671</v>
      </c>
    </row>
    <row r="98" customHeight="1" spans="1:5">
      <c r="A98" s="105" t="s">
        <v>478</v>
      </c>
      <c r="B98" s="107" t="s">
        <v>672</v>
      </c>
      <c r="C98" s="107" t="s">
        <v>639</v>
      </c>
      <c r="D98" s="107">
        <v>73301</v>
      </c>
      <c r="E98" s="110" t="s">
        <v>673</v>
      </c>
    </row>
    <row r="99" customHeight="1" spans="1:5">
      <c r="A99" s="105" t="s">
        <v>478</v>
      </c>
      <c r="B99" s="107" t="s">
        <v>674</v>
      </c>
      <c r="C99" s="107" t="s">
        <v>639</v>
      </c>
      <c r="D99" s="107">
        <v>73179</v>
      </c>
      <c r="E99" s="110" t="s">
        <v>675</v>
      </c>
    </row>
    <row r="100" customHeight="1" spans="1:5">
      <c r="A100" s="105" t="s">
        <v>478</v>
      </c>
      <c r="B100" s="107" t="s">
        <v>676</v>
      </c>
      <c r="C100" s="106" t="s">
        <v>639</v>
      </c>
      <c r="D100" s="116">
        <v>75261</v>
      </c>
      <c r="E100" s="110" t="s">
        <v>677</v>
      </c>
    </row>
    <row r="101" customHeight="1" spans="1:5">
      <c r="A101" s="105" t="s">
        <v>478</v>
      </c>
      <c r="B101" s="107" t="s">
        <v>678</v>
      </c>
      <c r="C101" s="106" t="s">
        <v>639</v>
      </c>
      <c r="D101" s="116" t="s">
        <v>679</v>
      </c>
      <c r="E101" s="110" t="s">
        <v>680</v>
      </c>
    </row>
    <row r="102" customHeight="1" spans="1:5">
      <c r="A102" s="105" t="s">
        <v>478</v>
      </c>
      <c r="B102" s="107" t="s">
        <v>681</v>
      </c>
      <c r="C102" s="106" t="s">
        <v>639</v>
      </c>
      <c r="D102" s="116">
        <v>77038</v>
      </c>
      <c r="E102" s="110" t="s">
        <v>682</v>
      </c>
    </row>
    <row r="103" customHeight="1" spans="1:5">
      <c r="A103" s="105" t="s">
        <v>478</v>
      </c>
      <c r="B103" s="107" t="s">
        <v>683</v>
      </c>
      <c r="C103" s="106" t="s">
        <v>639</v>
      </c>
      <c r="D103" s="116">
        <v>77064</v>
      </c>
      <c r="E103" s="110" t="s">
        <v>684</v>
      </c>
    </row>
    <row r="104" customHeight="1" spans="1:5">
      <c r="A104" s="105" t="s">
        <v>478</v>
      </c>
      <c r="B104" s="118" t="s">
        <v>685</v>
      </c>
      <c r="C104" s="119" t="s">
        <v>639</v>
      </c>
      <c r="D104" s="120">
        <v>77423</v>
      </c>
      <c r="E104" s="121" t="s">
        <v>686</v>
      </c>
    </row>
    <row r="105" customHeight="1" spans="1:5">
      <c r="A105" s="105" t="s">
        <v>478</v>
      </c>
      <c r="B105" s="107" t="s">
        <v>687</v>
      </c>
      <c r="C105" s="107" t="s">
        <v>688</v>
      </c>
      <c r="D105" s="107">
        <v>67337</v>
      </c>
      <c r="E105" s="108"/>
    </row>
    <row r="106" customHeight="1" spans="1:5">
      <c r="A106" s="122" t="s">
        <v>689</v>
      </c>
      <c r="B106" s="107" t="s">
        <v>690</v>
      </c>
      <c r="C106" s="107" t="s">
        <v>688</v>
      </c>
      <c r="D106" s="107">
        <v>66219</v>
      </c>
      <c r="E106" s="110" t="s">
        <v>691</v>
      </c>
    </row>
    <row r="107" customHeight="1" spans="1:5">
      <c r="A107" s="122" t="s">
        <v>689</v>
      </c>
      <c r="B107" s="106" t="s">
        <v>692</v>
      </c>
      <c r="C107" s="107" t="s">
        <v>688</v>
      </c>
      <c r="D107" s="106">
        <v>66102</v>
      </c>
      <c r="E107" s="108" t="s">
        <v>693</v>
      </c>
    </row>
    <row r="108" customHeight="1" spans="1:5">
      <c r="A108" s="122" t="s">
        <v>689</v>
      </c>
      <c r="B108" s="106" t="s">
        <v>694</v>
      </c>
      <c r="C108" s="107" t="s">
        <v>688</v>
      </c>
      <c r="D108" s="106">
        <v>66031</v>
      </c>
      <c r="E108" s="108" t="s">
        <v>695</v>
      </c>
    </row>
    <row r="109" customHeight="1" spans="1:5">
      <c r="A109" s="122" t="s">
        <v>689</v>
      </c>
      <c r="B109" s="106" t="s">
        <v>696</v>
      </c>
      <c r="C109" s="107" t="s">
        <v>688</v>
      </c>
      <c r="D109" s="106">
        <v>66030</v>
      </c>
      <c r="E109" s="108" t="s">
        <v>697</v>
      </c>
    </row>
    <row r="110" customHeight="1" spans="1:5">
      <c r="A110" s="122" t="s">
        <v>689</v>
      </c>
      <c r="B110" s="106" t="s">
        <v>698</v>
      </c>
      <c r="C110" s="107" t="s">
        <v>688</v>
      </c>
      <c r="D110" s="106">
        <v>66102</v>
      </c>
      <c r="E110" s="108" t="s">
        <v>699</v>
      </c>
    </row>
    <row r="111" customHeight="1" spans="1:5">
      <c r="A111" s="122" t="s">
        <v>689</v>
      </c>
      <c r="B111" s="106" t="s">
        <v>700</v>
      </c>
      <c r="C111" s="107" t="s">
        <v>701</v>
      </c>
      <c r="D111" s="106">
        <v>62025</v>
      </c>
      <c r="E111" s="108" t="s">
        <v>702</v>
      </c>
    </row>
    <row r="112" customHeight="1" spans="1:5">
      <c r="A112" s="122" t="s">
        <v>689</v>
      </c>
      <c r="B112" s="106" t="s">
        <v>703</v>
      </c>
      <c r="C112" s="107" t="s">
        <v>701</v>
      </c>
      <c r="D112" s="106">
        <v>62025</v>
      </c>
      <c r="E112" s="108" t="s">
        <v>704</v>
      </c>
    </row>
    <row r="113" customHeight="1" spans="1:5">
      <c r="A113" s="122" t="s">
        <v>689</v>
      </c>
      <c r="B113" s="106" t="s">
        <v>705</v>
      </c>
      <c r="C113" s="107" t="s">
        <v>701</v>
      </c>
      <c r="D113" s="106">
        <v>62025</v>
      </c>
      <c r="E113" s="108" t="s">
        <v>706</v>
      </c>
    </row>
    <row r="114" customHeight="1" spans="1:5">
      <c r="A114" s="122" t="s">
        <v>689</v>
      </c>
      <c r="B114" s="107" t="s">
        <v>707</v>
      </c>
      <c r="C114" s="107" t="s">
        <v>701</v>
      </c>
      <c r="D114" s="107">
        <v>60642</v>
      </c>
      <c r="E114" s="110" t="s">
        <v>708</v>
      </c>
    </row>
    <row r="115" customHeight="1" spans="1:5">
      <c r="A115" s="122" t="s">
        <v>689</v>
      </c>
      <c r="B115" s="107" t="s">
        <v>709</v>
      </c>
      <c r="C115" s="107" t="s">
        <v>701</v>
      </c>
      <c r="D115" s="107">
        <v>60608</v>
      </c>
      <c r="E115" s="110" t="s">
        <v>710</v>
      </c>
    </row>
    <row r="116" customHeight="1" spans="1:5">
      <c r="A116" s="105" t="s">
        <v>689</v>
      </c>
      <c r="B116" s="107" t="s">
        <v>711</v>
      </c>
      <c r="C116" s="107" t="s">
        <v>701</v>
      </c>
      <c r="D116" s="107">
        <v>60532</v>
      </c>
      <c r="E116" s="110" t="s">
        <v>712</v>
      </c>
    </row>
    <row r="117" customHeight="1" spans="1:5">
      <c r="A117" s="105" t="s">
        <v>689</v>
      </c>
      <c r="B117" s="107" t="s">
        <v>713</v>
      </c>
      <c r="C117" s="107" t="s">
        <v>701</v>
      </c>
      <c r="D117" s="107">
        <v>60502</v>
      </c>
      <c r="E117" s="108"/>
    </row>
    <row r="118" customHeight="1" spans="1:5">
      <c r="A118" s="105" t="s">
        <v>689</v>
      </c>
      <c r="B118" s="106" t="s">
        <v>714</v>
      </c>
      <c r="C118" s="107" t="s">
        <v>701</v>
      </c>
      <c r="D118" s="106">
        <v>60449</v>
      </c>
      <c r="E118" s="108" t="s">
        <v>715</v>
      </c>
    </row>
    <row r="119" customHeight="1" spans="1:5">
      <c r="A119" s="105" t="s">
        <v>689</v>
      </c>
      <c r="B119" s="106" t="s">
        <v>716</v>
      </c>
      <c r="C119" s="107" t="s">
        <v>701</v>
      </c>
      <c r="D119" s="106">
        <v>60449</v>
      </c>
      <c r="E119" s="108" t="s">
        <v>717</v>
      </c>
    </row>
    <row r="120" customHeight="1" spans="1:5">
      <c r="A120" s="105" t="s">
        <v>689</v>
      </c>
      <c r="B120" s="106" t="s">
        <v>718</v>
      </c>
      <c r="C120" s="107" t="s">
        <v>701</v>
      </c>
      <c r="D120" s="106">
        <v>60446</v>
      </c>
      <c r="E120" s="108" t="s">
        <v>719</v>
      </c>
    </row>
    <row r="121" customHeight="1" spans="1:5">
      <c r="A121" s="105" t="s">
        <v>689</v>
      </c>
      <c r="B121" s="112" t="s">
        <v>720</v>
      </c>
      <c r="C121" s="112" t="s">
        <v>701</v>
      </c>
      <c r="D121" s="112">
        <v>60433</v>
      </c>
      <c r="E121" s="117" t="s">
        <v>721</v>
      </c>
    </row>
    <row r="122" customHeight="1" spans="1:5">
      <c r="A122" s="105" t="s">
        <v>689</v>
      </c>
      <c r="B122" s="107" t="s">
        <v>722</v>
      </c>
      <c r="C122" s="107" t="s">
        <v>701</v>
      </c>
      <c r="D122" s="107">
        <v>60191</v>
      </c>
      <c r="E122" s="110" t="s">
        <v>723</v>
      </c>
    </row>
    <row r="123" customHeight="1" spans="1:5">
      <c r="A123" s="105" t="s">
        <v>689</v>
      </c>
      <c r="B123" s="107" t="s">
        <v>724</v>
      </c>
      <c r="C123" s="107" t="s">
        <v>701</v>
      </c>
      <c r="D123" s="107">
        <v>60053</v>
      </c>
      <c r="E123" s="110" t="s">
        <v>725</v>
      </c>
    </row>
    <row r="124" customHeight="1" spans="1:5">
      <c r="A124" s="105" t="s">
        <v>689</v>
      </c>
      <c r="B124" s="107" t="s">
        <v>726</v>
      </c>
      <c r="C124" s="106" t="s">
        <v>727</v>
      </c>
      <c r="D124" s="107">
        <v>55414</v>
      </c>
      <c r="E124" s="110" t="s">
        <v>728</v>
      </c>
    </row>
    <row r="125" customHeight="1" spans="1:5">
      <c r="A125" s="105" t="s">
        <v>689</v>
      </c>
      <c r="B125" s="106" t="s">
        <v>729</v>
      </c>
      <c r="C125" s="106" t="s">
        <v>727</v>
      </c>
      <c r="D125" s="106">
        <v>55379</v>
      </c>
      <c r="E125" s="108" t="s">
        <v>730</v>
      </c>
    </row>
    <row r="126" customHeight="1" spans="1:5">
      <c r="A126" s="105" t="s">
        <v>689</v>
      </c>
      <c r="B126" s="107" t="s">
        <v>731</v>
      </c>
      <c r="C126" s="106" t="s">
        <v>727</v>
      </c>
      <c r="D126" s="107">
        <v>55379</v>
      </c>
      <c r="E126" s="110" t="s">
        <v>732</v>
      </c>
    </row>
    <row r="127" customHeight="1" spans="1:5">
      <c r="A127" s="105" t="s">
        <v>689</v>
      </c>
      <c r="B127" s="107" t="s">
        <v>733</v>
      </c>
      <c r="C127" s="123" t="s">
        <v>734</v>
      </c>
      <c r="D127" s="107">
        <v>55121</v>
      </c>
      <c r="E127" s="110" t="s">
        <v>735</v>
      </c>
    </row>
    <row r="128" customHeight="1" spans="1:5">
      <c r="A128" s="105" t="s">
        <v>689</v>
      </c>
      <c r="B128" s="106" t="s">
        <v>736</v>
      </c>
      <c r="C128" s="123" t="s">
        <v>734</v>
      </c>
      <c r="D128" s="106">
        <v>53144</v>
      </c>
      <c r="E128" s="108" t="s">
        <v>737</v>
      </c>
    </row>
    <row r="129" customHeight="1" spans="1:5">
      <c r="A129" s="105" t="s">
        <v>689</v>
      </c>
      <c r="B129" s="107" t="s">
        <v>738</v>
      </c>
      <c r="C129" s="123" t="s">
        <v>734</v>
      </c>
      <c r="D129" s="107">
        <v>53144</v>
      </c>
      <c r="E129" s="110" t="s">
        <v>739</v>
      </c>
    </row>
    <row r="130" customHeight="1" spans="1:5">
      <c r="A130" s="105" t="s">
        <v>689</v>
      </c>
      <c r="B130" s="107" t="s">
        <v>740</v>
      </c>
      <c r="C130" s="123" t="s">
        <v>734</v>
      </c>
      <c r="D130" s="107">
        <v>53125</v>
      </c>
      <c r="E130" s="110" t="s">
        <v>741</v>
      </c>
    </row>
    <row r="131" customHeight="1" spans="1:5">
      <c r="A131" s="105" t="s">
        <v>742</v>
      </c>
      <c r="B131" s="107" t="s">
        <v>743</v>
      </c>
      <c r="C131" s="123" t="s">
        <v>734</v>
      </c>
      <c r="D131" s="107">
        <v>48183</v>
      </c>
      <c r="E131" s="110" t="s">
        <v>744</v>
      </c>
    </row>
    <row r="132" customHeight="1" spans="1:5">
      <c r="A132" s="105" t="s">
        <v>689</v>
      </c>
      <c r="B132" s="106" t="s">
        <v>745</v>
      </c>
      <c r="C132" s="123" t="s">
        <v>734</v>
      </c>
      <c r="D132" s="106">
        <v>48150</v>
      </c>
      <c r="E132" s="108" t="s">
        <v>746</v>
      </c>
    </row>
    <row r="133" customHeight="1" spans="1:5">
      <c r="A133" s="122" t="s">
        <v>689</v>
      </c>
      <c r="B133" s="123" t="s">
        <v>747</v>
      </c>
      <c r="C133" s="123" t="s">
        <v>734</v>
      </c>
      <c r="D133" s="123">
        <v>48150</v>
      </c>
      <c r="E133" s="108"/>
    </row>
    <row r="134" customHeight="1" spans="1:5">
      <c r="A134" s="105" t="s">
        <v>689</v>
      </c>
      <c r="B134" s="106" t="s">
        <v>748</v>
      </c>
      <c r="C134" s="107" t="s">
        <v>749</v>
      </c>
      <c r="D134" s="106">
        <v>47130</v>
      </c>
      <c r="E134" s="108" t="s">
        <v>750</v>
      </c>
    </row>
    <row r="135" customHeight="1" spans="1:5">
      <c r="A135" s="122" t="s">
        <v>689</v>
      </c>
      <c r="B135" s="107" t="s">
        <v>751</v>
      </c>
      <c r="C135" s="107" t="s">
        <v>749</v>
      </c>
      <c r="D135" s="124">
        <v>47130</v>
      </c>
      <c r="E135" s="108"/>
    </row>
    <row r="136" customHeight="1" spans="1:5">
      <c r="A136" s="105" t="s">
        <v>689</v>
      </c>
      <c r="B136" s="106" t="s">
        <v>752</v>
      </c>
      <c r="C136" s="107" t="s">
        <v>749</v>
      </c>
      <c r="D136" s="106">
        <v>46241</v>
      </c>
      <c r="E136" s="108" t="s">
        <v>753</v>
      </c>
    </row>
    <row r="137" customHeight="1" spans="1:5">
      <c r="A137" s="105" t="s">
        <v>689</v>
      </c>
      <c r="B137" s="112" t="s">
        <v>754</v>
      </c>
      <c r="C137" s="107" t="s">
        <v>749</v>
      </c>
      <c r="D137" s="112">
        <v>46168</v>
      </c>
      <c r="E137" s="113"/>
    </row>
    <row r="138" customHeight="1" spans="1:5">
      <c r="A138" s="105" t="s">
        <v>689</v>
      </c>
      <c r="B138" s="112" t="s">
        <v>755</v>
      </c>
      <c r="C138" s="107" t="s">
        <v>749</v>
      </c>
      <c r="D138" s="112">
        <v>46168</v>
      </c>
      <c r="E138" s="113" t="s">
        <v>756</v>
      </c>
    </row>
    <row r="139" customHeight="1" spans="1:5">
      <c r="A139" s="105" t="s">
        <v>689</v>
      </c>
      <c r="B139" s="106" t="s">
        <v>757</v>
      </c>
      <c r="C139" s="107" t="s">
        <v>749</v>
      </c>
      <c r="D139" s="106">
        <v>46168</v>
      </c>
      <c r="E139" s="108" t="s">
        <v>758</v>
      </c>
    </row>
    <row r="140" customHeight="1" spans="1:5">
      <c r="A140" s="105" t="s">
        <v>689</v>
      </c>
      <c r="B140" s="106" t="s">
        <v>759</v>
      </c>
      <c r="C140" s="107" t="s">
        <v>749</v>
      </c>
      <c r="D140" s="106">
        <v>46075</v>
      </c>
      <c r="E140" s="108" t="s">
        <v>760</v>
      </c>
    </row>
    <row r="141" customHeight="1" spans="1:5">
      <c r="A141" s="105" t="s">
        <v>689</v>
      </c>
      <c r="B141" s="106" t="s">
        <v>761</v>
      </c>
      <c r="C141" s="107" t="s">
        <v>749</v>
      </c>
      <c r="D141" s="106">
        <v>46075</v>
      </c>
      <c r="E141" s="108" t="s">
        <v>762</v>
      </c>
    </row>
    <row r="142" customHeight="1" spans="1:5">
      <c r="A142" s="105" t="s">
        <v>689</v>
      </c>
      <c r="B142" s="107" t="s">
        <v>763</v>
      </c>
      <c r="C142" s="106" t="s">
        <v>764</v>
      </c>
      <c r="D142" s="107">
        <v>44087</v>
      </c>
      <c r="E142" s="110" t="s">
        <v>765</v>
      </c>
    </row>
    <row r="143" customHeight="1" spans="1:5">
      <c r="A143" s="105" t="s">
        <v>689</v>
      </c>
      <c r="B143" s="107" t="s">
        <v>766</v>
      </c>
      <c r="C143" s="106" t="s">
        <v>764</v>
      </c>
      <c r="D143" s="107">
        <v>43204</v>
      </c>
      <c r="E143" s="110" t="s">
        <v>767</v>
      </c>
    </row>
    <row r="144" customHeight="1" spans="1:5">
      <c r="A144" s="105" t="s">
        <v>689</v>
      </c>
      <c r="B144" s="106" t="s">
        <v>768</v>
      </c>
      <c r="C144" s="106" t="s">
        <v>764</v>
      </c>
      <c r="D144" s="106">
        <v>43125</v>
      </c>
      <c r="E144" s="108" t="s">
        <v>769</v>
      </c>
    </row>
    <row r="145" customHeight="1" spans="1:5">
      <c r="A145" s="105" t="s">
        <v>689</v>
      </c>
      <c r="B145" s="106" t="s">
        <v>770</v>
      </c>
      <c r="C145" s="106" t="s">
        <v>764</v>
      </c>
      <c r="D145" s="106">
        <v>43062</v>
      </c>
      <c r="E145" s="108" t="s">
        <v>771</v>
      </c>
    </row>
    <row r="146" customHeight="1" spans="1:5">
      <c r="A146" s="105" t="s">
        <v>689</v>
      </c>
      <c r="B146" s="106" t="s">
        <v>772</v>
      </c>
      <c r="C146" s="107" t="s">
        <v>773</v>
      </c>
      <c r="D146" s="106">
        <v>42718</v>
      </c>
      <c r="E146" s="108" t="s">
        <v>774</v>
      </c>
    </row>
    <row r="147" customHeight="1" spans="1:5">
      <c r="A147" s="105" t="s">
        <v>689</v>
      </c>
      <c r="B147" s="106" t="s">
        <v>775</v>
      </c>
      <c r="C147" s="107" t="s">
        <v>773</v>
      </c>
      <c r="D147" s="106">
        <v>41048</v>
      </c>
      <c r="E147" s="108" t="s">
        <v>776</v>
      </c>
    </row>
    <row r="148" customHeight="1" spans="1:5">
      <c r="A148" s="105" t="s">
        <v>689</v>
      </c>
      <c r="B148" s="106" t="s">
        <v>777</v>
      </c>
      <c r="C148" s="107" t="s">
        <v>773</v>
      </c>
      <c r="D148" s="106">
        <v>41048</v>
      </c>
      <c r="E148" s="108" t="s">
        <v>778</v>
      </c>
    </row>
    <row r="149" customHeight="1" spans="1:5">
      <c r="A149" s="105" t="s">
        <v>689</v>
      </c>
      <c r="B149" s="107" t="s">
        <v>779</v>
      </c>
      <c r="C149" s="107" t="s">
        <v>773</v>
      </c>
      <c r="D149" s="107">
        <v>41048</v>
      </c>
      <c r="E149" s="110" t="s">
        <v>780</v>
      </c>
    </row>
    <row r="150" customHeight="1" spans="1:5">
      <c r="A150" s="105" t="s">
        <v>689</v>
      </c>
      <c r="B150" s="106" t="s">
        <v>781</v>
      </c>
      <c r="C150" s="107" t="s">
        <v>773</v>
      </c>
      <c r="D150" s="106">
        <v>41048</v>
      </c>
      <c r="E150" s="108" t="s">
        <v>782</v>
      </c>
    </row>
    <row r="151" customHeight="1" spans="1:5">
      <c r="A151" s="105" t="s">
        <v>689</v>
      </c>
      <c r="B151" s="106" t="s">
        <v>783</v>
      </c>
      <c r="C151" s="107" t="s">
        <v>773</v>
      </c>
      <c r="D151" s="106">
        <v>41042</v>
      </c>
      <c r="E151" s="108" t="s">
        <v>784</v>
      </c>
    </row>
    <row r="152" customHeight="1" spans="1:5">
      <c r="A152" s="122" t="s">
        <v>689</v>
      </c>
      <c r="B152" s="106" t="s">
        <v>785</v>
      </c>
      <c r="C152" s="106" t="s">
        <v>773</v>
      </c>
      <c r="D152" s="106">
        <v>41018</v>
      </c>
      <c r="E152" s="108"/>
    </row>
    <row r="153" customHeight="1" spans="1:5">
      <c r="A153" s="105" t="s">
        <v>689</v>
      </c>
      <c r="B153" s="106" t="s">
        <v>786</v>
      </c>
      <c r="C153" s="107" t="s">
        <v>773</v>
      </c>
      <c r="D153" s="106">
        <v>40511</v>
      </c>
      <c r="E153" s="108" t="s">
        <v>787</v>
      </c>
    </row>
    <row r="154" customHeight="1" spans="1:5">
      <c r="A154" s="105" t="s">
        <v>689</v>
      </c>
      <c r="B154" s="106" t="s">
        <v>788</v>
      </c>
      <c r="C154" s="107" t="s">
        <v>773</v>
      </c>
      <c r="D154" s="106">
        <v>40511</v>
      </c>
      <c r="E154" s="108" t="s">
        <v>789</v>
      </c>
    </row>
    <row r="155" customHeight="1" spans="1:5">
      <c r="A155" s="105" t="s">
        <v>689</v>
      </c>
      <c r="B155" s="106" t="s">
        <v>790</v>
      </c>
      <c r="C155" s="107" t="s">
        <v>773</v>
      </c>
      <c r="D155" s="106">
        <v>40218</v>
      </c>
      <c r="E155" s="108" t="s">
        <v>791</v>
      </c>
    </row>
    <row r="156" customHeight="1" spans="1:5">
      <c r="A156" s="105" t="s">
        <v>689</v>
      </c>
      <c r="B156" s="106" t="s">
        <v>792</v>
      </c>
      <c r="C156" s="107" t="s">
        <v>773</v>
      </c>
      <c r="D156" s="106">
        <v>40165</v>
      </c>
      <c r="E156" s="108" t="s">
        <v>793</v>
      </c>
    </row>
    <row r="157" customHeight="1" spans="1:5">
      <c r="A157" s="105" t="s">
        <v>689</v>
      </c>
      <c r="B157" s="106" t="s">
        <v>794</v>
      </c>
      <c r="C157" s="107" t="s">
        <v>773</v>
      </c>
      <c r="D157" s="106">
        <v>40165</v>
      </c>
      <c r="E157" s="108" t="s">
        <v>795</v>
      </c>
    </row>
    <row r="158" customHeight="1" spans="1:5">
      <c r="A158" s="105" t="s">
        <v>689</v>
      </c>
      <c r="B158" s="106" t="s">
        <v>796</v>
      </c>
      <c r="C158" s="107" t="s">
        <v>773</v>
      </c>
      <c r="D158" s="106">
        <v>40165</v>
      </c>
      <c r="E158" s="108" t="s">
        <v>797</v>
      </c>
    </row>
    <row r="159" customHeight="1" spans="1:5">
      <c r="A159" s="105" t="s">
        <v>689</v>
      </c>
      <c r="B159" s="106" t="s">
        <v>798</v>
      </c>
      <c r="C159" s="107" t="s">
        <v>773</v>
      </c>
      <c r="D159" s="106">
        <v>40165</v>
      </c>
      <c r="E159" s="108" t="s">
        <v>799</v>
      </c>
    </row>
    <row r="160" customHeight="1" spans="1:5">
      <c r="A160" s="105" t="s">
        <v>689</v>
      </c>
      <c r="B160" s="107" t="s">
        <v>800</v>
      </c>
      <c r="C160" s="106" t="s">
        <v>773</v>
      </c>
      <c r="D160" s="116">
        <v>41018</v>
      </c>
      <c r="E160" s="110" t="s">
        <v>801</v>
      </c>
    </row>
    <row r="161" customHeight="1" spans="1:5">
      <c r="A161" s="105" t="s">
        <v>689</v>
      </c>
      <c r="B161" s="106" t="s">
        <v>802</v>
      </c>
      <c r="C161" s="106" t="s">
        <v>764</v>
      </c>
      <c r="D161" s="106">
        <v>45050</v>
      </c>
      <c r="E161" s="108" t="s">
        <v>803</v>
      </c>
    </row>
    <row r="162" customHeight="1" spans="1:5">
      <c r="A162" s="105" t="s">
        <v>689</v>
      </c>
      <c r="B162" s="106" t="s">
        <v>804</v>
      </c>
      <c r="C162" s="106" t="s">
        <v>749</v>
      </c>
      <c r="D162" s="106">
        <v>46143</v>
      </c>
      <c r="E162" s="108" t="s">
        <v>805</v>
      </c>
    </row>
    <row r="163" customHeight="1" spans="1:5">
      <c r="A163" s="105" t="s">
        <v>689</v>
      </c>
      <c r="B163" s="107" t="s">
        <v>806</v>
      </c>
      <c r="C163" s="106" t="s">
        <v>734</v>
      </c>
      <c r="D163" s="116">
        <v>48317</v>
      </c>
      <c r="E163" s="110" t="s">
        <v>807</v>
      </c>
    </row>
    <row r="164" customHeight="1" spans="1:5">
      <c r="A164" s="122" t="s">
        <v>742</v>
      </c>
      <c r="B164" s="106" t="s">
        <v>808</v>
      </c>
      <c r="C164" s="107" t="s">
        <v>809</v>
      </c>
      <c r="D164" s="106">
        <v>38118</v>
      </c>
      <c r="E164" s="108" t="s">
        <v>810</v>
      </c>
    </row>
    <row r="165" customHeight="1" spans="1:5">
      <c r="A165" s="122" t="s">
        <v>742</v>
      </c>
      <c r="B165" s="106" t="s">
        <v>811</v>
      </c>
      <c r="C165" s="107" t="s">
        <v>809</v>
      </c>
      <c r="D165" s="106">
        <v>37416</v>
      </c>
      <c r="E165" s="108" t="s">
        <v>812</v>
      </c>
    </row>
    <row r="166" customHeight="1" spans="1:5">
      <c r="A166" s="122" t="s">
        <v>742</v>
      </c>
      <c r="B166" s="106" t="s">
        <v>813</v>
      </c>
      <c r="C166" s="107" t="s">
        <v>809</v>
      </c>
      <c r="D166" s="106">
        <v>37310</v>
      </c>
      <c r="E166" s="108" t="s">
        <v>814</v>
      </c>
    </row>
    <row r="167" customHeight="1" spans="1:5">
      <c r="A167" s="122" t="s">
        <v>742</v>
      </c>
      <c r="B167" s="106" t="s">
        <v>815</v>
      </c>
      <c r="C167" s="107" t="s">
        <v>809</v>
      </c>
      <c r="D167" s="107">
        <v>37217</v>
      </c>
      <c r="E167" s="108"/>
    </row>
    <row r="168" customHeight="1" spans="1:5">
      <c r="A168" s="122" t="s">
        <v>742</v>
      </c>
      <c r="B168" s="107" t="s">
        <v>816</v>
      </c>
      <c r="C168" s="107" t="s">
        <v>809</v>
      </c>
      <c r="D168" s="107">
        <v>37217</v>
      </c>
      <c r="E168" s="110" t="s">
        <v>817</v>
      </c>
    </row>
    <row r="169" customHeight="1" spans="1:5">
      <c r="A169" s="122" t="s">
        <v>742</v>
      </c>
      <c r="B169" s="106" t="s">
        <v>818</v>
      </c>
      <c r="C169" s="107" t="s">
        <v>809</v>
      </c>
      <c r="D169" s="106">
        <v>37127</v>
      </c>
      <c r="E169" s="108" t="s">
        <v>819</v>
      </c>
    </row>
    <row r="170" customHeight="1" spans="1:5">
      <c r="A170" s="122" t="s">
        <v>742</v>
      </c>
      <c r="B170" s="106" t="s">
        <v>820</v>
      </c>
      <c r="C170" s="107" t="s">
        <v>809</v>
      </c>
      <c r="D170" s="106">
        <v>37090</v>
      </c>
      <c r="E170" s="108" t="s">
        <v>821</v>
      </c>
    </row>
    <row r="171" customHeight="1" spans="1:5">
      <c r="A171" s="122" t="s">
        <v>742</v>
      </c>
      <c r="B171" s="106" t="s">
        <v>822</v>
      </c>
      <c r="C171" s="107" t="s">
        <v>809</v>
      </c>
      <c r="D171" s="106">
        <v>37087</v>
      </c>
      <c r="E171" s="108" t="s">
        <v>823</v>
      </c>
    </row>
    <row r="172" customHeight="1" spans="1:5">
      <c r="A172" s="122" t="s">
        <v>742</v>
      </c>
      <c r="B172" s="107" t="s">
        <v>824</v>
      </c>
      <c r="C172" s="107" t="s">
        <v>825</v>
      </c>
      <c r="D172" s="107">
        <v>33897</v>
      </c>
      <c r="E172" s="110" t="s">
        <v>826</v>
      </c>
    </row>
    <row r="173" customHeight="1" spans="1:5">
      <c r="A173" s="122" t="s">
        <v>742</v>
      </c>
      <c r="B173" s="106" t="s">
        <v>827</v>
      </c>
      <c r="C173" s="107" t="s">
        <v>825</v>
      </c>
      <c r="D173" s="106">
        <v>33811</v>
      </c>
      <c r="E173" s="108" t="s">
        <v>828</v>
      </c>
    </row>
    <row r="174" customHeight="1" spans="1:5">
      <c r="A174" s="122" t="s">
        <v>742</v>
      </c>
      <c r="B174" s="107" t="s">
        <v>829</v>
      </c>
      <c r="C174" s="107" t="s">
        <v>825</v>
      </c>
      <c r="D174" s="107">
        <v>33605</v>
      </c>
      <c r="E174" s="110" t="s">
        <v>830</v>
      </c>
    </row>
    <row r="175" customHeight="1" spans="1:5">
      <c r="A175" s="122" t="s">
        <v>742</v>
      </c>
      <c r="B175" s="106" t="s">
        <v>831</v>
      </c>
      <c r="C175" s="107" t="s">
        <v>825</v>
      </c>
      <c r="D175" s="106">
        <v>33570</v>
      </c>
      <c r="E175" s="108" t="s">
        <v>832</v>
      </c>
    </row>
    <row r="176" customHeight="1" spans="1:5">
      <c r="A176" s="122" t="s">
        <v>742</v>
      </c>
      <c r="B176" s="107" t="s">
        <v>833</v>
      </c>
      <c r="C176" s="107" t="s">
        <v>825</v>
      </c>
      <c r="D176" s="107">
        <v>33182</v>
      </c>
      <c r="E176" s="110" t="s">
        <v>834</v>
      </c>
    </row>
    <row r="177" customHeight="1" spans="1:5">
      <c r="A177" s="122" t="s">
        <v>742</v>
      </c>
      <c r="B177" s="107" t="s">
        <v>835</v>
      </c>
      <c r="C177" s="107" t="s">
        <v>825</v>
      </c>
      <c r="D177" s="107">
        <v>33169</v>
      </c>
      <c r="E177" s="110" t="s">
        <v>836</v>
      </c>
    </row>
    <row r="178" customHeight="1" spans="1:5">
      <c r="A178" s="122" t="s">
        <v>742</v>
      </c>
      <c r="B178" s="107" t="s">
        <v>837</v>
      </c>
      <c r="C178" s="107" t="s">
        <v>825</v>
      </c>
      <c r="D178" s="107">
        <v>33122</v>
      </c>
      <c r="E178" s="110" t="s">
        <v>838</v>
      </c>
    </row>
    <row r="179" customHeight="1" spans="1:5">
      <c r="A179" s="122" t="s">
        <v>742</v>
      </c>
      <c r="B179" s="106" t="s">
        <v>839</v>
      </c>
      <c r="C179" s="107" t="s">
        <v>825</v>
      </c>
      <c r="D179" s="106">
        <v>33054</v>
      </c>
      <c r="E179" s="108" t="s">
        <v>840</v>
      </c>
    </row>
    <row r="180" customHeight="1" spans="1:5">
      <c r="A180" s="122" t="s">
        <v>742</v>
      </c>
      <c r="B180" s="107" t="s">
        <v>841</v>
      </c>
      <c r="C180" s="107" t="s">
        <v>825</v>
      </c>
      <c r="D180" s="107">
        <v>32819</v>
      </c>
      <c r="E180" s="110" t="s">
        <v>842</v>
      </c>
    </row>
    <row r="181" customHeight="1" spans="1:5">
      <c r="A181" s="122" t="s">
        <v>742</v>
      </c>
      <c r="B181" s="107" t="s">
        <v>843</v>
      </c>
      <c r="C181" s="107" t="s">
        <v>825</v>
      </c>
      <c r="D181" s="107">
        <v>32226</v>
      </c>
      <c r="E181" s="110" t="s">
        <v>844</v>
      </c>
    </row>
    <row r="182" customHeight="1" spans="1:5">
      <c r="A182" s="122" t="s">
        <v>742</v>
      </c>
      <c r="B182" s="107" t="s">
        <v>845</v>
      </c>
      <c r="C182" s="107" t="s">
        <v>825</v>
      </c>
      <c r="D182" s="107">
        <v>32221</v>
      </c>
      <c r="E182" s="108"/>
    </row>
    <row r="183" customHeight="1" spans="1:5">
      <c r="A183" s="122" t="s">
        <v>742</v>
      </c>
      <c r="B183" s="106" t="s">
        <v>846</v>
      </c>
      <c r="C183" s="107" t="s">
        <v>825</v>
      </c>
      <c r="D183" s="106">
        <v>32221</v>
      </c>
      <c r="E183" s="108" t="s">
        <v>847</v>
      </c>
    </row>
    <row r="184" customHeight="1" spans="1:5">
      <c r="A184" s="122" t="s">
        <v>742</v>
      </c>
      <c r="B184" s="107" t="s">
        <v>848</v>
      </c>
      <c r="C184" s="107" t="s">
        <v>825</v>
      </c>
      <c r="D184" s="107">
        <v>32219</v>
      </c>
      <c r="E184" s="110" t="s">
        <v>849</v>
      </c>
    </row>
    <row r="185" customHeight="1" spans="1:5">
      <c r="A185" s="122" t="s">
        <v>742</v>
      </c>
      <c r="B185" s="106" t="s">
        <v>850</v>
      </c>
      <c r="C185" s="107" t="s">
        <v>825</v>
      </c>
      <c r="D185" s="106">
        <v>32218</v>
      </c>
      <c r="E185" s="108" t="s">
        <v>851</v>
      </c>
    </row>
    <row r="186" customHeight="1" spans="1:5">
      <c r="A186" s="122" t="s">
        <v>742</v>
      </c>
      <c r="B186" s="107" t="s">
        <v>852</v>
      </c>
      <c r="C186" s="107" t="s">
        <v>853</v>
      </c>
      <c r="D186" s="107">
        <v>30549</v>
      </c>
      <c r="E186" s="108"/>
    </row>
    <row r="187" customHeight="1" spans="1:5">
      <c r="A187" s="122" t="s">
        <v>742</v>
      </c>
      <c r="B187" s="106" t="s">
        <v>854</v>
      </c>
      <c r="C187" s="107" t="s">
        <v>853</v>
      </c>
      <c r="D187" s="106">
        <v>30517</v>
      </c>
      <c r="E187" s="108" t="s">
        <v>855</v>
      </c>
    </row>
    <row r="188" customHeight="1" spans="1:5">
      <c r="A188" s="122" t="s">
        <v>742</v>
      </c>
      <c r="B188" s="107" t="s">
        <v>856</v>
      </c>
      <c r="C188" s="107" t="s">
        <v>853</v>
      </c>
      <c r="D188" s="107">
        <v>30344</v>
      </c>
      <c r="E188" s="110" t="s">
        <v>857</v>
      </c>
    </row>
    <row r="189" customHeight="1" spans="1:5">
      <c r="A189" s="122" t="s">
        <v>742</v>
      </c>
      <c r="B189" s="107" t="s">
        <v>858</v>
      </c>
      <c r="C189" s="107" t="s">
        <v>853</v>
      </c>
      <c r="D189" s="107">
        <v>30318</v>
      </c>
      <c r="E189" s="110" t="s">
        <v>859</v>
      </c>
    </row>
    <row r="190" customHeight="1" spans="1:5">
      <c r="A190" s="122" t="s">
        <v>742</v>
      </c>
      <c r="B190" s="106" t="s">
        <v>860</v>
      </c>
      <c r="C190" s="107" t="s">
        <v>853</v>
      </c>
      <c r="D190" s="106">
        <v>30291</v>
      </c>
      <c r="E190" s="108" t="s">
        <v>861</v>
      </c>
    </row>
    <row r="191" customHeight="1" spans="1:5">
      <c r="A191" s="122" t="s">
        <v>742</v>
      </c>
      <c r="B191" s="106" t="s">
        <v>862</v>
      </c>
      <c r="C191" s="107" t="s">
        <v>853</v>
      </c>
      <c r="D191" s="106">
        <v>30122</v>
      </c>
      <c r="E191" s="108" t="s">
        <v>863</v>
      </c>
    </row>
    <row r="192" customHeight="1" spans="1:5">
      <c r="A192" s="122" t="s">
        <v>742</v>
      </c>
      <c r="B192" s="106" t="s">
        <v>864</v>
      </c>
      <c r="C192" s="106" t="s">
        <v>853</v>
      </c>
      <c r="D192" s="106">
        <v>31216</v>
      </c>
      <c r="E192" s="108" t="s">
        <v>865</v>
      </c>
    </row>
    <row r="193" customHeight="1" spans="1:5">
      <c r="A193" s="122" t="s">
        <v>742</v>
      </c>
      <c r="B193" s="107" t="s">
        <v>866</v>
      </c>
      <c r="C193" s="106" t="s">
        <v>825</v>
      </c>
      <c r="D193" s="116">
        <v>33811</v>
      </c>
      <c r="E193" s="110" t="s">
        <v>867</v>
      </c>
    </row>
    <row r="194" customHeight="1" spans="1:5">
      <c r="A194" s="122" t="s">
        <v>742</v>
      </c>
      <c r="B194" s="106" t="s">
        <v>868</v>
      </c>
      <c r="C194" s="106" t="s">
        <v>809</v>
      </c>
      <c r="D194" s="106">
        <v>37090</v>
      </c>
      <c r="E194" s="108" t="s">
        <v>869</v>
      </c>
    </row>
    <row r="195" customHeight="1" spans="1:5">
      <c r="A195" s="122" t="s">
        <v>742</v>
      </c>
      <c r="B195" s="106" t="s">
        <v>870</v>
      </c>
      <c r="C195" s="107" t="s">
        <v>871</v>
      </c>
      <c r="D195" s="106">
        <v>29303</v>
      </c>
      <c r="E195" s="108" t="s">
        <v>872</v>
      </c>
    </row>
    <row r="196" customHeight="1" spans="1:5">
      <c r="A196" s="122" t="s">
        <v>742</v>
      </c>
      <c r="B196" s="106" t="s">
        <v>873</v>
      </c>
      <c r="C196" s="107" t="s">
        <v>871</v>
      </c>
      <c r="D196" s="106">
        <v>29172</v>
      </c>
      <c r="E196" s="108" t="s">
        <v>874</v>
      </c>
    </row>
    <row r="197" customHeight="1" spans="1:5">
      <c r="A197" s="122" t="s">
        <v>742</v>
      </c>
      <c r="B197" s="106" t="s">
        <v>875</v>
      </c>
      <c r="C197" s="107" t="s">
        <v>871</v>
      </c>
      <c r="D197" s="106">
        <v>29172</v>
      </c>
      <c r="E197" s="108" t="s">
        <v>876</v>
      </c>
    </row>
    <row r="198" customHeight="1" spans="1:5">
      <c r="A198" s="122" t="s">
        <v>742</v>
      </c>
      <c r="B198" s="112" t="s">
        <v>877</v>
      </c>
      <c r="C198" s="112" t="s">
        <v>878</v>
      </c>
      <c r="D198" s="112">
        <v>28214</v>
      </c>
      <c r="E198" s="117" t="s">
        <v>879</v>
      </c>
    </row>
    <row r="199" customHeight="1" spans="1:5">
      <c r="A199" s="122" t="s">
        <v>742</v>
      </c>
      <c r="B199" s="107" t="s">
        <v>880</v>
      </c>
      <c r="C199" s="125" t="s">
        <v>878</v>
      </c>
      <c r="D199" s="107">
        <v>28201</v>
      </c>
      <c r="E199" s="110" t="s">
        <v>881</v>
      </c>
    </row>
    <row r="200" customHeight="1" spans="1:5">
      <c r="A200" s="122" t="s">
        <v>742</v>
      </c>
      <c r="B200" s="107" t="s">
        <v>882</v>
      </c>
      <c r="C200" s="125" t="s">
        <v>878</v>
      </c>
      <c r="D200" s="107">
        <v>28027</v>
      </c>
      <c r="E200" s="110" t="s">
        <v>883</v>
      </c>
    </row>
    <row r="201" customHeight="1" spans="1:5">
      <c r="A201" s="122" t="s">
        <v>742</v>
      </c>
      <c r="B201" s="107" t="s">
        <v>884</v>
      </c>
      <c r="C201" s="107" t="s">
        <v>885</v>
      </c>
      <c r="D201" s="107">
        <v>27703</v>
      </c>
      <c r="E201" s="110" t="s">
        <v>886</v>
      </c>
    </row>
    <row r="202" customHeight="1" spans="1:5">
      <c r="A202" s="122" t="s">
        <v>742</v>
      </c>
      <c r="B202" s="107" t="s">
        <v>887</v>
      </c>
      <c r="C202" s="107" t="s">
        <v>885</v>
      </c>
      <c r="D202" s="107">
        <v>27609</v>
      </c>
      <c r="E202" s="110" t="s">
        <v>888</v>
      </c>
    </row>
    <row r="203" customHeight="1" spans="1:5">
      <c r="A203" s="122" t="s">
        <v>742</v>
      </c>
      <c r="B203" s="106" t="s">
        <v>889</v>
      </c>
      <c r="C203" s="107" t="s">
        <v>885</v>
      </c>
      <c r="D203" s="106">
        <v>23836</v>
      </c>
      <c r="E203" s="108" t="s">
        <v>890</v>
      </c>
    </row>
    <row r="204" customHeight="1" spans="1:5">
      <c r="A204" s="122" t="s">
        <v>742</v>
      </c>
      <c r="B204" s="107" t="s">
        <v>891</v>
      </c>
      <c r="C204" s="107" t="s">
        <v>885</v>
      </c>
      <c r="D204" s="107">
        <v>23836</v>
      </c>
      <c r="E204" s="110" t="s">
        <v>892</v>
      </c>
    </row>
    <row r="205" customHeight="1" spans="1:5">
      <c r="A205" s="122" t="s">
        <v>742</v>
      </c>
      <c r="B205" s="106" t="s">
        <v>893</v>
      </c>
      <c r="C205" s="107" t="s">
        <v>885</v>
      </c>
      <c r="D205" s="106">
        <v>23803</v>
      </c>
      <c r="E205" s="108" t="s">
        <v>894</v>
      </c>
    </row>
    <row r="206" customHeight="1" spans="1:5">
      <c r="A206" s="122" t="s">
        <v>742</v>
      </c>
      <c r="B206" s="107" t="s">
        <v>895</v>
      </c>
      <c r="C206" s="107" t="s">
        <v>896</v>
      </c>
      <c r="D206" s="107">
        <v>23230</v>
      </c>
      <c r="E206" s="110" t="s">
        <v>897</v>
      </c>
    </row>
    <row r="207" customHeight="1" spans="1:5">
      <c r="A207" s="122" t="s">
        <v>742</v>
      </c>
      <c r="B207" s="107" t="s">
        <v>898</v>
      </c>
      <c r="C207" s="107" t="s">
        <v>896</v>
      </c>
      <c r="D207" s="107">
        <v>22151</v>
      </c>
      <c r="E207" s="110" t="s">
        <v>899</v>
      </c>
    </row>
    <row r="208" customHeight="1" spans="1:5">
      <c r="A208" s="122" t="s">
        <v>742</v>
      </c>
      <c r="B208" s="107" t="s">
        <v>900</v>
      </c>
      <c r="C208" s="106" t="s">
        <v>885</v>
      </c>
      <c r="D208" s="116" t="s">
        <v>901</v>
      </c>
      <c r="E208" s="110" t="s">
        <v>902</v>
      </c>
    </row>
    <row r="209" customHeight="1" spans="1:5">
      <c r="A209" s="122" t="s">
        <v>742</v>
      </c>
      <c r="B209" s="107" t="s">
        <v>903</v>
      </c>
      <c r="C209" s="107" t="s">
        <v>896</v>
      </c>
      <c r="D209" s="107">
        <v>22151</v>
      </c>
      <c r="E209" s="110" t="s">
        <v>899</v>
      </c>
    </row>
    <row r="210" customHeight="1" spans="1:5">
      <c r="A210" s="122" t="s">
        <v>742</v>
      </c>
      <c r="B210" s="106" t="s">
        <v>904</v>
      </c>
      <c r="C210" s="107" t="s">
        <v>896</v>
      </c>
      <c r="D210" s="106">
        <v>21224</v>
      </c>
      <c r="E210" s="108" t="s">
        <v>905</v>
      </c>
    </row>
    <row r="211" customHeight="1" spans="1:5">
      <c r="A211" s="122" t="s">
        <v>742</v>
      </c>
      <c r="B211" s="107" t="s">
        <v>906</v>
      </c>
      <c r="C211" s="107" t="s">
        <v>896</v>
      </c>
      <c r="D211" s="107">
        <v>21224</v>
      </c>
      <c r="E211" s="110" t="s">
        <v>907</v>
      </c>
    </row>
    <row r="212" customHeight="1" spans="1:5">
      <c r="A212" s="122" t="s">
        <v>742</v>
      </c>
      <c r="B212" s="106" t="s">
        <v>908</v>
      </c>
      <c r="C212" s="107" t="s">
        <v>896</v>
      </c>
      <c r="D212" s="106">
        <v>21093</v>
      </c>
      <c r="E212" s="108" t="s">
        <v>909</v>
      </c>
    </row>
    <row r="213" customHeight="1" spans="1:5">
      <c r="A213" s="122" t="s">
        <v>742</v>
      </c>
      <c r="B213" s="107" t="s">
        <v>910</v>
      </c>
      <c r="C213" s="107" t="s">
        <v>896</v>
      </c>
      <c r="D213" s="107">
        <v>20850</v>
      </c>
      <c r="E213" s="110" t="s">
        <v>911</v>
      </c>
    </row>
    <row r="214" customHeight="1" spans="1:5">
      <c r="A214" s="122" t="s">
        <v>742</v>
      </c>
      <c r="B214" s="107" t="s">
        <v>912</v>
      </c>
      <c r="C214" s="107" t="s">
        <v>896</v>
      </c>
      <c r="D214" s="107">
        <v>20166</v>
      </c>
      <c r="E214" s="110" t="s">
        <v>913</v>
      </c>
    </row>
    <row r="215" customHeight="1" spans="1:5">
      <c r="A215" s="122" t="s">
        <v>742</v>
      </c>
      <c r="B215" s="107" t="s">
        <v>914</v>
      </c>
      <c r="C215" s="106" t="s">
        <v>896</v>
      </c>
      <c r="D215" s="116">
        <v>21901</v>
      </c>
      <c r="E215" s="110" t="s">
        <v>915</v>
      </c>
    </row>
    <row r="216" customHeight="1" spans="1:5">
      <c r="A216" s="122" t="s">
        <v>742</v>
      </c>
      <c r="B216" s="107" t="s">
        <v>916</v>
      </c>
      <c r="C216" s="106" t="s">
        <v>878</v>
      </c>
      <c r="D216" s="116">
        <v>28027</v>
      </c>
      <c r="E216" s="110" t="s">
        <v>917</v>
      </c>
    </row>
    <row r="217" customHeight="1" spans="1:5">
      <c r="A217" s="122" t="s">
        <v>742</v>
      </c>
      <c r="B217" s="106" t="s">
        <v>918</v>
      </c>
      <c r="C217" s="107" t="s">
        <v>919</v>
      </c>
      <c r="D217" s="107">
        <v>19720</v>
      </c>
      <c r="E217" s="108"/>
    </row>
    <row r="218" customHeight="1" spans="1:5">
      <c r="A218" s="122" t="s">
        <v>742</v>
      </c>
      <c r="B218" s="106" t="s">
        <v>920</v>
      </c>
      <c r="C218" s="107" t="s">
        <v>919</v>
      </c>
      <c r="D218" s="106">
        <v>19720</v>
      </c>
      <c r="E218" s="108" t="s">
        <v>921</v>
      </c>
    </row>
    <row r="219" customHeight="1" spans="1:5">
      <c r="A219" s="122" t="s">
        <v>742</v>
      </c>
      <c r="B219" s="106" t="s">
        <v>922</v>
      </c>
      <c r="C219" s="107" t="s">
        <v>919</v>
      </c>
      <c r="D219" s="107">
        <v>19709</v>
      </c>
      <c r="E219" s="108"/>
    </row>
    <row r="220" customHeight="1" spans="1:5">
      <c r="A220" s="122" t="s">
        <v>742</v>
      </c>
      <c r="B220" s="106" t="s">
        <v>923</v>
      </c>
      <c r="C220" s="107" t="s">
        <v>919</v>
      </c>
      <c r="D220" s="106">
        <v>19709</v>
      </c>
      <c r="E220" s="108" t="s">
        <v>924</v>
      </c>
    </row>
    <row r="221" customHeight="1" spans="1:5">
      <c r="A221" s="122" t="s">
        <v>742</v>
      </c>
      <c r="B221" s="107" t="s">
        <v>925</v>
      </c>
      <c r="C221" s="107" t="s">
        <v>926</v>
      </c>
      <c r="D221" s="107">
        <v>19137</v>
      </c>
      <c r="E221" s="110" t="s">
        <v>927</v>
      </c>
    </row>
    <row r="222" customHeight="1" spans="1:5">
      <c r="A222" s="122" t="s">
        <v>742</v>
      </c>
      <c r="B222" s="106" t="s">
        <v>928</v>
      </c>
      <c r="C222" s="107" t="s">
        <v>926</v>
      </c>
      <c r="D222" s="106">
        <v>18640</v>
      </c>
      <c r="E222" s="108" t="s">
        <v>929</v>
      </c>
    </row>
    <row r="223" customHeight="1" spans="1:5">
      <c r="A223" s="122" t="s">
        <v>742</v>
      </c>
      <c r="B223" s="107" t="s">
        <v>930</v>
      </c>
      <c r="C223" s="107" t="s">
        <v>926</v>
      </c>
      <c r="D223" s="107">
        <v>18512</v>
      </c>
      <c r="E223" s="108"/>
    </row>
    <row r="224" customHeight="1" spans="1:5">
      <c r="A224" s="122" t="s">
        <v>742</v>
      </c>
      <c r="B224" s="106" t="s">
        <v>931</v>
      </c>
      <c r="C224" s="107" t="s">
        <v>926</v>
      </c>
      <c r="D224" s="107">
        <v>18424</v>
      </c>
      <c r="E224" s="108" t="s">
        <v>932</v>
      </c>
    </row>
    <row r="225" customHeight="1" spans="1:5">
      <c r="A225" s="122" t="s">
        <v>742</v>
      </c>
      <c r="B225" s="106" t="s">
        <v>933</v>
      </c>
      <c r="C225" s="107" t="s">
        <v>926</v>
      </c>
      <c r="D225" s="106">
        <v>18202</v>
      </c>
      <c r="E225" s="108" t="s">
        <v>934</v>
      </c>
    </row>
    <row r="226" customHeight="1" spans="1:5">
      <c r="A226" s="122" t="s">
        <v>742</v>
      </c>
      <c r="B226" s="106" t="s">
        <v>935</v>
      </c>
      <c r="C226" s="107" t="s">
        <v>926</v>
      </c>
      <c r="D226" s="106">
        <v>18045</v>
      </c>
      <c r="E226" s="108" t="s">
        <v>936</v>
      </c>
    </row>
    <row r="227" customHeight="1" spans="1:5">
      <c r="A227" s="122" t="s">
        <v>742</v>
      </c>
      <c r="B227" s="106" t="s">
        <v>937</v>
      </c>
      <c r="C227" s="107" t="s">
        <v>926</v>
      </c>
      <c r="D227" s="106">
        <v>18031</v>
      </c>
      <c r="E227" s="108" t="s">
        <v>938</v>
      </c>
    </row>
    <row r="228" customHeight="1" spans="1:5">
      <c r="A228" s="122" t="s">
        <v>742</v>
      </c>
      <c r="B228" s="106" t="s">
        <v>939</v>
      </c>
      <c r="C228" s="107" t="s">
        <v>926</v>
      </c>
      <c r="D228" s="106">
        <v>18020</v>
      </c>
      <c r="E228" s="108" t="s">
        <v>940</v>
      </c>
    </row>
    <row r="229" customHeight="1" spans="1:5">
      <c r="A229" s="122" t="s">
        <v>742</v>
      </c>
      <c r="B229" s="106" t="s">
        <v>941</v>
      </c>
      <c r="C229" s="107" t="s">
        <v>926</v>
      </c>
      <c r="D229" s="106">
        <v>17339</v>
      </c>
      <c r="E229" s="108" t="s">
        <v>942</v>
      </c>
    </row>
    <row r="230" customHeight="1" spans="1:5">
      <c r="A230" s="122" t="s">
        <v>742</v>
      </c>
      <c r="B230" s="106" t="s">
        <v>943</v>
      </c>
      <c r="C230" s="107" t="s">
        <v>926</v>
      </c>
      <c r="D230" s="106">
        <v>17112</v>
      </c>
      <c r="E230" s="108" t="s">
        <v>944</v>
      </c>
    </row>
    <row r="231" customHeight="1" spans="1:5">
      <c r="A231" s="122" t="s">
        <v>742</v>
      </c>
      <c r="B231" s="106" t="s">
        <v>945</v>
      </c>
      <c r="C231" s="106" t="s">
        <v>926</v>
      </c>
      <c r="D231" s="106">
        <v>17015</v>
      </c>
      <c r="E231" s="108" t="s">
        <v>946</v>
      </c>
    </row>
    <row r="232" customHeight="1" spans="1:5">
      <c r="A232" s="122" t="s">
        <v>742</v>
      </c>
      <c r="B232" s="106" t="s">
        <v>947</v>
      </c>
      <c r="C232" s="107" t="s">
        <v>926</v>
      </c>
      <c r="D232" s="106">
        <v>17015</v>
      </c>
      <c r="E232" s="108" t="s">
        <v>948</v>
      </c>
    </row>
    <row r="233" customHeight="1" spans="1:5">
      <c r="A233" s="122" t="s">
        <v>742</v>
      </c>
      <c r="B233" s="106" t="s">
        <v>949</v>
      </c>
      <c r="C233" s="107" t="s">
        <v>926</v>
      </c>
      <c r="D233" s="106">
        <v>17015</v>
      </c>
      <c r="E233" s="108" t="s">
        <v>950</v>
      </c>
    </row>
    <row r="234" customHeight="1" spans="1:5">
      <c r="A234" s="122" t="s">
        <v>742</v>
      </c>
      <c r="B234" s="106" t="s">
        <v>951</v>
      </c>
      <c r="C234" s="107" t="s">
        <v>926</v>
      </c>
      <c r="D234" s="106">
        <v>17013</v>
      </c>
      <c r="E234" s="108" t="s">
        <v>952</v>
      </c>
    </row>
    <row r="235" customHeight="1" spans="1:5">
      <c r="A235" s="122" t="s">
        <v>742</v>
      </c>
      <c r="B235" s="107" t="s">
        <v>953</v>
      </c>
      <c r="C235" s="107" t="s">
        <v>926</v>
      </c>
      <c r="D235" s="107">
        <v>15205</v>
      </c>
      <c r="E235" s="108"/>
    </row>
    <row r="236" customHeight="1" spans="1:5">
      <c r="A236" s="122" t="s">
        <v>742</v>
      </c>
      <c r="B236" s="107" t="s">
        <v>954</v>
      </c>
      <c r="C236" s="107" t="s">
        <v>926</v>
      </c>
      <c r="D236" s="107">
        <v>15205</v>
      </c>
      <c r="E236" s="110" t="s">
        <v>955</v>
      </c>
    </row>
    <row r="237" customHeight="1" spans="1:5">
      <c r="A237" s="122" t="s">
        <v>742</v>
      </c>
      <c r="B237" s="107" t="s">
        <v>956</v>
      </c>
      <c r="C237" s="106" t="s">
        <v>926</v>
      </c>
      <c r="D237" s="116">
        <v>18643</v>
      </c>
      <c r="E237" s="110" t="s">
        <v>957</v>
      </c>
    </row>
    <row r="238" customHeight="1" spans="1:5">
      <c r="A238" s="122" t="s">
        <v>742</v>
      </c>
      <c r="B238" s="106" t="s">
        <v>958</v>
      </c>
      <c r="C238" s="107" t="s">
        <v>959</v>
      </c>
      <c r="D238" s="616" t="s">
        <v>960</v>
      </c>
      <c r="E238" s="108" t="s">
        <v>961</v>
      </c>
    </row>
    <row r="239" customHeight="1" spans="1:5">
      <c r="A239" s="122" t="s">
        <v>742</v>
      </c>
      <c r="B239" s="112" t="s">
        <v>962</v>
      </c>
      <c r="C239" s="107" t="s">
        <v>959</v>
      </c>
      <c r="D239" s="112">
        <v>8518</v>
      </c>
      <c r="E239" s="113" t="s">
        <v>963</v>
      </c>
    </row>
    <row r="240" customHeight="1" spans="1:5">
      <c r="A240" s="122" t="s">
        <v>742</v>
      </c>
      <c r="B240" s="107" t="s">
        <v>964</v>
      </c>
      <c r="C240" s="107" t="s">
        <v>959</v>
      </c>
      <c r="D240" s="124" t="s">
        <v>965</v>
      </c>
      <c r="E240" s="108"/>
    </row>
    <row r="241" customHeight="1" spans="1:5">
      <c r="A241" s="122" t="s">
        <v>742</v>
      </c>
      <c r="B241" s="107" t="s">
        <v>966</v>
      </c>
      <c r="C241" s="107" t="s">
        <v>959</v>
      </c>
      <c r="D241" s="617" t="s">
        <v>967</v>
      </c>
      <c r="E241" s="110" t="s">
        <v>968</v>
      </c>
    </row>
    <row r="242" customHeight="1" spans="1:5">
      <c r="A242" s="122" t="s">
        <v>742</v>
      </c>
      <c r="B242" s="107" t="s">
        <v>969</v>
      </c>
      <c r="C242" s="107" t="s">
        <v>959</v>
      </c>
      <c r="D242" s="124" t="s">
        <v>967</v>
      </c>
      <c r="E242" s="108"/>
    </row>
    <row r="243" customHeight="1" spans="1:5">
      <c r="A243" s="122" t="s">
        <v>742</v>
      </c>
      <c r="B243" s="107" t="s">
        <v>970</v>
      </c>
      <c r="C243" s="107" t="s">
        <v>959</v>
      </c>
      <c r="D243" s="617" t="s">
        <v>971</v>
      </c>
      <c r="E243" s="110" t="s">
        <v>972</v>
      </c>
    </row>
    <row r="244" customHeight="1" spans="1:5">
      <c r="A244" s="122" t="s">
        <v>742</v>
      </c>
      <c r="B244" s="107" t="s">
        <v>973</v>
      </c>
      <c r="C244" s="107" t="s">
        <v>959</v>
      </c>
      <c r="D244" s="617" t="s">
        <v>974</v>
      </c>
      <c r="E244" s="110" t="s">
        <v>975</v>
      </c>
    </row>
    <row r="245" customHeight="1" spans="1:5">
      <c r="A245" s="122" t="s">
        <v>742</v>
      </c>
      <c r="B245" s="107" t="s">
        <v>976</v>
      </c>
      <c r="C245" s="107" t="s">
        <v>959</v>
      </c>
      <c r="D245" s="617" t="s">
        <v>974</v>
      </c>
      <c r="E245" s="110" t="s">
        <v>977</v>
      </c>
    </row>
    <row r="246" customHeight="1" spans="1:5">
      <c r="A246" s="122" t="s">
        <v>742</v>
      </c>
      <c r="B246" s="107" t="s">
        <v>978</v>
      </c>
      <c r="C246" s="107" t="s">
        <v>959</v>
      </c>
      <c r="D246" s="617" t="s">
        <v>979</v>
      </c>
      <c r="E246" s="110" t="s">
        <v>980</v>
      </c>
    </row>
    <row r="247" customHeight="1" spans="1:5">
      <c r="A247" s="122" t="s">
        <v>742</v>
      </c>
      <c r="B247" s="107" t="s">
        <v>981</v>
      </c>
      <c r="C247" s="107" t="s">
        <v>959</v>
      </c>
      <c r="D247" s="617" t="s">
        <v>979</v>
      </c>
      <c r="E247" s="110" t="s">
        <v>982</v>
      </c>
    </row>
    <row r="248" customHeight="1" spans="1:5">
      <c r="A248" s="122" t="s">
        <v>742</v>
      </c>
      <c r="B248" s="107" t="s">
        <v>983</v>
      </c>
      <c r="C248" s="107" t="s">
        <v>984</v>
      </c>
      <c r="D248" s="617" t="s">
        <v>985</v>
      </c>
      <c r="E248" s="110" t="s">
        <v>986</v>
      </c>
    </row>
    <row r="249" customHeight="1" spans="1:5">
      <c r="A249" s="122" t="s">
        <v>742</v>
      </c>
      <c r="B249" s="106" t="s">
        <v>987</v>
      </c>
      <c r="C249" s="107" t="s">
        <v>984</v>
      </c>
      <c r="D249" s="616" t="s">
        <v>988</v>
      </c>
      <c r="E249" s="108" t="s">
        <v>989</v>
      </c>
    </row>
    <row r="250" customHeight="1" spans="1:5">
      <c r="A250" s="122" t="s">
        <v>742</v>
      </c>
      <c r="B250" s="106" t="s">
        <v>990</v>
      </c>
      <c r="C250" s="107" t="s">
        <v>991</v>
      </c>
      <c r="D250" s="616" t="s">
        <v>992</v>
      </c>
      <c r="E250" s="108" t="s">
        <v>993</v>
      </c>
    </row>
    <row r="251" customHeight="1" spans="1:5">
      <c r="A251" s="122" t="s">
        <v>742</v>
      </c>
      <c r="B251" s="106" t="s">
        <v>994</v>
      </c>
      <c r="C251" s="107" t="s">
        <v>995</v>
      </c>
      <c r="D251" s="616" t="s">
        <v>996</v>
      </c>
      <c r="E251" s="108" t="s">
        <v>997</v>
      </c>
    </row>
    <row r="252" customHeight="1" spans="1:5">
      <c r="A252" s="122" t="s">
        <v>742</v>
      </c>
      <c r="B252" s="106" t="s">
        <v>998</v>
      </c>
      <c r="C252" s="107" t="s">
        <v>995</v>
      </c>
      <c r="D252" s="616" t="s">
        <v>999</v>
      </c>
      <c r="E252" s="108" t="s">
        <v>1000</v>
      </c>
    </row>
    <row r="253" customHeight="1" spans="1:5">
      <c r="A253" s="122" t="s">
        <v>742</v>
      </c>
      <c r="B253" s="106" t="s">
        <v>1001</v>
      </c>
      <c r="C253" s="107" t="s">
        <v>995</v>
      </c>
      <c r="D253" s="616" t="s">
        <v>999</v>
      </c>
      <c r="E253" s="108" t="s">
        <v>1000</v>
      </c>
    </row>
    <row r="254" customHeight="1" spans="1:5">
      <c r="A254" s="122" t="s">
        <v>742</v>
      </c>
      <c r="B254" s="106" t="s">
        <v>1002</v>
      </c>
      <c r="C254" s="107" t="s">
        <v>995</v>
      </c>
      <c r="D254" s="126" t="s">
        <v>1003</v>
      </c>
      <c r="E254" s="108"/>
    </row>
    <row r="255" customHeight="1" spans="1:5">
      <c r="A255" s="122" t="s">
        <v>742</v>
      </c>
      <c r="B255" s="106" t="s">
        <v>1004</v>
      </c>
      <c r="C255" s="107" t="s">
        <v>995</v>
      </c>
      <c r="D255" s="616" t="s">
        <v>1003</v>
      </c>
      <c r="E255" s="108" t="s">
        <v>1005</v>
      </c>
    </row>
    <row r="256" customHeight="1" spans="1:5">
      <c r="A256" s="122" t="s">
        <v>742</v>
      </c>
      <c r="B256" s="106" t="s">
        <v>1006</v>
      </c>
      <c r="C256" s="107" t="s">
        <v>480</v>
      </c>
      <c r="D256" s="616" t="s">
        <v>1007</v>
      </c>
      <c r="E256" s="108" t="s">
        <v>1008</v>
      </c>
    </row>
    <row r="257" customHeight="1" spans="1:5">
      <c r="A257" s="122" t="s">
        <v>742</v>
      </c>
      <c r="B257" s="106" t="s">
        <v>1009</v>
      </c>
      <c r="C257" s="107" t="s">
        <v>959</v>
      </c>
      <c r="D257" s="126">
        <v>8016</v>
      </c>
      <c r="E257" s="108" t="s">
        <v>1010</v>
      </c>
    </row>
    <row r="258" customHeight="1" spans="1:5">
      <c r="A258" s="122" t="s">
        <v>742</v>
      </c>
      <c r="B258" s="106" t="s">
        <v>1011</v>
      </c>
      <c r="C258" s="107" t="s">
        <v>959</v>
      </c>
      <c r="D258" s="126">
        <v>8066</v>
      </c>
      <c r="E258" s="108" t="s">
        <v>1012</v>
      </c>
    </row>
    <row r="259" customHeight="1" spans="1:5">
      <c r="A259" s="122" t="s">
        <v>742</v>
      </c>
      <c r="B259" s="106" t="s">
        <v>1013</v>
      </c>
      <c r="C259" s="107" t="s">
        <v>959</v>
      </c>
      <c r="D259" s="616" t="s">
        <v>967</v>
      </c>
      <c r="E259" s="108" t="s">
        <v>1014</v>
      </c>
    </row>
    <row r="260" customHeight="1" spans="1:5">
      <c r="A260" s="122" t="s">
        <v>742</v>
      </c>
      <c r="B260" s="127" t="s">
        <v>994</v>
      </c>
      <c r="C260" s="127" t="s">
        <v>995</v>
      </c>
      <c r="D260" s="128" t="s">
        <v>1015</v>
      </c>
      <c r="E260" s="129" t="s">
        <v>1016</v>
      </c>
    </row>
  </sheetData>
  <hyperlinks>
    <hyperlink ref="F1" location="目录!A1" display="返回主页"/>
  </hyperlink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sheetPr>
  <dimension ref="A1:F22"/>
  <sheetViews>
    <sheetView workbookViewId="0">
      <selection activeCell="H6" sqref="H6"/>
    </sheetView>
  </sheetViews>
  <sheetFormatPr defaultColWidth="9" defaultRowHeight="13.5" outlineLevelCol="5"/>
  <cols>
    <col min="1" max="1" width="10.25" style="80" customWidth="1"/>
    <col min="2" max="2" width="26.625" style="80" customWidth="1"/>
    <col min="3" max="3" width="30.375" style="80" customWidth="1"/>
    <col min="4" max="5" width="16.125" style="80" customWidth="1"/>
    <col min="6" max="6" width="26.25" style="80" customWidth="1"/>
    <col min="7" max="7" width="15.625" style="80" customWidth="1"/>
    <col min="8" max="16384" width="9" style="80"/>
  </cols>
  <sheetData>
    <row r="1" s="76" customFormat="1" ht="63" customHeight="1" spans="1:6">
      <c r="A1" s="81" t="s">
        <v>1017</v>
      </c>
      <c r="B1" s="82"/>
      <c r="C1" s="82"/>
      <c r="D1" s="82"/>
      <c r="E1" s="82"/>
      <c r="F1" s="83"/>
    </row>
    <row r="2" s="77" customFormat="1" ht="28" customHeight="1" spans="1:6">
      <c r="A2" s="84" t="s">
        <v>1018</v>
      </c>
      <c r="B2" s="85" t="s">
        <v>1019</v>
      </c>
      <c r="C2" s="85" t="s">
        <v>1020</v>
      </c>
      <c r="D2" s="85" t="s">
        <v>1021</v>
      </c>
      <c r="E2" s="85" t="s">
        <v>1022</v>
      </c>
      <c r="F2" s="85" t="s">
        <v>1023</v>
      </c>
    </row>
    <row r="3" s="77" customFormat="1" ht="28" customHeight="1" spans="1:6">
      <c r="A3" s="84">
        <v>1</v>
      </c>
      <c r="B3" s="86"/>
      <c r="C3" s="87"/>
      <c r="D3" s="85"/>
      <c r="E3" s="85"/>
      <c r="F3" s="85"/>
    </row>
    <row r="4" s="77" customFormat="1" ht="28" customHeight="1" spans="1:6">
      <c r="A4" s="84">
        <v>2</v>
      </c>
      <c r="B4" s="86"/>
      <c r="C4" s="87"/>
      <c r="D4" s="85"/>
      <c r="E4" s="85"/>
      <c r="F4" s="85"/>
    </row>
    <row r="5" s="77" customFormat="1" ht="28" customHeight="1" spans="1:6">
      <c r="A5" s="84">
        <v>3</v>
      </c>
      <c r="B5" s="86"/>
      <c r="C5" s="87"/>
      <c r="D5" s="85"/>
      <c r="E5" s="85"/>
      <c r="F5" s="85"/>
    </row>
    <row r="6" s="77" customFormat="1" ht="28" customHeight="1" spans="1:6">
      <c r="A6" s="84">
        <v>4</v>
      </c>
      <c r="B6" s="86"/>
      <c r="C6" s="87"/>
      <c r="D6" s="85"/>
      <c r="E6" s="85"/>
      <c r="F6" s="85"/>
    </row>
    <row r="7" s="77" customFormat="1" ht="28" customHeight="1" spans="1:6">
      <c r="A7" s="84">
        <v>5</v>
      </c>
      <c r="B7" s="86"/>
      <c r="C7" s="87"/>
      <c r="D7" s="85"/>
      <c r="E7" s="85"/>
      <c r="F7" s="85"/>
    </row>
    <row r="8" s="77" customFormat="1" ht="28" customHeight="1" spans="1:6">
      <c r="A8" s="84">
        <v>6</v>
      </c>
      <c r="B8" s="86"/>
      <c r="C8" s="87"/>
      <c r="D8" s="85"/>
      <c r="E8" s="85"/>
      <c r="F8" s="85"/>
    </row>
    <row r="9" s="78" customFormat="1" ht="35.25" customHeight="1" spans="1:6">
      <c r="A9" s="88" t="s">
        <v>1024</v>
      </c>
      <c r="B9" s="89"/>
      <c r="C9" s="89"/>
      <c r="D9" s="89"/>
      <c r="E9" s="89"/>
      <c r="F9" s="90"/>
    </row>
    <row r="10" s="78" customFormat="1" ht="35.25" customHeight="1" spans="1:6">
      <c r="A10" s="91" t="s">
        <v>1025</v>
      </c>
      <c r="B10" s="92"/>
      <c r="C10" s="92"/>
      <c r="D10" s="92"/>
      <c r="E10" s="92"/>
      <c r="F10" s="93"/>
    </row>
    <row r="11" s="78" customFormat="1" ht="35.25" customHeight="1" spans="1:6">
      <c r="A11" s="91" t="s">
        <v>1026</v>
      </c>
      <c r="B11" s="92"/>
      <c r="C11" s="92"/>
      <c r="D11" s="92"/>
      <c r="E11" s="92"/>
      <c r="F11" s="93"/>
    </row>
    <row r="12" s="78" customFormat="1" ht="83" customHeight="1" spans="1:6">
      <c r="A12" s="94" t="s">
        <v>1027</v>
      </c>
      <c r="B12" s="94"/>
      <c r="C12" s="94"/>
      <c r="D12" s="94"/>
      <c r="E12" s="94"/>
      <c r="F12" s="94"/>
    </row>
    <row r="13" s="79" customFormat="1" ht="84" customHeight="1" spans="1:6">
      <c r="A13" s="95" t="s">
        <v>1028</v>
      </c>
      <c r="B13" s="96"/>
      <c r="C13" s="96"/>
      <c r="D13" s="96"/>
      <c r="E13" s="96"/>
      <c r="F13" s="97"/>
    </row>
    <row r="14" s="79" customFormat="1" ht="115" customHeight="1" spans="1:6">
      <c r="A14" s="94" t="s">
        <v>64</v>
      </c>
      <c r="B14" s="98"/>
      <c r="C14" s="98"/>
      <c r="D14" s="98"/>
      <c r="E14" s="98"/>
      <c r="F14" s="98"/>
    </row>
    <row r="15" s="79" customFormat="1" ht="65" customHeight="1" spans="1:6">
      <c r="A15" s="94" t="s">
        <v>1029</v>
      </c>
      <c r="B15" s="98"/>
      <c r="C15" s="98"/>
      <c r="D15" s="98"/>
      <c r="E15" s="98"/>
      <c r="F15" s="98"/>
    </row>
    <row r="22" s="80" customFormat="1" spans="2:2">
      <c r="B22" s="99"/>
    </row>
  </sheetData>
  <protectedRanges>
    <protectedRange sqref="B5:L12 C3 L3 C13 H13 L13 B1" name="区域1"/>
  </protectedRanges>
  <mergeCells count="8">
    <mergeCell ref="A1:F1"/>
    <mergeCell ref="A9:F9"/>
    <mergeCell ref="A10:F10"/>
    <mergeCell ref="A11:F11"/>
    <mergeCell ref="A12:F12"/>
    <mergeCell ref="A13:F13"/>
    <mergeCell ref="A14:F14"/>
    <mergeCell ref="A15:F15"/>
  </mergeCells>
  <pageMargins left="0.0784722222222222" right="0.393055555555556" top="0.314583333333333" bottom="0.75" header="0.275" footer="0.3"/>
  <pageSetup paperSize="9" orientation="landscape"/>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sheetPr>
  <dimension ref="A1:N47"/>
  <sheetViews>
    <sheetView workbookViewId="0">
      <selection activeCell="P18" sqref="P18"/>
    </sheetView>
  </sheetViews>
  <sheetFormatPr defaultColWidth="9" defaultRowHeight="13.5" customHeight="1"/>
  <cols>
    <col min="1" max="1" width="11.125" style="56" customWidth="1"/>
    <col min="2" max="2" width="8.375" style="56" customWidth="1"/>
    <col min="3" max="3" width="15.125" style="56" customWidth="1"/>
    <col min="4" max="4" width="16.25" style="56" customWidth="1"/>
    <col min="5" max="5" width="23.5083333333333" style="56" customWidth="1"/>
    <col min="6" max="6" width="22.25" style="56" customWidth="1"/>
    <col min="7" max="13" width="9" style="56" customWidth="1"/>
    <col min="14" max="14" width="16.5083333333333" style="56" customWidth="1"/>
    <col min="15" max="16384" width="9" style="56"/>
  </cols>
  <sheetData>
    <row r="1" s="56" customFormat="1" ht="36.75" spans="1:14">
      <c r="A1" s="59" t="s">
        <v>54</v>
      </c>
      <c r="B1" s="60"/>
      <c r="C1" s="60"/>
      <c r="D1" s="60"/>
      <c r="E1" s="60"/>
      <c r="F1" s="60"/>
      <c r="G1" s="60"/>
      <c r="H1" s="60"/>
      <c r="I1" s="60"/>
      <c r="J1" s="60"/>
      <c r="K1" s="60"/>
      <c r="L1" s="60"/>
      <c r="M1" s="61"/>
      <c r="N1" s="45" t="s">
        <v>222</v>
      </c>
    </row>
    <row r="2" s="56" customFormat="1" ht="18.75" spans="1:14">
      <c r="A2" s="62" t="s">
        <v>1030</v>
      </c>
      <c r="B2" s="63"/>
      <c r="C2" s="63"/>
      <c r="D2" s="63"/>
      <c r="E2" s="63"/>
      <c r="F2" s="63"/>
      <c r="G2" s="63"/>
      <c r="H2" s="63"/>
      <c r="I2" s="63"/>
      <c r="J2" s="63"/>
      <c r="K2" s="63"/>
      <c r="L2" s="63"/>
      <c r="M2" s="64"/>
    </row>
    <row r="3" s="56" customFormat="1" ht="16.5" spans="1:14">
      <c r="A3" s="65" t="s">
        <v>1031</v>
      </c>
      <c r="B3" s="65"/>
      <c r="C3" s="65"/>
      <c r="D3" s="65"/>
      <c r="E3" s="65"/>
      <c r="F3" s="65"/>
      <c r="G3" s="65"/>
      <c r="H3" s="65"/>
      <c r="I3" s="65"/>
      <c r="J3" s="65"/>
      <c r="K3" s="65"/>
      <c r="L3" s="65"/>
      <c r="M3" s="65"/>
    </row>
    <row r="4" s="56" customFormat="1" ht="16.5" spans="1:14">
      <c r="A4" s="66" t="s">
        <v>1032</v>
      </c>
      <c r="B4" s="66"/>
      <c r="C4" s="66"/>
      <c r="D4" s="66"/>
      <c r="E4" s="66"/>
      <c r="F4" s="66"/>
      <c r="G4" s="66"/>
      <c r="H4" s="66"/>
      <c r="I4" s="66"/>
      <c r="J4" s="66"/>
      <c r="K4" s="66"/>
      <c r="L4" s="66"/>
      <c r="M4" s="66"/>
    </row>
    <row r="5" s="56" customFormat="1" ht="16.5" spans="1:14">
      <c r="A5" s="66" t="s">
        <v>1033</v>
      </c>
      <c r="B5" s="66"/>
      <c r="C5" s="66"/>
      <c r="D5" s="66"/>
      <c r="E5" s="66"/>
      <c r="F5" s="66"/>
      <c r="G5" s="66"/>
      <c r="H5" s="66"/>
      <c r="I5" s="66"/>
      <c r="J5" s="66"/>
      <c r="K5" s="66"/>
      <c r="L5" s="66"/>
      <c r="M5" s="66"/>
    </row>
    <row r="6" s="56" customFormat="1" ht="16.5" spans="1:14">
      <c r="A6" s="66" t="s">
        <v>1034</v>
      </c>
      <c r="B6" s="66"/>
      <c r="C6" s="66"/>
      <c r="D6" s="66"/>
      <c r="E6" s="66"/>
      <c r="F6" s="66"/>
      <c r="G6" s="66"/>
      <c r="H6" s="66"/>
      <c r="I6" s="66"/>
      <c r="J6" s="66"/>
      <c r="K6" s="66"/>
      <c r="L6" s="66"/>
      <c r="M6" s="66"/>
    </row>
    <row r="7" s="56" customFormat="1" ht="16.5" spans="1:14">
      <c r="A7" s="66" t="s">
        <v>1035</v>
      </c>
      <c r="B7" s="66"/>
      <c r="C7" s="66"/>
      <c r="D7" s="66"/>
      <c r="E7" s="66"/>
      <c r="F7" s="66"/>
      <c r="G7" s="66"/>
      <c r="H7" s="66"/>
      <c r="I7" s="66"/>
      <c r="J7" s="66"/>
      <c r="K7" s="66"/>
      <c r="L7" s="66"/>
      <c r="M7" s="66"/>
    </row>
    <row r="8" s="56" customFormat="1" ht="16.5" spans="1:14">
      <c r="A8" s="66" t="s">
        <v>1036</v>
      </c>
      <c r="B8" s="66"/>
      <c r="C8" s="66"/>
      <c r="D8" s="66"/>
      <c r="E8" s="66"/>
      <c r="F8" s="66"/>
      <c r="G8" s="66"/>
      <c r="H8" s="66"/>
      <c r="I8" s="66"/>
      <c r="J8" s="66"/>
      <c r="K8" s="66"/>
      <c r="L8" s="66"/>
      <c r="M8" s="66"/>
    </row>
    <row r="9" s="56" customFormat="1" ht="16.5" spans="1:14">
      <c r="A9" s="66" t="s">
        <v>1037</v>
      </c>
      <c r="B9" s="66"/>
      <c r="C9" s="66"/>
      <c r="D9" s="66"/>
      <c r="E9" s="66"/>
      <c r="F9" s="66"/>
      <c r="G9" s="66"/>
      <c r="H9" s="66"/>
      <c r="I9" s="66"/>
      <c r="J9" s="66"/>
      <c r="K9" s="66"/>
      <c r="L9" s="66"/>
      <c r="M9" s="66"/>
    </row>
    <row r="10" s="56" customFormat="1" ht="16.5" spans="1:14">
      <c r="A10" s="66" t="s">
        <v>1038</v>
      </c>
      <c r="B10" s="66"/>
      <c r="C10" s="66"/>
      <c r="D10" s="66"/>
      <c r="E10" s="66"/>
      <c r="F10" s="66"/>
      <c r="G10" s="66"/>
      <c r="H10" s="66"/>
      <c r="I10" s="66"/>
      <c r="J10" s="66"/>
      <c r="K10" s="66"/>
      <c r="L10" s="66"/>
      <c r="M10" s="66"/>
    </row>
    <row r="11" s="56" customFormat="1" ht="16.5" spans="1:14">
      <c r="A11" s="66" t="s">
        <v>1039</v>
      </c>
      <c r="B11" s="66"/>
      <c r="C11" s="66"/>
      <c r="D11" s="66"/>
      <c r="E11" s="66"/>
      <c r="F11" s="66"/>
      <c r="G11" s="66"/>
      <c r="H11" s="66"/>
      <c r="I11" s="66"/>
      <c r="J11" s="66"/>
      <c r="K11" s="66"/>
      <c r="L11" s="66"/>
      <c r="M11" s="66"/>
    </row>
    <row r="12" s="56" customFormat="1" ht="16.5" spans="1:14">
      <c r="A12" s="66" t="s">
        <v>1040</v>
      </c>
      <c r="B12" s="66"/>
      <c r="C12" s="66"/>
      <c r="D12" s="66"/>
      <c r="E12" s="66"/>
      <c r="F12" s="66"/>
      <c r="G12" s="66"/>
      <c r="H12" s="66"/>
      <c r="I12" s="66"/>
      <c r="J12" s="66"/>
      <c r="K12" s="66"/>
      <c r="L12" s="66"/>
      <c r="M12" s="66"/>
    </row>
    <row r="13" s="56" customFormat="1" ht="18" spans="1:14">
      <c r="A13" s="67" t="s">
        <v>1041</v>
      </c>
      <c r="B13" s="67"/>
      <c r="C13" s="67"/>
      <c r="D13" s="67"/>
      <c r="E13" s="67"/>
      <c r="F13" s="67"/>
      <c r="G13" s="67"/>
      <c r="H13" s="67"/>
      <c r="I13" s="67"/>
      <c r="J13" s="67"/>
      <c r="K13" s="67"/>
      <c r="L13" s="67"/>
      <c r="M13" s="67"/>
    </row>
    <row r="14" s="56" customFormat="1" ht="38" customHeight="1" spans="1:14">
      <c r="A14" s="68" t="s">
        <v>1042</v>
      </c>
      <c r="B14" s="68"/>
      <c r="C14" s="69" t="s">
        <v>1043</v>
      </c>
      <c r="D14" s="69"/>
      <c r="E14" s="69"/>
      <c r="F14" s="69"/>
      <c r="G14" s="69"/>
      <c r="H14" s="69"/>
      <c r="I14" s="69"/>
      <c r="J14" s="69"/>
      <c r="K14" s="69"/>
      <c r="L14" s="69"/>
      <c r="M14" s="69"/>
    </row>
    <row r="15" s="56" customFormat="1" ht="16.5" spans="1:14">
      <c r="A15" s="68" t="s">
        <v>1044</v>
      </c>
      <c r="B15" s="68"/>
      <c r="C15" s="70" t="s">
        <v>1045</v>
      </c>
      <c r="D15" s="70"/>
      <c r="E15" s="70"/>
      <c r="F15" s="70"/>
      <c r="G15" s="70"/>
      <c r="H15" s="70"/>
      <c r="I15" s="70"/>
      <c r="J15" s="70"/>
      <c r="K15" s="70"/>
      <c r="L15" s="70"/>
      <c r="M15" s="70"/>
    </row>
    <row r="16" s="56" customFormat="1" ht="16.5" spans="1:14">
      <c r="A16" s="68" t="s">
        <v>1046</v>
      </c>
      <c r="B16" s="68"/>
      <c r="C16" s="70" t="s">
        <v>1047</v>
      </c>
      <c r="D16" s="70"/>
      <c r="E16" s="70"/>
      <c r="F16" s="70"/>
      <c r="G16" s="70"/>
      <c r="H16" s="70"/>
      <c r="I16" s="70"/>
      <c r="J16" s="70"/>
      <c r="K16" s="70"/>
      <c r="L16" s="70"/>
      <c r="M16" s="70"/>
    </row>
    <row r="17" s="56" customFormat="1" ht="16.5" spans="1:13">
      <c r="A17" s="68" t="s">
        <v>1048</v>
      </c>
      <c r="B17" s="68"/>
      <c r="C17" s="70" t="s">
        <v>1049</v>
      </c>
      <c r="D17" s="70"/>
      <c r="E17" s="70"/>
      <c r="F17" s="70"/>
      <c r="G17" s="70"/>
      <c r="H17" s="70"/>
      <c r="I17" s="70"/>
      <c r="J17" s="70"/>
      <c r="K17" s="70"/>
      <c r="L17" s="70"/>
      <c r="M17" s="70"/>
    </row>
    <row r="18" s="56" customFormat="1" ht="16.5" spans="1:13">
      <c r="A18" s="68" t="s">
        <v>1050</v>
      </c>
      <c r="B18" s="68"/>
      <c r="C18" s="70" t="s">
        <v>1051</v>
      </c>
      <c r="D18" s="70"/>
      <c r="E18" s="70"/>
      <c r="F18" s="70"/>
      <c r="G18" s="70"/>
      <c r="H18" s="70"/>
      <c r="I18" s="70"/>
      <c r="J18" s="70"/>
      <c r="K18" s="70"/>
      <c r="L18" s="70"/>
      <c r="M18" s="70"/>
    </row>
    <row r="19" s="56" customFormat="1" ht="16.5" spans="1:13">
      <c r="A19" s="68" t="s">
        <v>1052</v>
      </c>
      <c r="B19" s="68"/>
      <c r="C19" s="70" t="s">
        <v>1053</v>
      </c>
      <c r="D19" s="70"/>
      <c r="E19" s="70"/>
      <c r="F19" s="70"/>
      <c r="G19" s="70"/>
      <c r="H19" s="70"/>
      <c r="I19" s="70"/>
      <c r="J19" s="70"/>
      <c r="K19" s="70"/>
      <c r="L19" s="70"/>
      <c r="M19" s="70"/>
    </row>
    <row r="20" s="56" customFormat="1" ht="16.5" spans="1:13">
      <c r="A20" s="68" t="s">
        <v>1054</v>
      </c>
      <c r="B20" s="68"/>
      <c r="C20" s="70" t="s">
        <v>1055</v>
      </c>
      <c r="D20" s="70"/>
      <c r="E20" s="70"/>
      <c r="F20" s="70"/>
      <c r="G20" s="70"/>
      <c r="H20" s="70"/>
      <c r="I20" s="70"/>
      <c r="J20" s="70"/>
      <c r="K20" s="70"/>
      <c r="L20" s="70"/>
      <c r="M20" s="70"/>
    </row>
    <row r="21" s="56" customFormat="1" ht="16.5" spans="1:13">
      <c r="A21" s="68" t="s">
        <v>1056</v>
      </c>
      <c r="B21" s="68"/>
      <c r="C21" s="70" t="s">
        <v>1057</v>
      </c>
      <c r="D21" s="70"/>
      <c r="E21" s="70"/>
      <c r="F21" s="70"/>
      <c r="G21" s="70"/>
      <c r="H21" s="70"/>
      <c r="I21" s="70"/>
      <c r="J21" s="70"/>
      <c r="K21" s="70"/>
      <c r="L21" s="70"/>
      <c r="M21" s="70"/>
    </row>
    <row r="22" s="56" customFormat="1" ht="16.5" spans="1:13">
      <c r="A22" s="68" t="s">
        <v>1058</v>
      </c>
      <c r="B22" s="68"/>
      <c r="C22" s="70" t="s">
        <v>1059</v>
      </c>
      <c r="D22" s="70"/>
      <c r="E22" s="70"/>
      <c r="F22" s="70"/>
      <c r="G22" s="70"/>
      <c r="H22" s="70"/>
      <c r="I22" s="70"/>
      <c r="J22" s="70"/>
      <c r="K22" s="70"/>
      <c r="L22" s="70"/>
      <c r="M22" s="70"/>
    </row>
    <row r="23" s="56" customFormat="1" ht="16.5" spans="1:13">
      <c r="A23" s="68" t="s">
        <v>1060</v>
      </c>
      <c r="B23" s="68"/>
      <c r="C23" s="70" t="s">
        <v>1061</v>
      </c>
      <c r="D23" s="70"/>
      <c r="E23" s="70"/>
      <c r="F23" s="70"/>
      <c r="G23" s="70"/>
      <c r="H23" s="70"/>
      <c r="I23" s="70"/>
      <c r="J23" s="70"/>
      <c r="K23" s="70"/>
      <c r="L23" s="70"/>
      <c r="M23" s="70"/>
    </row>
    <row r="24" s="56" customFormat="1" ht="16.5" spans="1:13">
      <c r="A24" s="68" t="s">
        <v>1062</v>
      </c>
      <c r="B24" s="68"/>
      <c r="C24" s="70" t="s">
        <v>1063</v>
      </c>
      <c r="D24" s="70"/>
      <c r="E24" s="70"/>
      <c r="F24" s="70"/>
      <c r="G24" s="70"/>
      <c r="H24" s="70"/>
      <c r="I24" s="70"/>
      <c r="J24" s="70"/>
      <c r="K24" s="70"/>
      <c r="L24" s="70"/>
      <c r="M24" s="70"/>
    </row>
    <row r="25" s="56" customFormat="1" ht="16.5" spans="1:13">
      <c r="A25" s="68" t="s">
        <v>1064</v>
      </c>
      <c r="B25" s="68"/>
      <c r="C25" s="70" t="s">
        <v>1065</v>
      </c>
      <c r="D25" s="70"/>
      <c r="E25" s="70"/>
      <c r="F25" s="70"/>
      <c r="G25" s="70"/>
      <c r="H25" s="70"/>
      <c r="I25" s="70"/>
      <c r="J25" s="70"/>
      <c r="K25" s="70"/>
      <c r="L25" s="70"/>
      <c r="M25" s="70"/>
    </row>
    <row r="26" s="56" customFormat="1" ht="16.5" spans="1:13">
      <c r="A26" s="68" t="s">
        <v>1066</v>
      </c>
      <c r="B26" s="68"/>
      <c r="C26" s="70" t="s">
        <v>1067</v>
      </c>
      <c r="D26" s="70"/>
      <c r="E26" s="70"/>
      <c r="F26" s="70"/>
      <c r="G26" s="70"/>
      <c r="H26" s="70"/>
      <c r="I26" s="70"/>
      <c r="J26" s="70"/>
      <c r="K26" s="70"/>
      <c r="L26" s="70"/>
      <c r="M26" s="70"/>
    </row>
    <row r="27" s="56" customFormat="1" ht="18" spans="1:13">
      <c r="A27" s="71" t="s">
        <v>1068</v>
      </c>
      <c r="B27" s="71"/>
      <c r="C27" s="71"/>
      <c r="D27" s="71"/>
      <c r="E27" s="71"/>
      <c r="F27" s="71"/>
      <c r="G27" s="71"/>
      <c r="H27" s="71"/>
      <c r="I27" s="71"/>
      <c r="J27" s="71"/>
      <c r="K27" s="71"/>
      <c r="L27" s="71"/>
      <c r="M27" s="71"/>
    </row>
    <row r="28" s="57" customFormat="1" ht="16.5" spans="1:13">
      <c r="A28" s="72" t="s">
        <v>1069</v>
      </c>
      <c r="B28" s="72"/>
      <c r="C28" s="72"/>
      <c r="D28" s="72"/>
      <c r="E28" s="72"/>
      <c r="F28" s="72"/>
      <c r="G28" s="72"/>
      <c r="H28" s="72"/>
      <c r="I28" s="72"/>
      <c r="J28" s="72"/>
      <c r="K28" s="72"/>
      <c r="L28" s="72"/>
      <c r="M28" s="72"/>
    </row>
    <row r="29" s="57" customFormat="1" ht="16.5" spans="1:13">
      <c r="A29" s="72" t="s">
        <v>1070</v>
      </c>
      <c r="B29" s="72"/>
      <c r="C29" s="72"/>
      <c r="D29" s="72"/>
      <c r="E29" s="72"/>
      <c r="F29" s="72"/>
      <c r="G29" s="72"/>
      <c r="H29" s="72"/>
      <c r="I29" s="72"/>
      <c r="J29" s="72"/>
      <c r="K29" s="72"/>
      <c r="L29" s="72"/>
      <c r="M29" s="72"/>
    </row>
    <row r="30" s="57" customFormat="1" ht="16.5" spans="1:13">
      <c r="A30" s="73" t="s">
        <v>1071</v>
      </c>
      <c r="B30" s="73"/>
      <c r="C30" s="73"/>
      <c r="D30" s="73"/>
      <c r="E30" s="73"/>
      <c r="F30" s="73"/>
      <c r="G30" s="73"/>
      <c r="H30" s="73"/>
      <c r="I30" s="73"/>
      <c r="J30" s="73"/>
      <c r="K30" s="73"/>
      <c r="L30" s="73"/>
      <c r="M30" s="73"/>
    </row>
    <row r="31" s="57" customFormat="1" ht="16.5" spans="1:13">
      <c r="A31" s="72" t="s">
        <v>1072</v>
      </c>
      <c r="B31" s="72"/>
      <c r="C31" s="72"/>
      <c r="D31" s="72"/>
      <c r="E31" s="72"/>
      <c r="F31" s="72"/>
      <c r="G31" s="72"/>
      <c r="H31" s="72"/>
      <c r="I31" s="72"/>
      <c r="J31" s="72"/>
      <c r="K31" s="72"/>
      <c r="L31" s="72"/>
      <c r="M31" s="72"/>
    </row>
    <row r="32" s="57" customFormat="1" ht="16.5" spans="1:13">
      <c r="A32" s="72" t="s">
        <v>1073</v>
      </c>
      <c r="B32" s="72"/>
      <c r="C32" s="72"/>
      <c r="D32" s="72"/>
      <c r="E32" s="72"/>
      <c r="F32" s="72"/>
      <c r="G32" s="72"/>
      <c r="H32" s="72"/>
      <c r="I32" s="72"/>
      <c r="J32" s="72"/>
      <c r="K32" s="72"/>
      <c r="L32" s="72"/>
      <c r="M32" s="72"/>
    </row>
    <row r="33" s="57" customFormat="1" ht="16.5" spans="1:13">
      <c r="A33" s="73" t="s">
        <v>1074</v>
      </c>
      <c r="B33" s="73"/>
      <c r="C33" s="73"/>
      <c r="D33" s="73"/>
      <c r="E33" s="73"/>
      <c r="F33" s="73"/>
      <c r="G33" s="73"/>
      <c r="H33" s="73"/>
      <c r="I33" s="73"/>
      <c r="J33" s="73"/>
      <c r="K33" s="73"/>
      <c r="L33" s="73"/>
      <c r="M33" s="73"/>
    </row>
    <row r="34" s="57" customFormat="1" ht="16.5" spans="1:13">
      <c r="A34" s="72" t="s">
        <v>1075</v>
      </c>
      <c r="B34" s="72"/>
      <c r="C34" s="72"/>
      <c r="D34" s="72"/>
      <c r="E34" s="72"/>
      <c r="F34" s="72"/>
      <c r="G34" s="72"/>
      <c r="H34" s="72"/>
      <c r="I34" s="72"/>
      <c r="J34" s="72"/>
      <c r="K34" s="72"/>
      <c r="L34" s="72"/>
      <c r="M34" s="72"/>
    </row>
    <row r="35" s="57" customFormat="1" ht="16.5" spans="1:13">
      <c r="A35" s="72" t="s">
        <v>1076</v>
      </c>
      <c r="B35" s="72"/>
      <c r="C35" s="72"/>
      <c r="D35" s="72"/>
      <c r="E35" s="72"/>
      <c r="F35" s="72"/>
      <c r="G35" s="72"/>
      <c r="H35" s="72"/>
      <c r="I35" s="72"/>
      <c r="J35" s="72"/>
      <c r="K35" s="72"/>
      <c r="L35" s="72"/>
      <c r="M35" s="72"/>
    </row>
    <row r="36" s="57" customFormat="1" ht="16.5" spans="1:13">
      <c r="A36" s="72" t="s">
        <v>1077</v>
      </c>
      <c r="B36" s="72"/>
      <c r="C36" s="72"/>
      <c r="D36" s="72"/>
      <c r="E36" s="72"/>
      <c r="F36" s="72"/>
      <c r="G36" s="72"/>
      <c r="H36" s="72"/>
      <c r="I36" s="72"/>
      <c r="J36" s="72"/>
      <c r="K36" s="72"/>
      <c r="L36" s="72"/>
      <c r="M36" s="72"/>
    </row>
    <row r="37" s="57" customFormat="1" ht="16.5" spans="1:13">
      <c r="A37" s="72" t="s">
        <v>1078</v>
      </c>
      <c r="B37" s="72"/>
      <c r="C37" s="72"/>
      <c r="D37" s="72"/>
      <c r="E37" s="72"/>
      <c r="F37" s="72"/>
      <c r="G37" s="72"/>
      <c r="H37" s="72"/>
      <c r="I37" s="72"/>
      <c r="J37" s="72"/>
      <c r="K37" s="72"/>
      <c r="L37" s="72"/>
      <c r="M37" s="72"/>
    </row>
    <row r="38" s="57" customFormat="1" ht="16.5" spans="1:13">
      <c r="A38" s="72" t="s">
        <v>1079</v>
      </c>
      <c r="B38" s="72"/>
      <c r="C38" s="72"/>
      <c r="D38" s="72"/>
      <c r="E38" s="72"/>
      <c r="F38" s="72"/>
      <c r="G38" s="72"/>
      <c r="H38" s="72"/>
      <c r="I38" s="72"/>
      <c r="J38" s="72"/>
      <c r="K38" s="72"/>
      <c r="L38" s="72"/>
      <c r="M38" s="72"/>
    </row>
    <row r="39" s="57" customFormat="1" ht="16.5" spans="1:13">
      <c r="A39" s="72" t="s">
        <v>1080</v>
      </c>
      <c r="B39" s="72"/>
      <c r="C39" s="72"/>
      <c r="D39" s="72"/>
      <c r="E39" s="72"/>
      <c r="F39" s="72"/>
      <c r="G39" s="72"/>
      <c r="H39" s="72"/>
      <c r="I39" s="72"/>
      <c r="J39" s="72"/>
      <c r="K39" s="72"/>
      <c r="L39" s="72"/>
      <c r="M39" s="72"/>
    </row>
    <row r="40" s="57" customFormat="1" ht="16.5" spans="1:13">
      <c r="A40" s="72" t="s">
        <v>1081</v>
      </c>
      <c r="B40" s="72"/>
      <c r="C40" s="72"/>
      <c r="D40" s="72"/>
      <c r="E40" s="72"/>
      <c r="F40" s="72"/>
      <c r="G40" s="72"/>
      <c r="H40" s="72"/>
      <c r="I40" s="72"/>
      <c r="J40" s="72"/>
      <c r="K40" s="72"/>
      <c r="L40" s="72"/>
      <c r="M40" s="72"/>
    </row>
    <row r="41" s="57" customFormat="1" ht="135" customHeight="1" spans="1:13">
      <c r="A41" s="74" t="s">
        <v>1082</v>
      </c>
      <c r="B41" s="74"/>
      <c r="C41" s="74"/>
      <c r="D41" s="74"/>
      <c r="E41" s="74"/>
      <c r="F41" s="74"/>
      <c r="G41" s="74"/>
      <c r="H41" s="74"/>
      <c r="I41" s="74"/>
      <c r="J41" s="74"/>
      <c r="K41" s="74"/>
      <c r="L41" s="74"/>
      <c r="M41" s="74"/>
    </row>
    <row r="42" s="57" customFormat="1" ht="16.5" spans="1:13">
      <c r="A42" s="72" t="s">
        <v>1083</v>
      </c>
      <c r="B42" s="72"/>
      <c r="C42" s="72"/>
      <c r="D42" s="72"/>
      <c r="E42" s="72"/>
      <c r="F42" s="72"/>
      <c r="G42" s="72"/>
      <c r="H42" s="72"/>
      <c r="I42" s="72"/>
      <c r="J42" s="72"/>
      <c r="K42" s="72"/>
      <c r="L42" s="72"/>
      <c r="M42" s="72"/>
    </row>
    <row r="43" s="57" customFormat="1" ht="16.5" spans="1:13">
      <c r="A43" s="72" t="s">
        <v>1084</v>
      </c>
      <c r="B43" s="72"/>
      <c r="C43" s="72"/>
      <c r="D43" s="72"/>
      <c r="E43" s="72"/>
      <c r="F43" s="72"/>
      <c r="G43" s="72"/>
      <c r="H43" s="72"/>
      <c r="I43" s="72"/>
      <c r="J43" s="72"/>
      <c r="K43" s="72"/>
      <c r="L43" s="72"/>
      <c r="M43" s="72"/>
    </row>
    <row r="44" s="57" customFormat="1" ht="16.5" spans="1:13">
      <c r="A44" s="72" t="s">
        <v>1085</v>
      </c>
      <c r="B44" s="72"/>
      <c r="C44" s="72"/>
      <c r="D44" s="72"/>
      <c r="E44" s="72"/>
      <c r="F44" s="72"/>
      <c r="G44" s="72"/>
      <c r="H44" s="72"/>
      <c r="I44" s="72"/>
      <c r="J44" s="72"/>
      <c r="K44" s="72"/>
      <c r="L44" s="72"/>
      <c r="M44" s="72"/>
    </row>
    <row r="45" s="57" customFormat="1" ht="16.5" spans="1:13">
      <c r="A45" s="72" t="s">
        <v>1086</v>
      </c>
      <c r="B45" s="72"/>
      <c r="C45" s="72"/>
      <c r="D45" s="72"/>
      <c r="E45" s="72"/>
      <c r="F45" s="72"/>
      <c r="G45" s="72"/>
      <c r="H45" s="72"/>
      <c r="I45" s="72"/>
      <c r="J45" s="72"/>
      <c r="K45" s="72"/>
      <c r="L45" s="72"/>
      <c r="M45" s="72"/>
    </row>
    <row r="46" s="58" customFormat="1" ht="16.5"/>
    <row r="47" s="56" customFormat="1" ht="16.5" spans="1:13">
      <c r="A47" s="75"/>
      <c r="B47" s="75"/>
      <c r="C47" s="75"/>
      <c r="D47" s="75"/>
      <c r="E47" s="75"/>
      <c r="F47" s="75"/>
      <c r="G47" s="75"/>
      <c r="H47" s="75"/>
      <c r="I47" s="75"/>
      <c r="J47" s="75"/>
      <c r="K47" s="75"/>
      <c r="L47" s="75"/>
      <c r="M47" s="75"/>
    </row>
  </sheetData>
  <mergeCells count="59">
    <mergeCell ref="A1:L1"/>
    <mergeCell ref="A2:M2"/>
    <mergeCell ref="A3:M3"/>
    <mergeCell ref="A4:M4"/>
    <mergeCell ref="A5:M5"/>
    <mergeCell ref="A6:M6"/>
    <mergeCell ref="A7:M7"/>
    <mergeCell ref="A8:M8"/>
    <mergeCell ref="A9:M9"/>
    <mergeCell ref="A10:M10"/>
    <mergeCell ref="A11:M11"/>
    <mergeCell ref="A12:M12"/>
    <mergeCell ref="A13:M13"/>
    <mergeCell ref="A14:B14"/>
    <mergeCell ref="C14:M14"/>
    <mergeCell ref="A15:B15"/>
    <mergeCell ref="C15:M15"/>
    <mergeCell ref="A16:B16"/>
    <mergeCell ref="C16:M16"/>
    <mergeCell ref="A17:B17"/>
    <mergeCell ref="C17:M17"/>
    <mergeCell ref="A18:B18"/>
    <mergeCell ref="C18:M18"/>
    <mergeCell ref="A19:B19"/>
    <mergeCell ref="C19:M19"/>
    <mergeCell ref="A20:B20"/>
    <mergeCell ref="C20:M20"/>
    <mergeCell ref="A21:B21"/>
    <mergeCell ref="C21:M21"/>
    <mergeCell ref="A22:B22"/>
    <mergeCell ref="C22:M22"/>
    <mergeCell ref="A23:B23"/>
    <mergeCell ref="C23:M23"/>
    <mergeCell ref="A24:B24"/>
    <mergeCell ref="C24:M24"/>
    <mergeCell ref="A25:B25"/>
    <mergeCell ref="C25:M25"/>
    <mergeCell ref="A26:B26"/>
    <mergeCell ref="C26:M26"/>
    <mergeCell ref="A27:M27"/>
    <mergeCell ref="A28:M28"/>
    <mergeCell ref="A29:M29"/>
    <mergeCell ref="A30:M30"/>
    <mergeCell ref="A31:M31"/>
    <mergeCell ref="A32:M32"/>
    <mergeCell ref="A33:M33"/>
    <mergeCell ref="A34:M34"/>
    <mergeCell ref="A35:M35"/>
    <mergeCell ref="A36:M36"/>
    <mergeCell ref="A37:M37"/>
    <mergeCell ref="A38:M38"/>
    <mergeCell ref="A39:M39"/>
    <mergeCell ref="A40:M40"/>
    <mergeCell ref="A41:M41"/>
    <mergeCell ref="A42:M42"/>
    <mergeCell ref="A43:M43"/>
    <mergeCell ref="A44:M44"/>
    <mergeCell ref="A45:M45"/>
    <mergeCell ref="A47:M47"/>
  </mergeCells>
  <hyperlinks>
    <hyperlink ref="N1" location="目录!A1" display="返回主页"/>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sheetPr>
  <dimension ref="A1:G125"/>
  <sheetViews>
    <sheetView workbookViewId="0">
      <selection activeCell="G26" sqref="G26"/>
    </sheetView>
  </sheetViews>
  <sheetFormatPr defaultColWidth="9" defaultRowHeight="13.5" customHeight="1" outlineLevelCol="6"/>
  <cols>
    <col min="1" max="1" width="17" style="41" customWidth="1"/>
    <col min="2" max="2" width="47" style="41" customWidth="1"/>
    <col min="3" max="3" width="23.125" style="41" customWidth="1"/>
    <col min="4" max="6" width="24.875" style="41" customWidth="1"/>
    <col min="7" max="7" width="16.875" style="41" customWidth="1"/>
    <col min="8" max="16384" width="9" style="41"/>
  </cols>
  <sheetData>
    <row r="1" s="41" customFormat="1" ht="78" customHeight="1" spans="1:7">
      <c r="A1" s="42" t="s">
        <v>1087</v>
      </c>
      <c r="B1" s="43"/>
      <c r="C1" s="43"/>
      <c r="D1" s="43"/>
      <c r="E1" s="43"/>
      <c r="F1" s="44"/>
      <c r="G1" s="45" t="s">
        <v>222</v>
      </c>
    </row>
    <row r="2" s="41" customFormat="1" ht="21" spans="1:7">
      <c r="A2" s="46" t="s">
        <v>1088</v>
      </c>
      <c r="B2" s="47"/>
      <c r="C2" s="47"/>
      <c r="D2" s="47"/>
      <c r="E2" s="47"/>
      <c r="F2" s="48"/>
    </row>
    <row r="3" s="41" customFormat="1" ht="21" spans="1:7">
      <c r="A3" s="49" t="s">
        <v>1089</v>
      </c>
      <c r="B3" s="49"/>
      <c r="C3" s="49"/>
      <c r="D3" s="49"/>
      <c r="E3" s="49"/>
      <c r="F3" s="49"/>
    </row>
    <row r="4" s="41" customFormat="1" ht="16.5" spans="1:7">
      <c r="A4" s="50" t="s">
        <v>1090</v>
      </c>
      <c r="B4" s="50" t="s">
        <v>1091</v>
      </c>
      <c r="C4" s="50"/>
      <c r="D4" s="50" t="s">
        <v>1092</v>
      </c>
      <c r="E4" s="50" t="s">
        <v>1093</v>
      </c>
      <c r="F4" s="50"/>
    </row>
    <row r="5" s="41" customFormat="1" ht="16.5" spans="1:7">
      <c r="A5" s="51" t="s">
        <v>1094</v>
      </c>
      <c r="B5" s="51"/>
      <c r="C5" s="51"/>
      <c r="D5" s="51"/>
      <c r="E5" s="51"/>
      <c r="F5" s="51"/>
    </row>
    <row r="6" s="41" customFormat="1" ht="16.5" spans="1:7">
      <c r="A6" s="51" t="s">
        <v>1095</v>
      </c>
      <c r="B6" s="51" t="s">
        <v>1096</v>
      </c>
      <c r="C6" s="51" t="s">
        <v>1097</v>
      </c>
      <c r="D6" s="52">
        <v>1.2894</v>
      </c>
      <c r="E6" s="51" t="s">
        <v>1098</v>
      </c>
      <c r="F6" s="51" t="s">
        <v>1099</v>
      </c>
    </row>
    <row r="7" s="41" customFormat="1" ht="16.5" spans="1:7">
      <c r="A7" s="51" t="s">
        <v>1100</v>
      </c>
      <c r="B7" s="51" t="s">
        <v>1101</v>
      </c>
      <c r="C7" s="53" t="s">
        <v>1102</v>
      </c>
      <c r="D7" s="52">
        <v>1.6475</v>
      </c>
      <c r="E7" s="51" t="s">
        <v>1103</v>
      </c>
      <c r="F7" s="51" t="s">
        <v>1099</v>
      </c>
    </row>
    <row r="8" s="41" customFormat="1" ht="16.5" spans="1:7">
      <c r="A8" s="51" t="s">
        <v>1104</v>
      </c>
      <c r="B8" s="51" t="s">
        <v>1105</v>
      </c>
      <c r="C8" s="51" t="s">
        <v>1106</v>
      </c>
      <c r="D8" s="52">
        <v>0.6671</v>
      </c>
      <c r="E8" s="51" t="s">
        <v>1107</v>
      </c>
      <c r="F8" s="51" t="s">
        <v>1099</v>
      </c>
    </row>
    <row r="9" s="41" customFormat="1" ht="16.5" spans="1:7">
      <c r="A9" s="51" t="s">
        <v>1108</v>
      </c>
      <c r="B9" s="51" t="s">
        <v>1109</v>
      </c>
      <c r="C9" s="53" t="s">
        <v>1110</v>
      </c>
      <c r="D9" s="52">
        <v>2.6683</v>
      </c>
      <c r="E9" s="51" t="s">
        <v>1111</v>
      </c>
      <c r="F9" s="51" t="s">
        <v>1099</v>
      </c>
    </row>
    <row r="10" s="41" customFormat="1" ht="16.5" spans="1:7">
      <c r="A10" s="51" t="s">
        <v>1112</v>
      </c>
      <c r="B10" s="51" t="s">
        <v>1113</v>
      </c>
      <c r="C10" s="53" t="s">
        <v>1114</v>
      </c>
      <c r="D10" s="52">
        <v>2.1601</v>
      </c>
      <c r="E10" s="51" t="s">
        <v>1115</v>
      </c>
      <c r="F10" s="51" t="s">
        <v>1116</v>
      </c>
    </row>
    <row r="11" s="41" customFormat="1" ht="16.5" spans="1:7">
      <c r="A11" s="51" t="s">
        <v>1117</v>
      </c>
      <c r="B11" s="51"/>
      <c r="C11" s="51"/>
      <c r="D11" s="51"/>
      <c r="E11" s="51"/>
      <c r="F11" s="51"/>
    </row>
    <row r="12" s="41" customFormat="1" ht="16.5" spans="1:7">
      <c r="A12" s="51" t="s">
        <v>1118</v>
      </c>
      <c r="B12" s="51" t="s">
        <v>1119</v>
      </c>
      <c r="C12" s="51" t="s">
        <v>1120</v>
      </c>
      <c r="D12" s="52">
        <v>3.5192</v>
      </c>
      <c r="E12" s="51" t="s">
        <v>1121</v>
      </c>
      <c r="F12" s="51" t="s">
        <v>1122</v>
      </c>
    </row>
    <row r="13" s="41" customFormat="1" ht="16.5" spans="1:7">
      <c r="A13" s="51" t="s">
        <v>1123</v>
      </c>
      <c r="B13" s="51" t="s">
        <v>1124</v>
      </c>
      <c r="C13" s="53" t="s">
        <v>1125</v>
      </c>
      <c r="D13" s="51" t="s">
        <v>1126</v>
      </c>
      <c r="E13" s="51" t="s">
        <v>1127</v>
      </c>
      <c r="F13" s="51" t="s">
        <v>1122</v>
      </c>
    </row>
    <row r="14" s="41" customFormat="1" ht="16.5" spans="1:7">
      <c r="A14" s="51" t="s">
        <v>1128</v>
      </c>
      <c r="B14" s="51" t="s">
        <v>1129</v>
      </c>
      <c r="C14" s="51" t="s">
        <v>1130</v>
      </c>
      <c r="D14" s="52">
        <v>1.9863</v>
      </c>
      <c r="E14" s="51" t="s">
        <v>1131</v>
      </c>
      <c r="F14" s="51" t="s">
        <v>1122</v>
      </c>
    </row>
    <row r="15" s="41" customFormat="1" ht="16.5" spans="1:7">
      <c r="A15" s="51" t="s">
        <v>1132</v>
      </c>
      <c r="B15" s="51" t="s">
        <v>1133</v>
      </c>
      <c r="C15" s="51" t="s">
        <v>1134</v>
      </c>
      <c r="D15" s="52">
        <v>1.1281</v>
      </c>
      <c r="E15" s="51" t="s">
        <v>1135</v>
      </c>
      <c r="F15" s="51" t="s">
        <v>1122</v>
      </c>
    </row>
    <row r="16" s="41" customFormat="1" ht="16.5" spans="1:7">
      <c r="A16" s="51" t="s">
        <v>1136</v>
      </c>
      <c r="B16" s="51" t="s">
        <v>1137</v>
      </c>
      <c r="C16" s="51" t="s">
        <v>1138</v>
      </c>
      <c r="D16" s="52">
        <v>2.3451</v>
      </c>
      <c r="E16" s="51" t="s">
        <v>1139</v>
      </c>
      <c r="F16" s="51" t="s">
        <v>1122</v>
      </c>
    </row>
    <row r="17" s="41" customFormat="1" ht="16.5" spans="1:6">
      <c r="A17" s="51" t="s">
        <v>1140</v>
      </c>
      <c r="B17" s="51" t="s">
        <v>1141</v>
      </c>
      <c r="C17" s="51" t="s">
        <v>1142</v>
      </c>
      <c r="D17" s="52">
        <v>1.5964</v>
      </c>
      <c r="E17" s="51" t="s">
        <v>1143</v>
      </c>
      <c r="F17" s="51" t="s">
        <v>1122</v>
      </c>
    </row>
    <row r="18" s="41" customFormat="1" ht="16.5" spans="1:6">
      <c r="A18" s="51" t="s">
        <v>1144</v>
      </c>
      <c r="B18" s="51" t="s">
        <v>1145</v>
      </c>
      <c r="C18" s="51" t="s">
        <v>1146</v>
      </c>
      <c r="D18" s="52">
        <v>0.7063</v>
      </c>
      <c r="E18" s="51" t="s">
        <v>1147</v>
      </c>
      <c r="F18" s="51" t="s">
        <v>1148</v>
      </c>
    </row>
    <row r="19" s="41" customFormat="1" ht="16.5" spans="1:6">
      <c r="A19" s="51" t="s">
        <v>1149</v>
      </c>
      <c r="B19" s="51"/>
      <c r="C19" s="51"/>
      <c r="D19" s="51"/>
      <c r="E19" s="51"/>
      <c r="F19" s="51"/>
    </row>
    <row r="20" s="41" customFormat="1" ht="16.5" spans="1:6">
      <c r="A20" s="51" t="s">
        <v>1150</v>
      </c>
      <c r="B20" s="51" t="s">
        <v>1151</v>
      </c>
      <c r="C20" s="51" t="s">
        <v>1152</v>
      </c>
      <c r="D20" s="52">
        <v>0.58</v>
      </c>
      <c r="E20" s="51" t="s">
        <v>1153</v>
      </c>
      <c r="F20" s="51" t="s">
        <v>1154</v>
      </c>
    </row>
    <row r="21" s="41" customFormat="1" ht="16.5" spans="1:6">
      <c r="A21" s="51" t="s">
        <v>1155</v>
      </c>
      <c r="B21" s="51" t="s">
        <v>1156</v>
      </c>
      <c r="C21" s="51" t="s">
        <v>1157</v>
      </c>
      <c r="D21" s="51" t="s">
        <v>1158</v>
      </c>
      <c r="E21" s="51" t="s">
        <v>1159</v>
      </c>
      <c r="F21" s="51" t="s">
        <v>1154</v>
      </c>
    </row>
    <row r="22" s="41" customFormat="1" ht="16.5" spans="1:6">
      <c r="A22" s="51" t="s">
        <v>1160</v>
      </c>
      <c r="B22" s="51" t="s">
        <v>1161</v>
      </c>
      <c r="C22" s="53" t="s">
        <v>1162</v>
      </c>
      <c r="D22" s="52">
        <v>1.1264</v>
      </c>
      <c r="E22" s="51" t="s">
        <v>1163</v>
      </c>
      <c r="F22" s="51" t="s">
        <v>1154</v>
      </c>
    </row>
    <row r="23" s="41" customFormat="1" ht="16.5" spans="1:6">
      <c r="A23" s="51" t="s">
        <v>1164</v>
      </c>
      <c r="B23" s="51" t="s">
        <v>1165</v>
      </c>
      <c r="C23" s="51" t="s">
        <v>1166</v>
      </c>
      <c r="D23" s="52">
        <v>1.8805</v>
      </c>
      <c r="E23" s="51" t="s">
        <v>1167</v>
      </c>
      <c r="F23" s="51" t="s">
        <v>1154</v>
      </c>
    </row>
    <row r="24" s="41" customFormat="1" ht="16.5" spans="1:6">
      <c r="A24" s="51" t="s">
        <v>1168</v>
      </c>
      <c r="B24" s="51" t="s">
        <v>1169</v>
      </c>
      <c r="C24" s="51" t="s">
        <v>1170</v>
      </c>
      <c r="D24" s="52">
        <v>0.5521</v>
      </c>
      <c r="E24" s="51" t="s">
        <v>1171</v>
      </c>
      <c r="F24" s="51" t="s">
        <v>1154</v>
      </c>
    </row>
    <row r="25" s="41" customFormat="1" ht="16.5" spans="1:6">
      <c r="A25" s="51" t="s">
        <v>1172</v>
      </c>
      <c r="B25" s="51" t="s">
        <v>1173</v>
      </c>
      <c r="C25" s="51" t="s">
        <v>1174</v>
      </c>
      <c r="D25" s="52">
        <v>4.2995</v>
      </c>
      <c r="E25" s="51" t="s">
        <v>1175</v>
      </c>
      <c r="F25" s="51" t="s">
        <v>1154</v>
      </c>
    </row>
    <row r="26" s="41" customFormat="1" ht="16.5" spans="1:6">
      <c r="A26" s="51" t="s">
        <v>1176</v>
      </c>
      <c r="B26" s="51" t="s">
        <v>1177</v>
      </c>
      <c r="C26" s="53" t="s">
        <v>1178</v>
      </c>
      <c r="D26" s="52">
        <v>1.9354</v>
      </c>
      <c r="E26" s="51" t="s">
        <v>1179</v>
      </c>
      <c r="F26" s="51"/>
    </row>
    <row r="27" s="41" customFormat="1" ht="16.5" spans="1:6">
      <c r="A27" s="51" t="s">
        <v>1180</v>
      </c>
      <c r="B27" s="51" t="s">
        <v>1181</v>
      </c>
      <c r="C27" s="53" t="s">
        <v>1182</v>
      </c>
      <c r="D27" s="54">
        <v>2.35</v>
      </c>
      <c r="E27" s="51" t="s">
        <v>1183</v>
      </c>
      <c r="F27" s="51"/>
    </row>
    <row r="28" s="41" customFormat="1" ht="16.5" spans="1:6">
      <c r="A28" s="51" t="s">
        <v>1184</v>
      </c>
      <c r="B28" s="51"/>
      <c r="C28" s="51"/>
      <c r="D28" s="51"/>
      <c r="E28" s="51"/>
      <c r="F28" s="51"/>
    </row>
    <row r="29" s="41" customFormat="1" ht="16.5" spans="1:6">
      <c r="A29" s="51" t="s">
        <v>1185</v>
      </c>
      <c r="B29" s="51" t="s">
        <v>1186</v>
      </c>
      <c r="C29" s="53" t="s">
        <v>1187</v>
      </c>
      <c r="D29" s="52">
        <v>1.245</v>
      </c>
      <c r="E29" s="51" t="s">
        <v>1188</v>
      </c>
      <c r="F29" s="51" t="s">
        <v>1189</v>
      </c>
    </row>
    <row r="30" s="41" customFormat="1" ht="16.5" spans="1:6">
      <c r="A30" s="51" t="s">
        <v>1190</v>
      </c>
      <c r="B30" s="51" t="s">
        <v>1191</v>
      </c>
      <c r="C30" s="51" t="s">
        <v>1192</v>
      </c>
      <c r="D30" s="52">
        <v>0.755</v>
      </c>
      <c r="E30" s="51" t="s">
        <v>1193</v>
      </c>
      <c r="F30" s="51" t="s">
        <v>1194</v>
      </c>
    </row>
    <row r="31" s="41" customFormat="1" ht="16.5" spans="1:6">
      <c r="A31" s="51" t="s">
        <v>1195</v>
      </c>
      <c r="B31" s="51" t="s">
        <v>1196</v>
      </c>
      <c r="C31" s="51" t="s">
        <v>1197</v>
      </c>
      <c r="D31" s="52">
        <v>1.4149</v>
      </c>
      <c r="E31" s="51" t="s">
        <v>1198</v>
      </c>
      <c r="F31" s="51" t="s">
        <v>1194</v>
      </c>
    </row>
    <row r="32" s="41" customFormat="1" ht="16.5" spans="1:6">
      <c r="A32" s="51" t="s">
        <v>1199</v>
      </c>
      <c r="B32" s="51" t="s">
        <v>1200</v>
      </c>
      <c r="C32" s="51" t="s">
        <v>1201</v>
      </c>
      <c r="D32" s="52">
        <v>2.2811</v>
      </c>
      <c r="E32" s="51" t="s">
        <v>1202</v>
      </c>
      <c r="F32" s="51" t="s">
        <v>1189</v>
      </c>
    </row>
    <row r="33" s="41" customFormat="1" ht="16.5" spans="1:6">
      <c r="A33" s="51" t="s">
        <v>1203</v>
      </c>
      <c r="B33" s="51" t="s">
        <v>1204</v>
      </c>
      <c r="C33" s="53" t="s">
        <v>1205</v>
      </c>
      <c r="D33" s="52">
        <v>2.06</v>
      </c>
      <c r="E33" s="51" t="s">
        <v>1206</v>
      </c>
      <c r="F33" s="51" t="s">
        <v>1189</v>
      </c>
    </row>
    <row r="34" s="41" customFormat="1" ht="16.5" spans="1:6">
      <c r="A34" s="51" t="s">
        <v>1207</v>
      </c>
      <c r="B34" s="51" t="s">
        <v>1208</v>
      </c>
      <c r="C34" s="51" t="s">
        <v>1209</v>
      </c>
      <c r="D34" s="52">
        <v>0.5562</v>
      </c>
      <c r="E34" s="51" t="s">
        <v>1210</v>
      </c>
      <c r="F34" s="51" t="s">
        <v>1189</v>
      </c>
    </row>
    <row r="35" s="41" customFormat="1" ht="16.5" spans="1:6">
      <c r="A35" s="51" t="s">
        <v>1211</v>
      </c>
      <c r="B35" s="51" t="s">
        <v>1212</v>
      </c>
      <c r="C35" s="51" t="s">
        <v>1213</v>
      </c>
      <c r="D35" s="52">
        <v>0.7242</v>
      </c>
      <c r="E35" s="51" t="s">
        <v>1210</v>
      </c>
      <c r="F35" s="51" t="s">
        <v>1189</v>
      </c>
    </row>
    <row r="36" s="41" customFormat="1" ht="16.5" spans="1:6">
      <c r="A36" s="51" t="s">
        <v>1214</v>
      </c>
      <c r="B36" s="51" t="s">
        <v>1215</v>
      </c>
      <c r="C36" s="51" t="s">
        <v>1216</v>
      </c>
      <c r="D36" s="52">
        <v>0.7653</v>
      </c>
      <c r="E36" s="51" t="s">
        <v>1217</v>
      </c>
      <c r="F36" s="51" t="s">
        <v>1189</v>
      </c>
    </row>
    <row r="37" s="41" customFormat="1" ht="16.5" spans="1:6">
      <c r="A37" s="51" t="s">
        <v>1218</v>
      </c>
      <c r="B37" s="51"/>
      <c r="C37" s="51"/>
      <c r="D37" s="51"/>
      <c r="E37" s="51"/>
      <c r="F37" s="51"/>
    </row>
    <row r="38" s="41" customFormat="1" ht="16.5" spans="1:6">
      <c r="A38" s="51" t="s">
        <v>1219</v>
      </c>
      <c r="B38" s="51" t="s">
        <v>1220</v>
      </c>
      <c r="C38" s="51" t="s">
        <v>1221</v>
      </c>
      <c r="D38" s="52">
        <v>0.2552</v>
      </c>
      <c r="E38" s="51" t="s">
        <v>1222</v>
      </c>
      <c r="F38" s="51" t="s">
        <v>1223</v>
      </c>
    </row>
    <row r="39" s="41" customFormat="1" ht="16.5" spans="1:6">
      <c r="A39" s="51" t="s">
        <v>1224</v>
      </c>
      <c r="B39" s="51" t="s">
        <v>1225</v>
      </c>
      <c r="C39" s="51" t="s">
        <v>1226</v>
      </c>
      <c r="D39" s="52">
        <v>1.0826</v>
      </c>
      <c r="E39" s="51" t="s">
        <v>1227</v>
      </c>
      <c r="F39" s="51" t="s">
        <v>1228</v>
      </c>
    </row>
    <row r="40" s="41" customFormat="1" ht="16.5" spans="1:6">
      <c r="A40" s="51" t="s">
        <v>1229</v>
      </c>
      <c r="B40" s="51" t="s">
        <v>1230</v>
      </c>
      <c r="C40" s="51" t="s">
        <v>1231</v>
      </c>
      <c r="D40" s="52">
        <v>1.011</v>
      </c>
      <c r="E40" s="51" t="s">
        <v>1232</v>
      </c>
      <c r="F40" s="51" t="s">
        <v>1228</v>
      </c>
    </row>
    <row r="41" s="41" customFormat="1" ht="16.5" spans="1:6">
      <c r="A41" s="51" t="s">
        <v>1233</v>
      </c>
      <c r="B41" s="51" t="s">
        <v>1234</v>
      </c>
      <c r="C41" s="51" t="s">
        <v>1235</v>
      </c>
      <c r="D41" s="52">
        <v>1.5687</v>
      </c>
      <c r="E41" s="51" t="s">
        <v>1236</v>
      </c>
      <c r="F41" s="51" t="s">
        <v>1228</v>
      </c>
    </row>
    <row r="42" s="41" customFormat="1" ht="16.5" spans="1:6">
      <c r="A42" s="51" t="s">
        <v>1237</v>
      </c>
      <c r="B42" s="51" t="s">
        <v>1238</v>
      </c>
      <c r="C42" s="51" t="s">
        <v>1239</v>
      </c>
      <c r="D42" s="52">
        <v>0.9914</v>
      </c>
      <c r="E42" s="51" t="s">
        <v>1240</v>
      </c>
      <c r="F42" s="51" t="s">
        <v>1228</v>
      </c>
    </row>
    <row r="43" s="41" customFormat="1" ht="16.5" spans="1:6">
      <c r="A43" s="51" t="s">
        <v>1241</v>
      </c>
      <c r="B43" s="51" t="s">
        <v>1242</v>
      </c>
      <c r="C43" s="53" t="s">
        <v>1243</v>
      </c>
      <c r="D43" s="52">
        <v>0.3328</v>
      </c>
      <c r="E43" s="51" t="s">
        <v>1244</v>
      </c>
      <c r="F43" s="51" t="s">
        <v>1228</v>
      </c>
    </row>
    <row r="44" s="41" customFormat="1" ht="16.5" spans="1:6">
      <c r="A44" s="51" t="s">
        <v>1245</v>
      </c>
      <c r="B44" s="51"/>
      <c r="C44" s="51"/>
      <c r="D44" s="51"/>
      <c r="E44" s="51"/>
      <c r="F44" s="51"/>
    </row>
    <row r="45" s="41" customFormat="1" ht="16.5" spans="1:6">
      <c r="A45" s="51" t="s">
        <v>1246</v>
      </c>
      <c r="B45" s="51" t="s">
        <v>1247</v>
      </c>
      <c r="C45" s="53" t="s">
        <v>1248</v>
      </c>
      <c r="D45" s="52">
        <v>0.9284</v>
      </c>
      <c r="E45" s="51" t="s">
        <v>1249</v>
      </c>
      <c r="F45" s="51" t="s">
        <v>1250</v>
      </c>
    </row>
    <row r="46" s="41" customFormat="1" ht="16.5" spans="1:6">
      <c r="A46" s="51" t="s">
        <v>1251</v>
      </c>
      <c r="B46" s="51" t="s">
        <v>1252</v>
      </c>
      <c r="C46" s="51" t="s">
        <v>1253</v>
      </c>
      <c r="D46" s="52">
        <v>1.3949</v>
      </c>
      <c r="E46" s="51" t="s">
        <v>1254</v>
      </c>
      <c r="F46" s="51" t="s">
        <v>1250</v>
      </c>
    </row>
    <row r="47" s="41" customFormat="1" ht="16.5" spans="1:6">
      <c r="A47" s="51" t="s">
        <v>1255</v>
      </c>
      <c r="B47" s="51" t="s">
        <v>1256</v>
      </c>
      <c r="C47" s="51" t="s">
        <v>1257</v>
      </c>
      <c r="D47" s="52">
        <v>0.4527</v>
      </c>
      <c r="E47" s="51" t="s">
        <v>1258</v>
      </c>
      <c r="F47" s="51" t="s">
        <v>1250</v>
      </c>
    </row>
    <row r="48" s="41" customFormat="1" ht="16.5" spans="1:6">
      <c r="A48" s="51" t="s">
        <v>1259</v>
      </c>
      <c r="B48" s="51" t="s">
        <v>1260</v>
      </c>
      <c r="C48" s="53" t="s">
        <v>1261</v>
      </c>
      <c r="D48" s="52">
        <v>0.7071</v>
      </c>
      <c r="E48" s="51" t="s">
        <v>1262</v>
      </c>
      <c r="F48" s="51" t="s">
        <v>1250</v>
      </c>
    </row>
    <row r="49" s="41" customFormat="1" ht="16.5" spans="1:6">
      <c r="A49" s="51" t="s">
        <v>1263</v>
      </c>
      <c r="B49" s="51" t="s">
        <v>1264</v>
      </c>
      <c r="C49" s="51" t="s">
        <v>1265</v>
      </c>
      <c r="D49" s="52">
        <v>2.8563</v>
      </c>
      <c r="E49" s="51" t="s">
        <v>1266</v>
      </c>
      <c r="F49" s="51" t="s">
        <v>1250</v>
      </c>
    </row>
    <row r="50" s="41" customFormat="1" ht="16.5" spans="1:6">
      <c r="A50" s="51" t="s">
        <v>1267</v>
      </c>
      <c r="B50" s="51" t="s">
        <v>1268</v>
      </c>
      <c r="C50" s="53" t="s">
        <v>1269</v>
      </c>
      <c r="D50" s="52">
        <v>2.6409</v>
      </c>
      <c r="E50" s="51" t="s">
        <v>1270</v>
      </c>
      <c r="F50" s="51" t="s">
        <v>1250</v>
      </c>
    </row>
    <row r="51" s="41" customFormat="1" ht="16.5" spans="1:6">
      <c r="A51" s="51" t="s">
        <v>1271</v>
      </c>
      <c r="B51" s="51" t="s">
        <v>1272</v>
      </c>
      <c r="C51" s="53" t="s">
        <v>1273</v>
      </c>
      <c r="D51" s="52">
        <v>0.443</v>
      </c>
      <c r="E51" s="51" t="s">
        <v>1274</v>
      </c>
      <c r="F51" s="51" t="s">
        <v>1250</v>
      </c>
    </row>
    <row r="52" s="41" customFormat="1" ht="16.5" spans="1:6">
      <c r="A52" s="51" t="s">
        <v>1275</v>
      </c>
      <c r="B52" s="51" t="s">
        <v>1276</v>
      </c>
      <c r="C52" s="51" t="s">
        <v>1277</v>
      </c>
      <c r="D52" s="52">
        <v>0.3121</v>
      </c>
      <c r="E52" s="51" t="s">
        <v>1278</v>
      </c>
      <c r="F52" s="51" t="s">
        <v>1279</v>
      </c>
    </row>
    <row r="53" s="41" customFormat="1" ht="16.5" spans="1:6">
      <c r="A53" s="51" t="s">
        <v>1280</v>
      </c>
      <c r="B53" s="51" t="s">
        <v>1281</v>
      </c>
      <c r="C53" s="51" t="s">
        <v>1282</v>
      </c>
      <c r="D53" s="52">
        <v>1.9355</v>
      </c>
      <c r="E53" s="51" t="s">
        <v>1283</v>
      </c>
      <c r="F53" s="51" t="s">
        <v>1279</v>
      </c>
    </row>
    <row r="54" s="41" customFormat="1" ht="16.5" spans="1:6">
      <c r="A54" s="51" t="s">
        <v>1284</v>
      </c>
      <c r="B54" s="51" t="s">
        <v>1285</v>
      </c>
      <c r="C54" s="51" t="s">
        <v>1286</v>
      </c>
      <c r="D54" s="54">
        <v>1.43</v>
      </c>
      <c r="E54" s="51" t="s">
        <v>1287</v>
      </c>
      <c r="F54" s="51"/>
    </row>
    <row r="55" s="41" customFormat="1" ht="16.5" spans="1:6">
      <c r="A55" s="51" t="s">
        <v>1288</v>
      </c>
      <c r="B55" s="51"/>
      <c r="C55" s="51"/>
      <c r="D55" s="51"/>
      <c r="E55" s="51"/>
      <c r="F55" s="51"/>
    </row>
    <row r="56" s="41" customFormat="1" ht="16.5" spans="1:6">
      <c r="A56" s="51" t="s">
        <v>1289</v>
      </c>
      <c r="B56" s="51" t="s">
        <v>1290</v>
      </c>
      <c r="C56" s="51" t="s">
        <v>1291</v>
      </c>
      <c r="D56" s="52">
        <v>1.829</v>
      </c>
      <c r="E56" s="51" t="s">
        <v>1292</v>
      </c>
      <c r="F56" s="51" t="s">
        <v>1293</v>
      </c>
    </row>
    <row r="57" s="41" customFormat="1" ht="16.5" spans="1:6">
      <c r="A57" s="51" t="s">
        <v>1294</v>
      </c>
      <c r="B57" s="51" t="s">
        <v>1295</v>
      </c>
      <c r="C57" s="51" t="s">
        <v>1296</v>
      </c>
      <c r="D57" s="52">
        <v>1.1902</v>
      </c>
      <c r="E57" s="51" t="s">
        <v>1297</v>
      </c>
      <c r="F57" s="51" t="s">
        <v>1293</v>
      </c>
    </row>
    <row r="58" s="41" customFormat="1" ht="16.5" spans="1:6">
      <c r="A58" s="51" t="s">
        <v>1298</v>
      </c>
      <c r="B58" s="51" t="s">
        <v>1299</v>
      </c>
      <c r="C58" s="51" t="s">
        <v>1300</v>
      </c>
      <c r="D58" s="52">
        <v>1.4402</v>
      </c>
      <c r="E58" s="51" t="s">
        <v>1301</v>
      </c>
      <c r="F58" s="51" t="s">
        <v>1293</v>
      </c>
    </row>
    <row r="59" s="41" customFormat="1" ht="16.5" spans="1:6">
      <c r="A59" s="51" t="s">
        <v>1302</v>
      </c>
      <c r="B59" s="51" t="s">
        <v>1303</v>
      </c>
      <c r="C59" s="51" t="s">
        <v>1304</v>
      </c>
      <c r="D59" s="52">
        <v>0.6824</v>
      </c>
      <c r="E59" s="51" t="s">
        <v>1305</v>
      </c>
      <c r="F59" s="51" t="s">
        <v>1293</v>
      </c>
    </row>
    <row r="60" s="41" customFormat="1" ht="16.5" spans="1:6">
      <c r="A60" s="51" t="s">
        <v>1306</v>
      </c>
      <c r="B60" s="51" t="s">
        <v>1307</v>
      </c>
      <c r="C60" s="51" t="s">
        <v>1308</v>
      </c>
      <c r="D60" s="52">
        <v>3.2994</v>
      </c>
      <c r="E60" s="51" t="s">
        <v>1309</v>
      </c>
      <c r="F60" s="51" t="s">
        <v>1310</v>
      </c>
    </row>
    <row r="61" s="41" customFormat="1" ht="16.5" spans="1:6">
      <c r="A61" s="51" t="s">
        <v>1311</v>
      </c>
      <c r="B61" s="51" t="s">
        <v>1312</v>
      </c>
      <c r="C61" s="51" t="s">
        <v>1313</v>
      </c>
      <c r="D61" s="52">
        <v>1.4518</v>
      </c>
      <c r="E61" s="51" t="s">
        <v>1314</v>
      </c>
      <c r="F61" s="51" t="s">
        <v>1310</v>
      </c>
    </row>
    <row r="62" s="41" customFormat="1" ht="16.5" spans="1:6">
      <c r="A62" s="51" t="s">
        <v>1315</v>
      </c>
      <c r="B62" s="51" t="s">
        <v>1316</v>
      </c>
      <c r="C62" s="51" t="s">
        <v>1317</v>
      </c>
      <c r="D62" s="52">
        <v>0.954</v>
      </c>
      <c r="E62" s="51" t="s">
        <v>1318</v>
      </c>
      <c r="F62" s="51" t="s">
        <v>1310</v>
      </c>
    </row>
    <row r="63" s="41" customFormat="1" ht="16.5" spans="1:6">
      <c r="A63" s="51" t="s">
        <v>1319</v>
      </c>
      <c r="B63" s="51"/>
      <c r="C63" s="51"/>
      <c r="D63" s="51"/>
      <c r="E63" s="51"/>
      <c r="F63" s="51"/>
    </row>
    <row r="64" s="41" customFormat="1" ht="16.5" spans="1:6">
      <c r="A64" s="51" t="s">
        <v>1320</v>
      </c>
      <c r="B64" s="51" t="s">
        <v>1321</v>
      </c>
      <c r="C64" s="51" t="s">
        <v>1322</v>
      </c>
      <c r="D64" s="52">
        <v>0.852</v>
      </c>
      <c r="E64" s="51" t="s">
        <v>1323</v>
      </c>
      <c r="F64" s="51" t="s">
        <v>1324</v>
      </c>
    </row>
    <row r="65" s="41" customFormat="1" ht="16.5" spans="1:6">
      <c r="A65" s="51" t="s">
        <v>1325</v>
      </c>
      <c r="B65" s="51" t="s">
        <v>1326</v>
      </c>
      <c r="C65" s="53" t="s">
        <v>1327</v>
      </c>
      <c r="D65" s="52">
        <v>0.7757</v>
      </c>
      <c r="E65" s="51" t="s">
        <v>1328</v>
      </c>
      <c r="F65" s="51" t="s">
        <v>1324</v>
      </c>
    </row>
    <row r="66" s="41" customFormat="1" ht="16.5" spans="1:6">
      <c r="A66" s="51" t="s">
        <v>1329</v>
      </c>
      <c r="B66" s="51" t="s">
        <v>1330</v>
      </c>
      <c r="C66" s="51" t="s">
        <v>1331</v>
      </c>
      <c r="D66" s="52">
        <v>1.3686</v>
      </c>
      <c r="E66" s="51" t="s">
        <v>1332</v>
      </c>
      <c r="F66" s="51" t="s">
        <v>1324</v>
      </c>
    </row>
    <row r="67" s="41" customFormat="1" ht="16.5" spans="1:6">
      <c r="A67" s="51" t="s">
        <v>1333</v>
      </c>
      <c r="B67" s="51" t="s">
        <v>1334</v>
      </c>
      <c r="C67" s="51" t="s">
        <v>1335</v>
      </c>
      <c r="D67" s="52">
        <v>1.5768</v>
      </c>
      <c r="E67" s="51" t="s">
        <v>1332</v>
      </c>
      <c r="F67" s="51" t="s">
        <v>1324</v>
      </c>
    </row>
    <row r="68" s="41" customFormat="1" ht="16.5" spans="1:6">
      <c r="A68" s="51" t="s">
        <v>1336</v>
      </c>
      <c r="B68" s="51" t="s">
        <v>1337</v>
      </c>
      <c r="C68" s="53" t="s">
        <v>1338</v>
      </c>
      <c r="D68" s="52">
        <v>1.083</v>
      </c>
      <c r="E68" s="51" t="s">
        <v>1339</v>
      </c>
      <c r="F68" s="51" t="s">
        <v>1340</v>
      </c>
    </row>
    <row r="69" s="41" customFormat="1" ht="16.5" spans="1:6">
      <c r="A69" s="51" t="s">
        <v>1341</v>
      </c>
      <c r="B69" s="51" t="s">
        <v>1342</v>
      </c>
      <c r="C69" s="53" t="s">
        <v>1343</v>
      </c>
      <c r="D69" s="52">
        <v>1.1804</v>
      </c>
      <c r="E69" s="51" t="s">
        <v>1344</v>
      </c>
      <c r="F69" s="51" t="s">
        <v>1340</v>
      </c>
    </row>
    <row r="70" s="41" customFormat="1" ht="16.5" spans="1:6">
      <c r="A70" s="51" t="s">
        <v>1345</v>
      </c>
      <c r="B70" s="51" t="s">
        <v>1346</v>
      </c>
      <c r="C70" s="51" t="s">
        <v>1347</v>
      </c>
      <c r="D70" s="52">
        <v>2.6464</v>
      </c>
      <c r="E70" s="51" t="s">
        <v>1348</v>
      </c>
      <c r="F70" s="51" t="s">
        <v>1349</v>
      </c>
    </row>
    <row r="71" s="41" customFormat="1" ht="16.5" spans="1:6">
      <c r="A71" s="51" t="s">
        <v>1350</v>
      </c>
      <c r="B71" s="51" t="s">
        <v>1351</v>
      </c>
      <c r="C71" s="53" t="s">
        <v>1352</v>
      </c>
      <c r="D71" s="52">
        <v>0.9173</v>
      </c>
      <c r="E71" s="51" t="s">
        <v>1353</v>
      </c>
      <c r="F71" s="51" t="s">
        <v>1340</v>
      </c>
    </row>
    <row r="72" s="41" customFormat="1" ht="16.5" spans="1:6">
      <c r="A72" s="51" t="s">
        <v>1354</v>
      </c>
      <c r="B72" s="51" t="s">
        <v>1355</v>
      </c>
      <c r="C72" s="51" t="s">
        <v>1356</v>
      </c>
      <c r="D72" s="52">
        <v>1.9074</v>
      </c>
      <c r="E72" s="51" t="s">
        <v>1357</v>
      </c>
      <c r="F72" s="51" t="s">
        <v>1340</v>
      </c>
    </row>
    <row r="73" s="41" customFormat="1" ht="16.5" spans="1:6">
      <c r="A73" s="51" t="s">
        <v>1358</v>
      </c>
      <c r="B73" s="51" t="s">
        <v>1359</v>
      </c>
      <c r="C73" s="51" t="s">
        <v>1360</v>
      </c>
      <c r="D73" s="52">
        <v>3.8628</v>
      </c>
      <c r="E73" s="51" t="s">
        <v>1361</v>
      </c>
      <c r="F73" s="51" t="s">
        <v>1340</v>
      </c>
    </row>
    <row r="74" s="41" customFormat="1" ht="16.5" spans="1:6">
      <c r="A74" s="51" t="s">
        <v>1362</v>
      </c>
      <c r="B74" s="51" t="s">
        <v>1363</v>
      </c>
      <c r="C74" s="53" t="s">
        <v>1364</v>
      </c>
      <c r="D74" s="52">
        <v>1.7485</v>
      </c>
      <c r="E74" s="51" t="s">
        <v>1365</v>
      </c>
      <c r="F74" s="51" t="s">
        <v>1349</v>
      </c>
    </row>
    <row r="75" s="41" customFormat="1" ht="16.5" spans="1:6">
      <c r="A75" s="51" t="s">
        <v>1366</v>
      </c>
      <c r="B75" s="51"/>
      <c r="C75" s="51"/>
      <c r="D75" s="51"/>
      <c r="E75" s="51"/>
      <c r="F75" s="51"/>
    </row>
    <row r="76" s="41" customFormat="1" ht="16.5" spans="1:6">
      <c r="A76" s="51" t="s">
        <v>1367</v>
      </c>
      <c r="B76" s="51" t="s">
        <v>1368</v>
      </c>
      <c r="C76" s="53" t="s">
        <v>1369</v>
      </c>
      <c r="D76" s="52">
        <v>1.3253</v>
      </c>
      <c r="E76" s="51" t="s">
        <v>1370</v>
      </c>
      <c r="F76" s="51" t="s">
        <v>1371</v>
      </c>
    </row>
    <row r="77" s="41" customFormat="1" ht="16.5" spans="1:6">
      <c r="A77" s="51" t="s">
        <v>1372</v>
      </c>
      <c r="B77" s="51" t="s">
        <v>1373</v>
      </c>
      <c r="C77" s="51" t="s">
        <v>1374</v>
      </c>
      <c r="D77" s="52">
        <v>2.1489</v>
      </c>
      <c r="E77" s="51" t="s">
        <v>1375</v>
      </c>
      <c r="F77" s="51" t="s">
        <v>1371</v>
      </c>
    </row>
    <row r="78" s="41" customFormat="1" ht="16.5" spans="1:6">
      <c r="A78" s="51" t="s">
        <v>1376</v>
      </c>
      <c r="B78" s="51" t="s">
        <v>1377</v>
      </c>
      <c r="C78" s="53" t="s">
        <v>1378</v>
      </c>
      <c r="D78" s="52">
        <v>0.224</v>
      </c>
      <c r="E78" s="51" t="s">
        <v>1379</v>
      </c>
      <c r="F78" s="51" t="s">
        <v>1371</v>
      </c>
    </row>
    <row r="79" s="41" customFormat="1" ht="16.5" spans="1:6">
      <c r="A79" s="51" t="s">
        <v>1380</v>
      </c>
      <c r="B79" s="51" t="s">
        <v>1381</v>
      </c>
      <c r="C79" s="51" t="s">
        <v>1382</v>
      </c>
      <c r="D79" s="52">
        <v>2.2301</v>
      </c>
      <c r="E79" s="51" t="s">
        <v>1383</v>
      </c>
      <c r="F79" s="51" t="s">
        <v>1371</v>
      </c>
    </row>
    <row r="80" s="41" customFormat="1" ht="16.5" spans="1:6">
      <c r="A80" s="51" t="s">
        <v>1384</v>
      </c>
      <c r="B80" s="51" t="s">
        <v>1385</v>
      </c>
      <c r="C80" s="53" t="s">
        <v>1386</v>
      </c>
      <c r="D80" s="52">
        <v>2.5821</v>
      </c>
      <c r="E80" s="51" t="s">
        <v>1387</v>
      </c>
      <c r="F80" s="51" t="s">
        <v>1388</v>
      </c>
    </row>
    <row r="81" s="41" customFormat="1" ht="16.5" spans="1:6">
      <c r="A81" s="51" t="s">
        <v>1389</v>
      </c>
      <c r="B81" s="51" t="s">
        <v>1390</v>
      </c>
      <c r="C81" s="53" t="s">
        <v>1391</v>
      </c>
      <c r="D81" s="52">
        <v>2.1048</v>
      </c>
      <c r="E81" s="51" t="s">
        <v>1392</v>
      </c>
      <c r="F81" s="51" t="s">
        <v>1388</v>
      </c>
    </row>
    <row r="82" s="41" customFormat="1" ht="16.5" spans="1:6">
      <c r="A82" s="51" t="s">
        <v>1393</v>
      </c>
      <c r="B82" s="51" t="s">
        <v>1394</v>
      </c>
      <c r="C82" s="51" t="s">
        <v>1395</v>
      </c>
      <c r="D82" s="52">
        <v>1.8528</v>
      </c>
      <c r="E82" s="51" t="s">
        <v>1396</v>
      </c>
      <c r="F82" s="51" t="s">
        <v>1388</v>
      </c>
    </row>
    <row r="83" s="41" customFormat="1" ht="16.5" spans="1:6">
      <c r="A83" s="51" t="s">
        <v>1397</v>
      </c>
      <c r="B83" s="51" t="s">
        <v>1398</v>
      </c>
      <c r="C83" s="51" t="s">
        <v>1399</v>
      </c>
      <c r="D83" s="52">
        <v>0.9599</v>
      </c>
      <c r="E83" s="51" t="s">
        <v>1400</v>
      </c>
      <c r="F83" s="51" t="s">
        <v>1388</v>
      </c>
    </row>
    <row r="84" s="41" customFormat="1" ht="16.5" spans="1:6">
      <c r="A84" s="51" t="s">
        <v>1401</v>
      </c>
      <c r="B84" s="51" t="s">
        <v>1402</v>
      </c>
      <c r="C84" s="53" t="s">
        <v>1403</v>
      </c>
      <c r="D84" s="52">
        <v>2.4765</v>
      </c>
      <c r="E84" s="51" t="s">
        <v>1404</v>
      </c>
      <c r="F84" s="51" t="s">
        <v>1388</v>
      </c>
    </row>
    <row r="85" s="41" customFormat="1" ht="16.5" spans="1:6">
      <c r="A85" s="51" t="s">
        <v>1405</v>
      </c>
      <c r="B85" s="51" t="s">
        <v>1406</v>
      </c>
      <c r="C85" s="51" t="s">
        <v>1407</v>
      </c>
      <c r="D85" s="54">
        <v>2.36</v>
      </c>
      <c r="E85" s="51" t="s">
        <v>1408</v>
      </c>
      <c r="F85" s="51" t="s">
        <v>1388</v>
      </c>
    </row>
    <row r="86" s="41" customFormat="1" ht="16.5" spans="1:6">
      <c r="A86" s="51" t="s">
        <v>1409</v>
      </c>
      <c r="B86" s="51" t="s">
        <v>1410</v>
      </c>
      <c r="C86" s="53" t="s">
        <v>1411</v>
      </c>
      <c r="D86" s="52">
        <v>1.2165</v>
      </c>
      <c r="E86" s="51" t="s">
        <v>1412</v>
      </c>
      <c r="F86" s="51"/>
    </row>
    <row r="87" s="41" customFormat="1" ht="16.5" spans="1:6">
      <c r="A87" s="51" t="s">
        <v>1413</v>
      </c>
      <c r="B87" s="51"/>
      <c r="C87" s="51"/>
      <c r="D87" s="51"/>
      <c r="E87" s="51"/>
      <c r="F87" s="51"/>
    </row>
    <row r="88" s="41" customFormat="1" ht="16.5" spans="1:6">
      <c r="A88" s="51" t="s">
        <v>1414</v>
      </c>
      <c r="B88" s="51" t="s">
        <v>1415</v>
      </c>
      <c r="C88" s="53" t="s">
        <v>1416</v>
      </c>
      <c r="D88" s="52">
        <v>1.555</v>
      </c>
      <c r="E88" s="51" t="s">
        <v>1417</v>
      </c>
      <c r="F88" s="51" t="s">
        <v>1418</v>
      </c>
    </row>
    <row r="89" s="41" customFormat="1" ht="16.5" spans="1:6">
      <c r="A89" s="51" t="s">
        <v>1419</v>
      </c>
      <c r="B89" s="51" t="s">
        <v>1420</v>
      </c>
      <c r="C89" s="51" t="s">
        <v>1421</v>
      </c>
      <c r="D89" s="52">
        <v>1.2863</v>
      </c>
      <c r="E89" s="51" t="s">
        <v>1422</v>
      </c>
      <c r="F89" s="51" t="s">
        <v>1418</v>
      </c>
    </row>
    <row r="90" s="41" customFormat="1" ht="16.5" spans="1:6">
      <c r="A90" s="51" t="s">
        <v>1423</v>
      </c>
      <c r="B90" s="51" t="s">
        <v>1424</v>
      </c>
      <c r="C90" s="51" t="s">
        <v>1425</v>
      </c>
      <c r="D90" s="52">
        <v>0.813</v>
      </c>
      <c r="E90" s="51" t="s">
        <v>1426</v>
      </c>
      <c r="F90" s="51" t="s">
        <v>1418</v>
      </c>
    </row>
    <row r="91" s="41" customFormat="1" ht="16.5" spans="1:6">
      <c r="A91" s="51" t="s">
        <v>1427</v>
      </c>
      <c r="B91" s="51" t="s">
        <v>1428</v>
      </c>
      <c r="C91" s="51" t="s">
        <v>1429</v>
      </c>
      <c r="D91" s="52">
        <v>0.0786</v>
      </c>
      <c r="E91" s="51" t="s">
        <v>1426</v>
      </c>
      <c r="F91" s="51" t="s">
        <v>1418</v>
      </c>
    </row>
    <row r="92" s="41" customFormat="1" ht="16.5" spans="1:6">
      <c r="A92" s="51" t="s">
        <v>1430</v>
      </c>
      <c r="B92" s="51" t="s">
        <v>1431</v>
      </c>
      <c r="C92" s="53" t="s">
        <v>1432</v>
      </c>
      <c r="D92" s="52">
        <v>1.8725</v>
      </c>
      <c r="E92" s="51" t="s">
        <v>1433</v>
      </c>
      <c r="F92" s="51" t="s">
        <v>1418</v>
      </c>
    </row>
    <row r="93" s="41" customFormat="1" ht="16.5" spans="1:6">
      <c r="A93" s="51" t="s">
        <v>1434</v>
      </c>
      <c r="B93" s="51" t="s">
        <v>1435</v>
      </c>
      <c r="C93" s="51" t="s">
        <v>1436</v>
      </c>
      <c r="D93" s="52">
        <v>1.4992</v>
      </c>
      <c r="E93" s="51" t="s">
        <v>1437</v>
      </c>
      <c r="F93" s="51" t="s">
        <v>1418</v>
      </c>
    </row>
    <row r="94" s="41" customFormat="1" ht="16.5" spans="1:6">
      <c r="A94" s="51" t="s">
        <v>1438</v>
      </c>
      <c r="B94" s="51"/>
      <c r="C94" s="51"/>
      <c r="D94" s="51"/>
      <c r="E94" s="51"/>
      <c r="F94" s="51"/>
    </row>
    <row r="95" s="41" customFormat="1" ht="16.5" spans="1:6">
      <c r="A95" s="51" t="s">
        <v>1439</v>
      </c>
      <c r="B95" s="51" t="s">
        <v>1440</v>
      </c>
      <c r="C95" s="51" t="s">
        <v>1441</v>
      </c>
      <c r="D95" s="52">
        <v>1.2859</v>
      </c>
      <c r="E95" s="51" t="s">
        <v>1442</v>
      </c>
      <c r="F95" s="51" t="s">
        <v>1443</v>
      </c>
    </row>
    <row r="96" s="41" customFormat="1" ht="16.5" spans="1:6">
      <c r="A96" s="51" t="s">
        <v>1444</v>
      </c>
      <c r="B96" s="51" t="s">
        <v>1445</v>
      </c>
      <c r="C96" s="51" t="s">
        <v>1446</v>
      </c>
      <c r="D96" s="52">
        <v>3.0556</v>
      </c>
      <c r="E96" s="51" t="s">
        <v>1447</v>
      </c>
      <c r="F96" s="51" t="s">
        <v>1448</v>
      </c>
    </row>
    <row r="97" s="41" customFormat="1" ht="16.5" spans="1:6">
      <c r="A97" s="51" t="s">
        <v>1449</v>
      </c>
      <c r="B97" s="51" t="s">
        <v>1450</v>
      </c>
      <c r="C97" s="51" t="s">
        <v>1451</v>
      </c>
      <c r="D97" s="52">
        <v>0.9083</v>
      </c>
      <c r="E97" s="51" t="s">
        <v>1452</v>
      </c>
      <c r="F97" s="51" t="s">
        <v>1448</v>
      </c>
    </row>
    <row r="98" s="41" customFormat="1" ht="16.5" spans="1:6">
      <c r="A98" s="51" t="s">
        <v>1453</v>
      </c>
      <c r="B98" s="51" t="s">
        <v>1454</v>
      </c>
      <c r="C98" s="51" t="s">
        <v>1455</v>
      </c>
      <c r="D98" s="52">
        <v>3.7667</v>
      </c>
      <c r="E98" s="51" t="s">
        <v>1456</v>
      </c>
      <c r="F98" s="51" t="s">
        <v>1443</v>
      </c>
    </row>
    <row r="99" s="41" customFormat="1" ht="16.5" spans="1:6">
      <c r="A99" s="51" t="s">
        <v>1457</v>
      </c>
      <c r="B99" s="51" t="s">
        <v>1458</v>
      </c>
      <c r="C99" s="51" t="s">
        <v>1459</v>
      </c>
      <c r="D99" s="52">
        <v>1.3518</v>
      </c>
      <c r="E99" s="51" t="s">
        <v>1460</v>
      </c>
      <c r="F99" s="51" t="s">
        <v>1443</v>
      </c>
    </row>
    <row r="100" s="41" customFormat="1" ht="16.5" spans="1:6">
      <c r="A100" s="51" t="s">
        <v>1461</v>
      </c>
      <c r="B100" s="51" t="s">
        <v>1462</v>
      </c>
      <c r="C100" s="53" t="s">
        <v>1463</v>
      </c>
      <c r="D100" s="52">
        <v>1.2694</v>
      </c>
      <c r="E100" s="51" t="s">
        <v>1464</v>
      </c>
      <c r="F100" s="51" t="s">
        <v>1465</v>
      </c>
    </row>
    <row r="101" s="41" customFormat="1" ht="16.5" spans="1:6">
      <c r="A101" s="51" t="s">
        <v>1466</v>
      </c>
      <c r="B101" s="51" t="s">
        <v>1467</v>
      </c>
      <c r="C101" s="53" t="s">
        <v>1468</v>
      </c>
      <c r="D101" s="52">
        <v>1.6409</v>
      </c>
      <c r="E101" s="51" t="s">
        <v>1469</v>
      </c>
      <c r="F101" s="51" t="s">
        <v>1470</v>
      </c>
    </row>
    <row r="102" s="41" customFormat="1" ht="16.5" spans="1:6">
      <c r="A102" s="51" t="s">
        <v>1471</v>
      </c>
      <c r="B102" s="51" t="s">
        <v>1472</v>
      </c>
      <c r="C102" s="53" t="s">
        <v>1473</v>
      </c>
      <c r="D102" s="52">
        <v>1.1529</v>
      </c>
      <c r="E102" s="51" t="s">
        <v>1474</v>
      </c>
      <c r="F102" s="51" t="s">
        <v>1465</v>
      </c>
    </row>
    <row r="103" s="41" customFormat="1" ht="16.5" spans="1:6">
      <c r="A103" s="51" t="s">
        <v>1475</v>
      </c>
      <c r="B103" s="51" t="s">
        <v>1476</v>
      </c>
      <c r="C103" s="51" t="s">
        <v>1477</v>
      </c>
      <c r="D103" s="52">
        <v>0.7672</v>
      </c>
      <c r="E103" s="51" t="s">
        <v>1478</v>
      </c>
      <c r="F103" s="51" t="s">
        <v>1465</v>
      </c>
    </row>
    <row r="104" s="41" customFormat="1" ht="16.5" spans="1:6">
      <c r="A104" s="51" t="s">
        <v>1479</v>
      </c>
      <c r="B104" s="51" t="s">
        <v>1480</v>
      </c>
      <c r="C104" s="51" t="s">
        <v>1481</v>
      </c>
      <c r="D104" s="52">
        <v>0.9874</v>
      </c>
      <c r="E104" s="51" t="s">
        <v>1482</v>
      </c>
      <c r="F104" s="51" t="s">
        <v>1470</v>
      </c>
    </row>
    <row r="105" s="41" customFormat="1" ht="16.5" spans="1:6">
      <c r="A105" s="51" t="s">
        <v>1483</v>
      </c>
      <c r="B105" s="51" t="s">
        <v>1484</v>
      </c>
      <c r="C105" s="53" t="s">
        <v>1485</v>
      </c>
      <c r="D105" s="52">
        <v>1.3584</v>
      </c>
      <c r="E105" s="51" t="s">
        <v>1486</v>
      </c>
      <c r="F105" s="51" t="s">
        <v>1470</v>
      </c>
    </row>
    <row r="106" s="41" customFormat="1" ht="16.5" spans="1:6">
      <c r="A106" s="51" t="s">
        <v>1487</v>
      </c>
      <c r="B106" s="51" t="s">
        <v>1488</v>
      </c>
      <c r="C106" s="51" t="s">
        <v>1489</v>
      </c>
      <c r="D106" s="52">
        <v>0.6085</v>
      </c>
      <c r="E106" s="51" t="s">
        <v>1490</v>
      </c>
      <c r="F106" s="51" t="s">
        <v>1470</v>
      </c>
    </row>
    <row r="107" s="41" customFormat="1" ht="16.5" spans="1:6">
      <c r="A107" s="51" t="s">
        <v>1491</v>
      </c>
      <c r="B107" s="51"/>
      <c r="C107" s="51"/>
      <c r="D107" s="51"/>
      <c r="E107" s="51"/>
      <c r="F107" s="51"/>
    </row>
    <row r="108" s="41" customFormat="1" ht="16.5" spans="1:6">
      <c r="A108" s="51" t="s">
        <v>1492</v>
      </c>
      <c r="B108" s="51" t="s">
        <v>1493</v>
      </c>
      <c r="C108" s="53" t="s">
        <v>1494</v>
      </c>
      <c r="D108" s="52">
        <v>0.6665</v>
      </c>
      <c r="E108" s="51" t="s">
        <v>1495</v>
      </c>
      <c r="F108" s="51" t="s">
        <v>1496</v>
      </c>
    </row>
    <row r="109" s="41" customFormat="1" ht="16.5" spans="1:6">
      <c r="A109" s="51" t="s">
        <v>1497</v>
      </c>
      <c r="B109" s="51" t="s">
        <v>1498</v>
      </c>
      <c r="C109" s="53" t="s">
        <v>1499</v>
      </c>
      <c r="D109" s="52">
        <v>1.149</v>
      </c>
      <c r="E109" s="51" t="s">
        <v>1500</v>
      </c>
      <c r="F109" s="51" t="s">
        <v>1496</v>
      </c>
    </row>
    <row r="110" s="41" customFormat="1" ht="16.5" spans="1:6">
      <c r="A110" s="51" t="s">
        <v>1501</v>
      </c>
      <c r="B110" s="51" t="s">
        <v>1502</v>
      </c>
      <c r="C110" s="51" t="s">
        <v>1503</v>
      </c>
      <c r="D110" s="52">
        <v>1.5</v>
      </c>
      <c r="E110" s="51" t="s">
        <v>1504</v>
      </c>
      <c r="F110" s="51" t="s">
        <v>1496</v>
      </c>
    </row>
    <row r="111" s="41" customFormat="1" ht="16.5" spans="1:6">
      <c r="A111" s="51" t="s">
        <v>1505</v>
      </c>
      <c r="B111" s="51" t="s">
        <v>1506</v>
      </c>
      <c r="C111" s="51" t="s">
        <v>1067</v>
      </c>
      <c r="D111" s="52">
        <v>2.1239</v>
      </c>
      <c r="E111" s="51" t="s">
        <v>1507</v>
      </c>
      <c r="F111" s="51" t="s">
        <v>1496</v>
      </c>
    </row>
    <row r="112" s="41" customFormat="1" ht="16.5" spans="1:6">
      <c r="A112" s="51" t="s">
        <v>1508</v>
      </c>
      <c r="B112" s="51" t="s">
        <v>1509</v>
      </c>
      <c r="C112" s="51" t="s">
        <v>1510</v>
      </c>
      <c r="D112" s="52">
        <v>1.1136</v>
      </c>
      <c r="E112" s="51" t="s">
        <v>1511</v>
      </c>
      <c r="F112" s="51" t="s">
        <v>1496</v>
      </c>
    </row>
    <row r="113" s="41" customFormat="1" ht="16.5" spans="1:6">
      <c r="A113" s="51" t="s">
        <v>1512</v>
      </c>
      <c r="B113" s="51" t="s">
        <v>1513</v>
      </c>
      <c r="C113" s="51" t="s">
        <v>1514</v>
      </c>
      <c r="D113" s="52">
        <v>2.1794</v>
      </c>
      <c r="E113" s="51" t="s">
        <v>1515</v>
      </c>
      <c r="F113" s="51" t="s">
        <v>1496</v>
      </c>
    </row>
    <row r="114" s="41" customFormat="1" ht="16.5" spans="1:6">
      <c r="A114" s="51" t="s">
        <v>1516</v>
      </c>
      <c r="B114" s="51" t="s">
        <v>1517</v>
      </c>
      <c r="C114" s="53" t="s">
        <v>1518</v>
      </c>
      <c r="D114" s="52">
        <v>3.836</v>
      </c>
      <c r="E114" s="51" t="s">
        <v>1519</v>
      </c>
      <c r="F114" s="51" t="s">
        <v>1520</v>
      </c>
    </row>
    <row r="115" s="41" customFormat="1" ht="16.5" spans="1:6">
      <c r="A115" s="51" t="s">
        <v>1521</v>
      </c>
      <c r="B115" s="51" t="s">
        <v>1522</v>
      </c>
      <c r="C115" s="53" t="s">
        <v>1523</v>
      </c>
      <c r="D115" s="52">
        <v>0.5884</v>
      </c>
      <c r="E115" s="51" t="s">
        <v>1524</v>
      </c>
      <c r="F115" s="51" t="s">
        <v>1525</v>
      </c>
    </row>
    <row r="116" s="41" customFormat="1" ht="16.5" spans="1:6">
      <c r="A116" s="51" t="s">
        <v>1526</v>
      </c>
      <c r="B116" s="51" t="s">
        <v>1527</v>
      </c>
      <c r="C116" s="53" t="s">
        <v>1528</v>
      </c>
      <c r="D116" s="52">
        <v>2.4996</v>
      </c>
      <c r="E116" s="51" t="s">
        <v>1529</v>
      </c>
      <c r="F116" s="51" t="s">
        <v>1525</v>
      </c>
    </row>
    <row r="117" s="41" customFormat="1" ht="16.5" spans="1:6">
      <c r="A117" s="51" t="s">
        <v>1530</v>
      </c>
      <c r="B117" s="51"/>
      <c r="C117" s="51"/>
      <c r="D117" s="51"/>
      <c r="E117" s="51"/>
      <c r="F117" s="51"/>
    </row>
    <row r="118" s="41" customFormat="1" ht="16.5" spans="1:6">
      <c r="A118" s="51" t="s">
        <v>1531</v>
      </c>
      <c r="B118" s="51" t="s">
        <v>1532</v>
      </c>
      <c r="C118" s="51" t="s">
        <v>1533</v>
      </c>
      <c r="D118" s="51"/>
      <c r="E118" s="51"/>
      <c r="F118" s="51"/>
    </row>
    <row r="119" s="41" customFormat="1" ht="16.5" spans="1:6">
      <c r="A119" s="51" t="s">
        <v>1534</v>
      </c>
      <c r="B119" s="51" t="s">
        <v>1535</v>
      </c>
      <c r="C119" s="51" t="s">
        <v>1536</v>
      </c>
      <c r="D119" s="52">
        <v>0.3531</v>
      </c>
      <c r="E119" s="51" t="s">
        <v>1537</v>
      </c>
      <c r="F119" s="51" t="s">
        <v>1279</v>
      </c>
    </row>
    <row r="120" s="41" customFormat="1" ht="16.5" spans="1:6">
      <c r="A120" s="51" t="s">
        <v>1538</v>
      </c>
      <c r="B120" s="51" t="s">
        <v>1539</v>
      </c>
      <c r="C120" s="51" t="s">
        <v>1540</v>
      </c>
      <c r="D120" s="52">
        <v>0.4041</v>
      </c>
      <c r="E120" s="51" t="s">
        <v>1541</v>
      </c>
      <c r="F120" s="51" t="s">
        <v>1542</v>
      </c>
    </row>
    <row r="121" s="41" customFormat="1" ht="16.5" spans="1:6">
      <c r="A121" s="51" t="s">
        <v>1543</v>
      </c>
      <c r="B121" s="51"/>
      <c r="C121" s="51"/>
      <c r="D121" s="51"/>
      <c r="E121" s="51"/>
      <c r="F121" s="51"/>
    </row>
    <row r="122" s="41" customFormat="1" ht="16.5" spans="1:6">
      <c r="A122" s="51" t="s">
        <v>1544</v>
      </c>
      <c r="B122" s="51" t="s">
        <v>1545</v>
      </c>
      <c r="C122" s="51"/>
      <c r="D122" s="51"/>
      <c r="E122" s="51"/>
      <c r="F122" s="51"/>
    </row>
    <row r="123" s="41" customFormat="1" ht="16.5" spans="1:6">
      <c r="A123" s="51"/>
      <c r="B123" s="51" t="s">
        <v>1546</v>
      </c>
      <c r="C123" s="51" t="s">
        <v>1547</v>
      </c>
      <c r="D123" s="51"/>
      <c r="E123" s="51"/>
      <c r="F123" s="51"/>
    </row>
    <row r="124" s="41" customFormat="1" ht="16.5" spans="1:6">
      <c r="A124" s="51" t="s">
        <v>1548</v>
      </c>
      <c r="B124" s="51" t="s">
        <v>1549</v>
      </c>
      <c r="C124" s="51" t="s">
        <v>1550</v>
      </c>
      <c r="D124" s="51"/>
      <c r="E124" s="51"/>
      <c r="F124" s="51"/>
    </row>
    <row r="125" s="41" customFormat="1" ht="20.25" spans="1:6">
      <c r="A125" s="55" t="s">
        <v>1551</v>
      </c>
      <c r="B125" s="55"/>
      <c r="C125" s="55"/>
      <c r="D125" s="55"/>
      <c r="E125" s="55"/>
      <c r="F125" s="55"/>
    </row>
  </sheetData>
  <mergeCells count="4">
    <mergeCell ref="A1:F1"/>
    <mergeCell ref="A2:F2"/>
    <mergeCell ref="A3:F3"/>
    <mergeCell ref="A125:F125"/>
  </mergeCells>
  <hyperlinks>
    <hyperlink ref="G1" location="目录!A1" display="返回主页"/>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7"/>
  <sheetViews>
    <sheetView workbookViewId="0">
      <selection activeCell="L9" sqref="L9"/>
    </sheetView>
  </sheetViews>
  <sheetFormatPr defaultColWidth="11" defaultRowHeight="24.95" customHeight="1"/>
  <cols>
    <col min="1" max="1" width="30" style="3" customWidth="1"/>
    <col min="2" max="2" width="12.125" style="1" customWidth="1"/>
    <col min="3" max="3" width="10.75" style="1" customWidth="1"/>
    <col min="4" max="4" width="11.625" style="1" customWidth="1"/>
    <col min="5" max="5" width="12.25" style="1" customWidth="1"/>
    <col min="6" max="6" width="11.25" style="1" customWidth="1"/>
    <col min="7" max="7" width="13.625" style="1" customWidth="1"/>
    <col min="8" max="8" width="13.5083333333333" style="2" customWidth="1"/>
    <col min="9" max="9" width="11" style="2" customWidth="1"/>
    <col min="10" max="10" width="9.125" style="2" customWidth="1"/>
    <col min="11" max="11" width="15" style="2" customWidth="1"/>
    <col min="12" max="12" width="9.875" style="2" customWidth="1"/>
    <col min="13" max="14" width="10.875" style="2" customWidth="1"/>
    <col min="15" max="15" width="10.625" style="2" customWidth="1"/>
    <col min="16" max="17" width="12.625" style="2" customWidth="1"/>
    <col min="18" max="16384" width="11" style="1"/>
  </cols>
  <sheetData>
    <row r="1" s="1" customFormat="1" customHeight="1" spans="1:17">
      <c r="A1" s="4" t="s">
        <v>1552</v>
      </c>
      <c r="B1" s="5"/>
      <c r="C1" s="5"/>
      <c r="D1" s="5"/>
      <c r="E1" s="6"/>
      <c r="F1" s="7"/>
      <c r="G1" s="7"/>
      <c r="H1" s="8"/>
      <c r="I1" s="9"/>
      <c r="J1" s="2"/>
      <c r="K1" s="10"/>
      <c r="L1" s="2"/>
      <c r="M1" s="2"/>
      <c r="N1" s="2"/>
      <c r="O1" s="2"/>
      <c r="P1" s="2"/>
      <c r="Q1" s="2"/>
    </row>
    <row r="2" s="1" customFormat="1" customHeight="1" spans="1:17">
      <c r="A2" s="4" t="s">
        <v>1553</v>
      </c>
      <c r="B2" s="11" t="s">
        <v>1554</v>
      </c>
      <c r="C2" s="12"/>
      <c r="D2" s="13"/>
      <c r="F2" s="7"/>
      <c r="G2" s="7"/>
      <c r="H2" s="8"/>
      <c r="I2" s="9"/>
      <c r="J2" s="2"/>
      <c r="K2" s="2"/>
      <c r="L2" s="14"/>
      <c r="M2" s="2"/>
      <c r="N2" s="2"/>
      <c r="O2" s="2"/>
      <c r="P2" s="2"/>
      <c r="Q2" s="2"/>
    </row>
    <row r="3" s="1" customFormat="1" customHeight="1" spans="1:17">
      <c r="A3" s="15" t="s">
        <v>1555</v>
      </c>
      <c r="B3" s="16" t="s">
        <v>1556</v>
      </c>
      <c r="C3" s="17"/>
      <c r="D3" s="17"/>
      <c r="F3" s="7"/>
      <c r="G3" s="7"/>
      <c r="H3" s="8"/>
      <c r="I3" s="2"/>
      <c r="J3" s="2"/>
      <c r="K3" s="2"/>
      <c r="L3" s="14"/>
      <c r="M3" s="2"/>
      <c r="N3" s="2"/>
      <c r="O3" s="2"/>
      <c r="P3" s="2"/>
      <c r="Q3" s="2"/>
    </row>
    <row r="4" s="1" customFormat="1" customHeight="1" spans="1:17">
      <c r="A4" s="4" t="s">
        <v>1557</v>
      </c>
      <c r="B4" s="16" t="str">
        <f>VLOOKUP(B3,[2]美国FBA地址库!$A1:$IV65536,2,0)</f>
        <v>POC3-FEDEX</v>
      </c>
      <c r="C4" s="17"/>
      <c r="D4" s="17"/>
      <c r="F4" s="18"/>
      <c r="G4" s="18"/>
      <c r="H4" s="2"/>
      <c r="I4" s="2"/>
      <c r="J4" s="2"/>
      <c r="K4" s="2"/>
      <c r="L4" s="14"/>
      <c r="M4" s="2"/>
      <c r="N4" s="2"/>
      <c r="O4" s="2"/>
      <c r="P4" s="2"/>
      <c r="Q4" s="2"/>
    </row>
    <row r="5" s="1" customFormat="1" customHeight="1" spans="1:17">
      <c r="A5" s="4" t="s">
        <v>1558</v>
      </c>
      <c r="B5" s="5" t="str">
        <f>VLOOKUP(B3,[2]美国FBA地址库!D$1:O$65536,3,0)</f>
        <v>AMAZON</v>
      </c>
      <c r="C5" s="5"/>
      <c r="D5" s="5"/>
      <c r="F5" s="18"/>
      <c r="G5" s="18"/>
      <c r="H5" s="2"/>
      <c r="I5" s="2"/>
      <c r="J5" s="2"/>
      <c r="K5" s="2"/>
      <c r="L5" s="14"/>
      <c r="M5" s="2"/>
      <c r="N5" s="2"/>
      <c r="O5" s="2"/>
      <c r="P5" s="2"/>
      <c r="Q5" s="2"/>
    </row>
    <row r="6" s="1" customFormat="1" ht="47.1" customHeight="1" spans="1:17">
      <c r="A6" s="4" t="s">
        <v>1559</v>
      </c>
      <c r="B6" s="19" t="str">
        <f>VLOOKUP(B3,[2]美国FBA地址库!D$1:O$65536,6,0)</f>
        <v>6120 Clinker Drive</v>
      </c>
      <c r="C6" s="19"/>
      <c r="D6" s="19"/>
      <c r="E6" s="20" t="s">
        <v>1560</v>
      </c>
      <c r="F6" s="21"/>
      <c r="G6" s="21"/>
      <c r="H6" s="8"/>
      <c r="I6" s="2"/>
      <c r="J6" s="2"/>
      <c r="K6" s="2"/>
      <c r="L6" s="2"/>
      <c r="M6" s="2"/>
      <c r="N6" s="2"/>
      <c r="O6" s="2"/>
      <c r="P6" s="2"/>
      <c r="Q6" s="2"/>
    </row>
    <row r="7" s="1" customFormat="1" customHeight="1" spans="1:17">
      <c r="A7" s="22" t="s">
        <v>1561</v>
      </c>
      <c r="B7" s="23"/>
      <c r="C7" s="23"/>
      <c r="D7" s="23"/>
      <c r="F7" s="21"/>
      <c r="G7" s="21"/>
      <c r="H7" s="8"/>
      <c r="I7" s="2"/>
      <c r="J7" s="2"/>
      <c r="K7" s="2"/>
      <c r="L7" s="2"/>
      <c r="M7" s="2"/>
      <c r="N7" s="2"/>
      <c r="O7" s="2"/>
      <c r="P7" s="2"/>
      <c r="Q7" s="2"/>
    </row>
    <row r="8" s="1" customFormat="1" customHeight="1" spans="1:17">
      <c r="A8" s="22" t="s">
        <v>1562</v>
      </c>
      <c r="B8" s="24"/>
      <c r="C8" s="24"/>
      <c r="D8" s="24"/>
      <c r="F8" s="21"/>
      <c r="G8" s="21"/>
      <c r="H8" s="8"/>
      <c r="I8" s="2"/>
      <c r="J8" s="2"/>
      <c r="K8" s="2"/>
      <c r="L8" s="2"/>
      <c r="M8" s="2"/>
      <c r="N8" s="2"/>
      <c r="O8" s="2"/>
      <c r="P8" s="2"/>
      <c r="Q8" s="2"/>
    </row>
    <row r="9" s="1" customFormat="1" customHeight="1" spans="1:17">
      <c r="A9" s="4" t="s">
        <v>1563</v>
      </c>
      <c r="B9" s="5" t="str">
        <f>VLOOKUP(B3,[2]美国FBA地址库!D$1:O$65536,9,0)</f>
        <v>Jurupa Valley</v>
      </c>
      <c r="C9" s="5"/>
      <c r="D9" s="5"/>
      <c r="F9" s="21"/>
      <c r="G9" s="21"/>
      <c r="H9" s="8"/>
      <c r="I9" s="2"/>
      <c r="J9" s="25"/>
      <c r="K9" s="2"/>
      <c r="L9" s="10"/>
      <c r="M9" s="2"/>
      <c r="N9" s="2"/>
      <c r="O9" s="2"/>
      <c r="P9" s="2"/>
      <c r="Q9" s="2"/>
    </row>
    <row r="10" s="1" customFormat="1" customHeight="1" spans="1:17">
      <c r="A10" s="4" t="s">
        <v>1564</v>
      </c>
      <c r="B10" s="5" t="str">
        <f>VLOOKUP(B3,[2]美国FBA地址库!D$1:O$65536,10,0)</f>
        <v>CA</v>
      </c>
      <c r="C10" s="5"/>
      <c r="D10" s="5"/>
      <c r="F10" s="21"/>
      <c r="G10" s="21"/>
      <c r="H10" s="8"/>
      <c r="I10" s="2"/>
      <c r="J10" s="2"/>
      <c r="K10" s="2"/>
      <c r="L10" s="14"/>
      <c r="M10" s="2"/>
      <c r="N10" s="2"/>
      <c r="O10" s="2"/>
      <c r="P10" s="2"/>
      <c r="Q10" s="2"/>
    </row>
    <row r="11" s="1" customFormat="1" customHeight="1" spans="1:17">
      <c r="A11" s="4" t="s">
        <v>1565</v>
      </c>
      <c r="B11" s="5" t="str">
        <f>VLOOKUP(B3,[2]美国FBA地址库!D$1:O$65536,12,0)</f>
        <v>92509</v>
      </c>
      <c r="C11" s="5"/>
      <c r="D11" s="5"/>
      <c r="F11" s="21"/>
      <c r="G11" s="21"/>
      <c r="H11" s="8"/>
      <c r="I11" s="2"/>
      <c r="J11" s="2"/>
      <c r="K11" s="2"/>
      <c r="L11" s="14"/>
      <c r="M11" s="2"/>
      <c r="N11" s="2"/>
      <c r="O11" s="2"/>
      <c r="P11" s="2"/>
      <c r="Q11" s="2"/>
    </row>
    <row r="12" s="1" customFormat="1" customHeight="1" spans="1:17">
      <c r="A12" s="4" t="s">
        <v>1566</v>
      </c>
      <c r="B12" s="5" t="str">
        <f>VLOOKUP(B3,[2]美国FBA地址库!D$1:O$65536,11,0)</f>
        <v>US</v>
      </c>
      <c r="C12" s="5"/>
      <c r="D12" s="5"/>
      <c r="F12" s="18"/>
      <c r="G12" s="18"/>
      <c r="H12" s="2"/>
      <c r="I12" s="2"/>
      <c r="J12" s="2"/>
      <c r="K12" s="2"/>
      <c r="L12" s="14"/>
      <c r="M12" s="2"/>
      <c r="N12" s="2"/>
      <c r="O12" s="2"/>
      <c r="P12" s="2"/>
      <c r="Q12" s="2"/>
    </row>
    <row r="13" s="1" customFormat="1" customHeight="1" spans="1:17">
      <c r="A13" s="22" t="s">
        <v>1567</v>
      </c>
      <c r="B13" s="5" t="str">
        <f>VLOOKUP(B3,[2]美国FBA地址库!D$1:O$65536,4,0)</f>
        <v>0000000000</v>
      </c>
      <c r="C13" s="5"/>
      <c r="D13" s="5"/>
      <c r="F13" s="18"/>
      <c r="G13" s="18"/>
      <c r="H13" s="2"/>
      <c r="I13" s="2"/>
      <c r="J13" s="26"/>
      <c r="K13" s="2"/>
      <c r="L13" s="2"/>
      <c r="M13" s="27"/>
      <c r="N13" s="2"/>
      <c r="O13" s="2"/>
      <c r="P13" s="2"/>
      <c r="Q13" s="2"/>
    </row>
    <row r="14" s="1" customFormat="1" customHeight="1" spans="1:17">
      <c r="A14" s="4" t="s">
        <v>1568</v>
      </c>
      <c r="B14" s="5" t="s">
        <v>1569</v>
      </c>
      <c r="C14" s="5"/>
      <c r="D14" s="5"/>
      <c r="F14" s="18"/>
      <c r="G14" s="18"/>
      <c r="H14" s="2"/>
      <c r="I14" s="2"/>
      <c r="J14" s="2"/>
      <c r="K14" s="2"/>
      <c r="L14" s="2"/>
      <c r="M14" s="2"/>
      <c r="N14" s="2"/>
      <c r="O14" s="2"/>
      <c r="P14" s="2"/>
      <c r="Q14" s="2"/>
    </row>
    <row r="15" s="1" customFormat="1" customHeight="1" spans="1:17">
      <c r="A15" s="4" t="s">
        <v>1570</v>
      </c>
      <c r="B15" s="5" t="s">
        <v>1571</v>
      </c>
      <c r="C15" s="5"/>
      <c r="D15" s="5"/>
      <c r="F15" s="18"/>
      <c r="G15" s="18"/>
      <c r="H15" s="2"/>
      <c r="I15" s="2"/>
      <c r="J15" s="2"/>
      <c r="K15" s="2"/>
      <c r="L15" s="2"/>
      <c r="M15" s="2"/>
      <c r="N15" s="2"/>
      <c r="O15" s="2"/>
      <c r="P15" s="2"/>
      <c r="Q15" s="2"/>
    </row>
    <row r="16" s="1" customFormat="1" customHeight="1" spans="1:17">
      <c r="A16" s="4" t="s">
        <v>1572</v>
      </c>
      <c r="B16" s="5">
        <v>2</v>
      </c>
      <c r="C16" s="5"/>
      <c r="D16" s="5"/>
      <c r="F16" s="18"/>
      <c r="G16" s="18"/>
      <c r="H16" s="2"/>
      <c r="I16" s="9"/>
      <c r="J16" s="2"/>
      <c r="K16" s="2"/>
      <c r="L16" s="2"/>
      <c r="M16" s="2"/>
      <c r="N16" s="2"/>
      <c r="O16" s="2"/>
      <c r="P16" s="2"/>
      <c r="Q16" s="2"/>
    </row>
    <row r="17" s="2" customFormat="1" ht="30" customHeight="1" spans="1:22">
      <c r="A17" s="4" t="s">
        <v>220</v>
      </c>
      <c r="B17" s="11"/>
      <c r="C17" s="12"/>
      <c r="D17" s="13"/>
      <c r="E17" s="1"/>
      <c r="F17" s="1"/>
      <c r="G17" s="1"/>
      <c r="H17" s="1"/>
      <c r="I17" s="1"/>
      <c r="J17" s="1"/>
      <c r="K17" s="1"/>
      <c r="L17" s="1"/>
      <c r="M17" s="1"/>
      <c r="N17" s="1"/>
      <c r="O17" s="1"/>
      <c r="P17" s="1"/>
      <c r="Q17" s="1"/>
    </row>
    <row r="18" s="2" customFormat="1" ht="30" customHeight="1" spans="1:22">
      <c r="A18" s="28" t="s">
        <v>1573</v>
      </c>
      <c r="B18" s="28" t="s">
        <v>1574</v>
      </c>
      <c r="C18" s="28" t="s">
        <v>1575</v>
      </c>
      <c r="D18" s="28" t="s">
        <v>1576</v>
      </c>
      <c r="E18" s="28" t="s">
        <v>1577</v>
      </c>
      <c r="F18" s="28" t="s">
        <v>1578</v>
      </c>
      <c r="G18" s="28" t="s">
        <v>1579</v>
      </c>
      <c r="H18" s="28" t="s">
        <v>1580</v>
      </c>
      <c r="I18" s="28" t="s">
        <v>1581</v>
      </c>
      <c r="J18" s="28" t="s">
        <v>1582</v>
      </c>
      <c r="K18" s="28" t="s">
        <v>1583</v>
      </c>
      <c r="L18" s="28" t="s">
        <v>1584</v>
      </c>
      <c r="M18" s="28" t="s">
        <v>1585</v>
      </c>
      <c r="N18" s="28" t="s">
        <v>1586</v>
      </c>
      <c r="O18" s="28" t="s">
        <v>1587</v>
      </c>
      <c r="P18" s="29" t="s">
        <v>1588</v>
      </c>
      <c r="Q18" s="30" t="s">
        <v>1589</v>
      </c>
    </row>
    <row r="19" s="1" customFormat="1" customHeight="1" spans="1:22">
      <c r="A19" s="31" t="s">
        <v>1590</v>
      </c>
      <c r="B19" s="32">
        <v>16</v>
      </c>
      <c r="C19" s="33">
        <v>58</v>
      </c>
      <c r="D19" s="32">
        <v>46</v>
      </c>
      <c r="E19" s="32">
        <v>38</v>
      </c>
      <c r="F19" s="31" t="s">
        <v>1591</v>
      </c>
      <c r="G19" s="31" t="s">
        <v>1592</v>
      </c>
      <c r="H19" s="34">
        <v>42.68</v>
      </c>
      <c r="I19" s="35">
        <v>4</v>
      </c>
      <c r="J19" s="31" t="s">
        <v>1593</v>
      </c>
      <c r="K19" s="32">
        <v>8414100090</v>
      </c>
      <c r="L19" s="32" t="s">
        <v>1594</v>
      </c>
      <c r="M19" s="31" t="s">
        <v>1595</v>
      </c>
      <c r="N19" s="31" t="s">
        <v>1595</v>
      </c>
      <c r="O19" s="31" t="s">
        <v>1596</v>
      </c>
      <c r="P19" s="36" t="s">
        <v>1597</v>
      </c>
      <c r="Q19" s="37"/>
      <c r="R19" s="38"/>
      <c r="S19" s="39"/>
      <c r="T19" s="39"/>
      <c r="U19" s="39"/>
      <c r="V19" s="39"/>
    </row>
    <row r="20" s="1" customFormat="1" customHeight="1" spans="1:22">
      <c r="A20" s="31" t="s">
        <v>1598</v>
      </c>
      <c r="B20" s="32">
        <v>16</v>
      </c>
      <c r="C20" s="33">
        <v>58</v>
      </c>
      <c r="D20" s="32">
        <v>46</v>
      </c>
      <c r="E20" s="32">
        <v>38</v>
      </c>
      <c r="F20" s="31" t="s">
        <v>1591</v>
      </c>
      <c r="G20" s="31" t="s">
        <v>1592</v>
      </c>
      <c r="H20" s="34">
        <v>42.68</v>
      </c>
      <c r="I20" s="35">
        <v>4</v>
      </c>
      <c r="J20" s="31" t="s">
        <v>1593</v>
      </c>
      <c r="K20" s="32">
        <v>8414100090</v>
      </c>
      <c r="L20" s="32" t="s">
        <v>1594</v>
      </c>
      <c r="M20" s="31" t="s">
        <v>1595</v>
      </c>
      <c r="N20" s="31" t="s">
        <v>1595</v>
      </c>
      <c r="O20" s="31" t="s">
        <v>1596</v>
      </c>
      <c r="P20" s="36" t="s">
        <v>1597</v>
      </c>
      <c r="Q20" s="40"/>
      <c r="R20" s="38"/>
    </row>
    <row r="21" s="1" customFormat="1" customHeight="1" spans="1:22">
      <c r="A21" s="31"/>
      <c r="B21" s="32"/>
      <c r="C21" s="33"/>
      <c r="D21" s="32"/>
      <c r="E21" s="32"/>
      <c r="F21" s="31"/>
      <c r="G21" s="31"/>
      <c r="H21" s="34"/>
      <c r="I21" s="35"/>
      <c r="J21" s="31"/>
      <c r="K21" s="32"/>
      <c r="L21" s="32"/>
      <c r="M21" s="31"/>
      <c r="N21" s="31"/>
      <c r="O21" s="31"/>
      <c r="P21" s="36"/>
      <c r="Q21" s="40"/>
      <c r="R21" s="38"/>
    </row>
    <row r="22" s="1" customFormat="1" customHeight="1" spans="1:22">
      <c r="A22" s="31"/>
      <c r="B22" s="32"/>
      <c r="C22" s="33"/>
      <c r="D22" s="32"/>
      <c r="E22" s="32"/>
      <c r="F22" s="31"/>
      <c r="G22" s="31"/>
      <c r="H22" s="34"/>
      <c r="I22" s="35"/>
      <c r="J22" s="31"/>
      <c r="K22" s="32"/>
      <c r="L22" s="32"/>
      <c r="M22" s="31"/>
      <c r="N22" s="31"/>
      <c r="O22" s="31"/>
      <c r="P22" s="36"/>
      <c r="Q22" s="40"/>
      <c r="R22" s="38"/>
    </row>
    <row r="23" s="1" customFormat="1" customHeight="1" spans="1:22">
      <c r="A23" s="31"/>
      <c r="B23" s="32"/>
      <c r="C23" s="33"/>
      <c r="D23" s="32"/>
      <c r="E23" s="32"/>
      <c r="F23" s="31"/>
      <c r="G23" s="31"/>
      <c r="H23" s="34"/>
      <c r="I23" s="35"/>
      <c r="J23" s="31"/>
      <c r="K23" s="32"/>
      <c r="L23" s="32"/>
      <c r="M23" s="31"/>
      <c r="N23" s="31"/>
      <c r="O23" s="31"/>
      <c r="P23" s="36"/>
      <c r="Q23" s="40"/>
      <c r="R23" s="38"/>
    </row>
    <row r="24" s="1" customFormat="1" customHeight="1" spans="1:22">
      <c r="A24" s="31"/>
      <c r="B24" s="32"/>
      <c r="C24" s="33"/>
      <c r="D24" s="32"/>
      <c r="E24" s="32"/>
      <c r="F24" s="31"/>
      <c r="G24" s="31"/>
      <c r="H24" s="34"/>
      <c r="I24" s="35"/>
      <c r="J24" s="31"/>
      <c r="K24" s="32"/>
      <c r="L24" s="32"/>
      <c r="M24" s="31"/>
      <c r="N24" s="31"/>
      <c r="O24" s="31"/>
      <c r="P24" s="36"/>
      <c r="Q24" s="40"/>
      <c r="R24" s="38"/>
    </row>
    <row r="25" s="1" customFormat="1" customHeight="1" spans="1:22">
      <c r="A25" s="31"/>
      <c r="B25" s="32"/>
      <c r="C25" s="33"/>
      <c r="D25" s="32"/>
      <c r="E25" s="32"/>
      <c r="F25" s="31"/>
      <c r="G25" s="31"/>
      <c r="H25" s="34"/>
      <c r="I25" s="35"/>
      <c r="J25" s="31"/>
      <c r="K25" s="32"/>
      <c r="L25" s="32"/>
      <c r="M25" s="31"/>
      <c r="N25" s="31"/>
      <c r="O25" s="31"/>
      <c r="P25" s="36"/>
      <c r="Q25" s="40"/>
      <c r="R25" s="38"/>
    </row>
    <row r="26" s="1" customFormat="1" customHeight="1" spans="1:22">
      <c r="A26" s="31"/>
      <c r="B26" s="32"/>
      <c r="C26" s="33"/>
      <c r="D26" s="32"/>
      <c r="E26" s="32"/>
      <c r="F26" s="31"/>
      <c r="G26" s="31"/>
      <c r="H26" s="34"/>
      <c r="I26" s="35"/>
      <c r="J26" s="31"/>
      <c r="K26" s="32"/>
      <c r="L26" s="32"/>
      <c r="M26" s="31"/>
      <c r="N26" s="31"/>
      <c r="O26" s="31"/>
      <c r="P26" s="36"/>
      <c r="Q26" s="40"/>
      <c r="R26" s="38"/>
    </row>
    <row r="27" s="1" customFormat="1" customHeight="1" spans="1:22">
      <c r="A27" s="31"/>
      <c r="B27" s="32"/>
      <c r="C27" s="33"/>
      <c r="D27" s="32"/>
      <c r="E27" s="32"/>
      <c r="F27" s="31"/>
      <c r="G27" s="31"/>
      <c r="H27" s="34"/>
      <c r="I27" s="35"/>
      <c r="J27" s="31"/>
      <c r="K27" s="32"/>
      <c r="L27" s="32"/>
      <c r="M27" s="31"/>
      <c r="N27" s="31"/>
      <c r="O27" s="31"/>
      <c r="P27" s="36"/>
      <c r="Q27" s="40"/>
      <c r="R27" s="38"/>
    </row>
    <row r="28" s="1" customFormat="1" customHeight="1" spans="1:22">
      <c r="A28" s="31"/>
      <c r="B28" s="32"/>
      <c r="C28" s="33"/>
      <c r="D28" s="32"/>
      <c r="E28" s="32"/>
      <c r="F28" s="31"/>
      <c r="G28" s="31"/>
      <c r="H28" s="34"/>
      <c r="I28" s="35"/>
      <c r="J28" s="31"/>
      <c r="K28" s="32"/>
      <c r="L28" s="32"/>
      <c r="M28" s="31"/>
      <c r="N28" s="31"/>
      <c r="O28" s="31"/>
      <c r="P28" s="36"/>
      <c r="Q28" s="40"/>
      <c r="R28" s="38"/>
    </row>
    <row r="29" s="1" customFormat="1" customHeight="1" spans="1:22">
      <c r="A29" s="31"/>
      <c r="B29" s="32"/>
      <c r="C29" s="33"/>
      <c r="D29" s="32"/>
      <c r="E29" s="32"/>
      <c r="F29" s="31"/>
      <c r="G29" s="31"/>
      <c r="H29" s="34"/>
      <c r="I29" s="35"/>
      <c r="J29" s="31"/>
      <c r="K29" s="32"/>
      <c r="L29" s="32"/>
      <c r="M29" s="31"/>
      <c r="N29" s="31"/>
      <c r="O29" s="31"/>
      <c r="P29" s="36"/>
      <c r="Q29" s="40"/>
      <c r="R29" s="38"/>
    </row>
    <row r="30" s="1" customFormat="1" customHeight="1" spans="1:22">
      <c r="A30" s="31"/>
      <c r="B30" s="32"/>
      <c r="C30" s="33"/>
      <c r="D30" s="32"/>
      <c r="E30" s="32"/>
      <c r="F30" s="31"/>
      <c r="G30" s="31"/>
      <c r="H30" s="34"/>
      <c r="I30" s="35"/>
      <c r="J30" s="31"/>
      <c r="K30" s="32"/>
      <c r="L30" s="32"/>
      <c r="M30" s="31"/>
      <c r="N30" s="31"/>
      <c r="O30" s="31"/>
      <c r="P30" s="36"/>
      <c r="Q30" s="40"/>
      <c r="R30" s="38"/>
    </row>
    <row r="31" s="1" customFormat="1" customHeight="1" spans="1:22">
      <c r="A31" s="31"/>
      <c r="B31" s="32"/>
      <c r="C31" s="33"/>
      <c r="D31" s="32"/>
      <c r="E31" s="32"/>
      <c r="F31" s="31"/>
      <c r="G31" s="31"/>
      <c r="H31" s="34"/>
      <c r="I31" s="35"/>
      <c r="J31" s="31"/>
      <c r="K31" s="32"/>
      <c r="L31" s="32"/>
      <c r="M31" s="31"/>
      <c r="N31" s="31"/>
      <c r="O31" s="31"/>
      <c r="P31" s="36"/>
      <c r="Q31" s="40"/>
      <c r="R31" s="38"/>
    </row>
    <row r="32" s="1" customFormat="1" customHeight="1" spans="1:22">
      <c r="A32" s="31"/>
      <c r="B32" s="32"/>
      <c r="C32" s="33"/>
      <c r="D32" s="32"/>
      <c r="E32" s="32"/>
      <c r="F32" s="31"/>
      <c r="G32" s="31"/>
      <c r="H32" s="34"/>
      <c r="I32" s="35"/>
      <c r="J32" s="31"/>
      <c r="K32" s="32"/>
      <c r="L32" s="32"/>
      <c r="M32" s="31"/>
      <c r="N32" s="31"/>
      <c r="O32" s="31"/>
      <c r="P32" s="36"/>
      <c r="Q32" s="2"/>
    </row>
    <row r="33" s="1" customFormat="1" customHeight="1" spans="1:17">
      <c r="A33" s="31"/>
      <c r="B33" s="32"/>
      <c r="C33" s="33"/>
      <c r="D33" s="32"/>
      <c r="E33" s="32"/>
      <c r="F33" s="31"/>
      <c r="G33" s="31"/>
      <c r="H33" s="34"/>
      <c r="I33" s="35"/>
      <c r="J33" s="31"/>
      <c r="K33" s="32"/>
      <c r="L33" s="32"/>
      <c r="M33" s="31"/>
      <c r="N33" s="31"/>
      <c r="O33" s="31"/>
      <c r="P33" s="36"/>
      <c r="Q33" s="2"/>
    </row>
    <row r="34" s="1" customFormat="1" customHeight="1" spans="1:17">
      <c r="A34" s="31"/>
      <c r="B34" s="32"/>
      <c r="C34" s="33"/>
      <c r="D34" s="32"/>
      <c r="E34" s="32"/>
      <c r="F34" s="31"/>
      <c r="G34" s="31"/>
      <c r="H34" s="34"/>
      <c r="I34" s="35"/>
      <c r="J34" s="31"/>
      <c r="K34" s="32"/>
      <c r="L34" s="32"/>
      <c r="M34" s="31"/>
      <c r="N34" s="31"/>
      <c r="O34" s="31"/>
      <c r="P34" s="36"/>
      <c r="Q34" s="2"/>
    </row>
    <row r="35" s="1" customFormat="1" customHeight="1" spans="1:17">
      <c r="A35" s="31"/>
      <c r="B35" s="32"/>
      <c r="C35" s="33"/>
      <c r="D35" s="32"/>
      <c r="E35" s="32"/>
      <c r="F35" s="31"/>
      <c r="G35" s="31"/>
      <c r="H35" s="34"/>
      <c r="I35" s="35"/>
      <c r="J35" s="31"/>
      <c r="K35" s="32"/>
      <c r="L35" s="32"/>
      <c r="M35" s="31"/>
      <c r="N35" s="31"/>
      <c r="O35" s="31"/>
      <c r="P35" s="36"/>
      <c r="Q35" s="2"/>
    </row>
    <row r="36" s="1" customFormat="1" customHeight="1" spans="1:17">
      <c r="A36" s="31"/>
      <c r="B36" s="32"/>
      <c r="C36" s="33"/>
      <c r="D36" s="32"/>
      <c r="E36" s="32"/>
      <c r="F36" s="31"/>
      <c r="G36" s="31"/>
      <c r="H36" s="34"/>
      <c r="I36" s="35"/>
      <c r="J36" s="31"/>
      <c r="K36" s="32"/>
      <c r="L36" s="32"/>
      <c r="M36" s="31"/>
      <c r="N36" s="31"/>
      <c r="O36" s="31"/>
      <c r="P36" s="36"/>
      <c r="Q36" s="2"/>
    </row>
    <row r="37" s="1" customFormat="1" customHeight="1" spans="1:17">
      <c r="A37" s="31"/>
      <c r="B37" s="32"/>
      <c r="C37" s="33"/>
      <c r="D37" s="32"/>
      <c r="E37" s="32"/>
      <c r="F37" s="31"/>
      <c r="G37" s="31"/>
      <c r="H37" s="34"/>
      <c r="I37" s="35"/>
      <c r="J37" s="31"/>
      <c r="K37" s="32"/>
      <c r="L37" s="32"/>
      <c r="M37" s="31"/>
      <c r="N37" s="31"/>
      <c r="O37" s="31"/>
      <c r="P37" s="36"/>
      <c r="Q37" s="2"/>
    </row>
    <row r="38" s="1" customFormat="1" customHeight="1" spans="1:17">
      <c r="A38" s="31"/>
      <c r="B38" s="32"/>
      <c r="C38" s="33"/>
      <c r="D38" s="32"/>
      <c r="E38" s="32"/>
      <c r="F38" s="31"/>
      <c r="G38" s="31"/>
      <c r="H38" s="34"/>
      <c r="I38" s="35"/>
      <c r="J38" s="31"/>
      <c r="K38" s="32"/>
      <c r="L38" s="32"/>
      <c r="M38" s="31"/>
      <c r="N38" s="31"/>
      <c r="O38" s="31"/>
      <c r="P38" s="36"/>
      <c r="Q38" s="2"/>
    </row>
    <row r="39" s="1" customFormat="1" customHeight="1" spans="1:17">
      <c r="A39" s="31"/>
      <c r="B39" s="32"/>
      <c r="C39" s="33"/>
      <c r="D39" s="32"/>
      <c r="E39" s="32"/>
      <c r="F39" s="31"/>
      <c r="G39" s="31"/>
      <c r="H39" s="34"/>
      <c r="I39" s="35"/>
      <c r="J39" s="31"/>
      <c r="K39" s="32"/>
      <c r="L39" s="32"/>
      <c r="M39" s="31"/>
      <c r="N39" s="31"/>
      <c r="O39" s="31"/>
      <c r="P39" s="36"/>
      <c r="Q39" s="2"/>
    </row>
    <row r="40" s="1" customFormat="1" customHeight="1" spans="1:17">
      <c r="A40" s="31"/>
      <c r="B40" s="32"/>
      <c r="C40" s="33"/>
      <c r="D40" s="32"/>
      <c r="E40" s="32"/>
      <c r="F40" s="31"/>
      <c r="G40" s="31"/>
      <c r="H40" s="34"/>
      <c r="I40" s="35"/>
      <c r="J40" s="31"/>
      <c r="K40" s="32"/>
      <c r="L40" s="32"/>
      <c r="M40" s="31"/>
      <c r="N40" s="31"/>
      <c r="O40" s="31"/>
      <c r="P40" s="36"/>
      <c r="Q40" s="2"/>
    </row>
    <row r="41" s="1" customFormat="1" customHeight="1" spans="1:17">
      <c r="A41" s="31"/>
      <c r="B41" s="32"/>
      <c r="C41" s="33"/>
      <c r="D41" s="32"/>
      <c r="E41" s="32"/>
      <c r="F41" s="31"/>
      <c r="G41" s="31"/>
      <c r="H41" s="34"/>
      <c r="I41" s="35"/>
      <c r="J41" s="31"/>
      <c r="K41" s="32"/>
      <c r="L41" s="32"/>
      <c r="M41" s="31"/>
      <c r="N41" s="31"/>
      <c r="O41" s="31"/>
      <c r="P41" s="36"/>
      <c r="Q41" s="2"/>
    </row>
    <row r="42" s="1" customFormat="1" customHeight="1" spans="1:17">
      <c r="A42" s="31"/>
      <c r="B42" s="32"/>
      <c r="C42" s="33"/>
      <c r="D42" s="32"/>
      <c r="E42" s="32"/>
      <c r="F42" s="31"/>
      <c r="G42" s="31"/>
      <c r="H42" s="34"/>
      <c r="I42" s="35"/>
      <c r="J42" s="31"/>
      <c r="K42" s="32"/>
      <c r="L42" s="32"/>
      <c r="M42" s="31"/>
      <c r="N42" s="31"/>
      <c r="O42" s="31"/>
      <c r="P42" s="36"/>
      <c r="Q42" s="2"/>
    </row>
    <row r="43" s="1" customFormat="1" customHeight="1" spans="1:17">
      <c r="A43" s="31"/>
      <c r="B43" s="32"/>
      <c r="C43" s="33"/>
      <c r="D43" s="32"/>
      <c r="E43" s="32"/>
      <c r="F43" s="31"/>
      <c r="G43" s="31"/>
      <c r="H43" s="34"/>
      <c r="I43" s="35"/>
      <c r="J43" s="31"/>
      <c r="K43" s="32"/>
      <c r="L43" s="32"/>
      <c r="M43" s="31"/>
      <c r="N43" s="31"/>
      <c r="O43" s="31"/>
      <c r="P43" s="36"/>
      <c r="Q43" s="2"/>
    </row>
    <row r="44" s="1" customFormat="1" customHeight="1" spans="1:17">
      <c r="A44" s="31"/>
      <c r="B44" s="32"/>
      <c r="C44" s="33"/>
      <c r="D44" s="32"/>
      <c r="E44" s="32"/>
      <c r="F44" s="31"/>
      <c r="G44" s="31"/>
      <c r="H44" s="34"/>
      <c r="I44" s="35"/>
      <c r="J44" s="31"/>
      <c r="K44" s="32"/>
      <c r="L44" s="32"/>
      <c r="M44" s="31"/>
      <c r="N44" s="31"/>
      <c r="O44" s="31"/>
      <c r="P44" s="36"/>
      <c r="Q44" s="2"/>
    </row>
    <row r="45" s="1" customFormat="1" customHeight="1" spans="1:17">
      <c r="A45" s="31"/>
      <c r="B45" s="32"/>
      <c r="C45" s="33"/>
      <c r="D45" s="32"/>
      <c r="E45" s="32"/>
      <c r="F45" s="31"/>
      <c r="G45" s="31"/>
      <c r="H45" s="34"/>
      <c r="I45" s="35"/>
      <c r="J45" s="31"/>
      <c r="K45" s="32"/>
      <c r="L45" s="32"/>
      <c r="M45" s="31"/>
      <c r="N45" s="31"/>
      <c r="O45" s="31"/>
      <c r="P45" s="36"/>
      <c r="Q45" s="2"/>
    </row>
    <row r="46" s="1" customFormat="1" customHeight="1" spans="1:17">
      <c r="A46" s="31"/>
      <c r="B46" s="32"/>
      <c r="C46" s="33"/>
      <c r="D46" s="32"/>
      <c r="E46" s="32"/>
      <c r="F46" s="31"/>
      <c r="G46" s="31"/>
      <c r="H46" s="34"/>
      <c r="I46" s="35"/>
      <c r="J46" s="31"/>
      <c r="K46" s="32"/>
      <c r="L46" s="32"/>
      <c r="M46" s="31"/>
      <c r="N46" s="31"/>
      <c r="O46" s="31"/>
      <c r="P46" s="36"/>
      <c r="Q46" s="2"/>
    </row>
    <row r="47" s="1" customFormat="1" customHeight="1" spans="1:17">
      <c r="A47" s="31"/>
      <c r="B47" s="32"/>
      <c r="C47" s="33"/>
      <c r="D47" s="32"/>
      <c r="E47" s="32"/>
      <c r="F47" s="31"/>
      <c r="G47" s="31"/>
      <c r="H47" s="34"/>
      <c r="I47" s="35"/>
      <c r="J47" s="31"/>
      <c r="K47" s="32"/>
      <c r="L47" s="32"/>
      <c r="M47" s="31"/>
      <c r="N47" s="31"/>
      <c r="O47" s="31"/>
      <c r="P47" s="36"/>
      <c r="Q47" s="2"/>
    </row>
    <row r="48" s="1" customFormat="1" customHeight="1" spans="1:17">
      <c r="A48" s="31"/>
      <c r="B48" s="32"/>
      <c r="C48" s="33"/>
      <c r="D48" s="32"/>
      <c r="E48" s="32"/>
      <c r="F48" s="31"/>
      <c r="G48" s="31"/>
      <c r="H48" s="34"/>
      <c r="I48" s="35"/>
      <c r="J48" s="31"/>
      <c r="K48" s="32"/>
      <c r="L48" s="32"/>
      <c r="M48" s="31"/>
      <c r="N48" s="31"/>
      <c r="O48" s="31"/>
      <c r="P48" s="36"/>
      <c r="Q48" s="2"/>
    </row>
    <row r="49" s="1" customFormat="1" customHeight="1" spans="1:17">
      <c r="A49" s="31"/>
      <c r="B49" s="32"/>
      <c r="C49" s="33"/>
      <c r="D49" s="32"/>
      <c r="E49" s="32"/>
      <c r="F49" s="31"/>
      <c r="G49" s="31"/>
      <c r="H49" s="34"/>
      <c r="I49" s="35"/>
      <c r="J49" s="31"/>
      <c r="K49" s="32"/>
      <c r="L49" s="32"/>
      <c r="M49" s="31"/>
      <c r="N49" s="31"/>
      <c r="O49" s="31"/>
      <c r="P49" s="36"/>
      <c r="Q49" s="2"/>
    </row>
    <row r="50" s="1" customFormat="1" customHeight="1" spans="1:17">
      <c r="A50" s="31"/>
      <c r="B50" s="32"/>
      <c r="C50" s="33"/>
      <c r="D50" s="32"/>
      <c r="E50" s="32"/>
      <c r="F50" s="31"/>
      <c r="G50" s="31"/>
      <c r="H50" s="34"/>
      <c r="I50" s="35"/>
      <c r="J50" s="31"/>
      <c r="K50" s="32"/>
      <c r="L50" s="32"/>
      <c r="M50" s="31"/>
      <c r="N50" s="31"/>
      <c r="O50" s="31"/>
      <c r="P50" s="36"/>
      <c r="Q50" s="2"/>
    </row>
    <row r="51" s="1" customFormat="1" customHeight="1" spans="1:17">
      <c r="A51" s="31"/>
      <c r="B51" s="32"/>
      <c r="C51" s="33"/>
      <c r="D51" s="32"/>
      <c r="E51" s="32"/>
      <c r="F51" s="31"/>
      <c r="G51" s="31"/>
      <c r="H51" s="34"/>
      <c r="I51" s="35"/>
      <c r="J51" s="31"/>
      <c r="K51" s="32"/>
      <c r="L51" s="32"/>
      <c r="M51" s="31"/>
      <c r="N51" s="31"/>
      <c r="O51" s="31"/>
      <c r="P51" s="36"/>
      <c r="Q51" s="2"/>
    </row>
    <row r="52" s="1" customFormat="1" customHeight="1" spans="1:17">
      <c r="A52" s="31"/>
      <c r="B52" s="32"/>
      <c r="C52" s="33"/>
      <c r="D52" s="32"/>
      <c r="E52" s="32"/>
      <c r="F52" s="31"/>
      <c r="G52" s="31"/>
      <c r="H52" s="34"/>
      <c r="I52" s="35"/>
      <c r="J52" s="31"/>
      <c r="K52" s="32"/>
      <c r="L52" s="32"/>
      <c r="M52" s="31"/>
      <c r="N52" s="31"/>
      <c r="O52" s="31"/>
      <c r="P52" s="36"/>
      <c r="Q52" s="2"/>
    </row>
    <row r="53" s="1" customFormat="1" customHeight="1" spans="1:17">
      <c r="A53" s="31"/>
      <c r="B53" s="32"/>
      <c r="C53" s="33"/>
      <c r="D53" s="32"/>
      <c r="E53" s="32"/>
      <c r="F53" s="31"/>
      <c r="G53" s="31"/>
      <c r="H53" s="34"/>
      <c r="I53" s="35"/>
      <c r="J53" s="31"/>
      <c r="K53" s="32"/>
      <c r="L53" s="32"/>
      <c r="M53" s="31"/>
      <c r="N53" s="31"/>
      <c r="O53" s="31"/>
      <c r="P53" s="36"/>
      <c r="Q53" s="2"/>
    </row>
    <row r="54" s="1" customFormat="1" customHeight="1" spans="1:17">
      <c r="A54" s="31"/>
      <c r="B54" s="32"/>
      <c r="C54" s="33"/>
      <c r="D54" s="32"/>
      <c r="E54" s="32"/>
      <c r="F54" s="31"/>
      <c r="G54" s="31"/>
      <c r="H54" s="34"/>
      <c r="I54" s="35"/>
      <c r="J54" s="31"/>
      <c r="K54" s="32"/>
      <c r="L54" s="32"/>
      <c r="M54" s="31"/>
      <c r="N54" s="31"/>
      <c r="O54" s="31"/>
      <c r="P54" s="36"/>
      <c r="Q54" s="2"/>
    </row>
    <row r="55" s="1" customFormat="1" customHeight="1" spans="1:17">
      <c r="A55" s="31"/>
      <c r="B55" s="32"/>
      <c r="C55" s="33"/>
      <c r="D55" s="32"/>
      <c r="E55" s="32"/>
      <c r="F55" s="31"/>
      <c r="G55" s="31"/>
      <c r="H55" s="34"/>
      <c r="I55" s="35"/>
      <c r="J55" s="31"/>
      <c r="K55" s="32"/>
      <c r="L55" s="32"/>
      <c r="M55" s="31"/>
      <c r="N55" s="31"/>
      <c r="O55" s="31"/>
      <c r="P55" s="36"/>
      <c r="Q55" s="2"/>
    </row>
    <row r="56" s="1" customFormat="1" customHeight="1" spans="1:17">
      <c r="A56" s="31"/>
      <c r="B56" s="32"/>
      <c r="C56" s="33"/>
      <c r="D56" s="32"/>
      <c r="E56" s="32"/>
      <c r="F56" s="31"/>
      <c r="G56" s="31"/>
      <c r="H56" s="34"/>
      <c r="I56" s="35"/>
      <c r="J56" s="31"/>
      <c r="K56" s="32"/>
      <c r="L56" s="32"/>
      <c r="M56" s="31"/>
      <c r="N56" s="31"/>
      <c r="O56" s="31"/>
      <c r="P56" s="36"/>
      <c r="Q56" s="2"/>
    </row>
    <row r="57" s="1" customFormat="1" customHeight="1" spans="1:17">
      <c r="A57" s="31"/>
      <c r="B57" s="32"/>
      <c r="C57" s="33"/>
      <c r="D57" s="32"/>
      <c r="E57" s="32"/>
      <c r="F57" s="31"/>
      <c r="G57" s="31"/>
      <c r="H57" s="34"/>
      <c r="I57" s="35"/>
      <c r="J57" s="31"/>
      <c r="K57" s="32"/>
      <c r="L57" s="32"/>
      <c r="M57" s="31"/>
      <c r="N57" s="31"/>
      <c r="O57" s="31"/>
      <c r="P57" s="36"/>
      <c r="Q57" s="2"/>
    </row>
    <row r="58" s="1" customFormat="1" customHeight="1" spans="1:17">
      <c r="A58" s="31"/>
      <c r="B58" s="32"/>
      <c r="C58" s="33"/>
      <c r="D58" s="32"/>
      <c r="E58" s="32"/>
      <c r="F58" s="31"/>
      <c r="G58" s="31"/>
      <c r="H58" s="34"/>
      <c r="I58" s="35"/>
      <c r="J58" s="31"/>
      <c r="K58" s="32"/>
      <c r="L58" s="32"/>
      <c r="M58" s="31"/>
      <c r="N58" s="31"/>
      <c r="O58" s="31"/>
      <c r="P58" s="36"/>
      <c r="Q58" s="2"/>
    </row>
    <row r="59" s="1" customFormat="1" customHeight="1" spans="1:17">
      <c r="A59" s="31"/>
      <c r="B59" s="32"/>
      <c r="C59" s="33"/>
      <c r="D59" s="32"/>
      <c r="E59" s="32"/>
      <c r="F59" s="31"/>
      <c r="G59" s="31"/>
      <c r="H59" s="34"/>
      <c r="I59" s="35"/>
      <c r="J59" s="31"/>
      <c r="K59" s="32"/>
      <c r="L59" s="32"/>
      <c r="M59" s="31"/>
      <c r="N59" s="31"/>
      <c r="O59" s="31"/>
      <c r="P59" s="36"/>
      <c r="Q59" s="2"/>
    </row>
    <row r="60" s="1" customFormat="1" customHeight="1" spans="1:17">
      <c r="A60" s="31"/>
      <c r="B60" s="32"/>
      <c r="C60" s="33"/>
      <c r="D60" s="32"/>
      <c r="E60" s="32"/>
      <c r="F60" s="31"/>
      <c r="G60" s="31"/>
      <c r="H60" s="34"/>
      <c r="I60" s="35"/>
      <c r="J60" s="31"/>
      <c r="K60" s="32"/>
      <c r="L60" s="32"/>
      <c r="M60" s="31"/>
      <c r="N60" s="31"/>
      <c r="O60" s="31"/>
      <c r="P60" s="36"/>
      <c r="Q60" s="2"/>
    </row>
    <row r="61" s="1" customFormat="1" customHeight="1" spans="1:17">
      <c r="A61" s="31"/>
      <c r="B61" s="32"/>
      <c r="C61" s="33"/>
      <c r="D61" s="32"/>
      <c r="E61" s="32"/>
      <c r="F61" s="31"/>
      <c r="G61" s="31"/>
      <c r="H61" s="34"/>
      <c r="I61" s="35"/>
      <c r="J61" s="31"/>
      <c r="K61" s="32"/>
      <c r="L61" s="32"/>
      <c r="M61" s="31"/>
      <c r="N61" s="31"/>
      <c r="O61" s="31"/>
      <c r="P61" s="36"/>
      <c r="Q61" s="2"/>
    </row>
    <row r="62" s="1" customFormat="1" customHeight="1" spans="1:17">
      <c r="A62" s="31"/>
      <c r="B62" s="32"/>
      <c r="C62" s="33"/>
      <c r="D62" s="32"/>
      <c r="E62" s="32"/>
      <c r="F62" s="31"/>
      <c r="G62" s="31"/>
      <c r="H62" s="34"/>
      <c r="I62" s="35"/>
      <c r="J62" s="31"/>
      <c r="K62" s="32"/>
      <c r="L62" s="32"/>
      <c r="M62" s="31"/>
      <c r="N62" s="31"/>
      <c r="O62" s="31"/>
      <c r="P62" s="36"/>
      <c r="Q62" s="2"/>
    </row>
    <row r="63" s="1" customFormat="1" customHeight="1" spans="1:17">
      <c r="A63" s="31"/>
      <c r="B63" s="32"/>
      <c r="C63" s="33"/>
      <c r="D63" s="32"/>
      <c r="E63" s="32"/>
      <c r="F63" s="31"/>
      <c r="G63" s="31"/>
      <c r="H63" s="34"/>
      <c r="I63" s="35"/>
      <c r="J63" s="31"/>
      <c r="K63" s="32"/>
      <c r="L63" s="32"/>
      <c r="M63" s="31"/>
      <c r="N63" s="31"/>
      <c r="O63" s="31"/>
      <c r="P63" s="36"/>
      <c r="Q63" s="2"/>
    </row>
    <row r="64" s="1" customFormat="1" customHeight="1" spans="1:17">
      <c r="A64" s="31"/>
      <c r="B64" s="32"/>
      <c r="C64" s="33"/>
      <c r="D64" s="32"/>
      <c r="E64" s="32"/>
      <c r="F64" s="31"/>
      <c r="G64" s="31"/>
      <c r="H64" s="34"/>
      <c r="I64" s="35"/>
      <c r="J64" s="31"/>
      <c r="K64" s="32"/>
      <c r="L64" s="32"/>
      <c r="M64" s="31"/>
      <c r="N64" s="31"/>
      <c r="O64" s="31"/>
      <c r="P64" s="36"/>
      <c r="Q64" s="2"/>
    </row>
    <row r="65" s="1" customFormat="1" customHeight="1" spans="1:17">
      <c r="A65" s="31"/>
      <c r="B65" s="32"/>
      <c r="C65" s="33"/>
      <c r="D65" s="32"/>
      <c r="E65" s="32"/>
      <c r="F65" s="31"/>
      <c r="G65" s="31"/>
      <c r="H65" s="34"/>
      <c r="I65" s="35"/>
      <c r="J65" s="31"/>
      <c r="K65" s="32"/>
      <c r="L65" s="32"/>
      <c r="M65" s="31"/>
      <c r="N65" s="31"/>
      <c r="O65" s="31"/>
      <c r="P65" s="36"/>
      <c r="Q65" s="2"/>
    </row>
    <row r="66" s="1" customFormat="1" customHeight="1" spans="1:17">
      <c r="A66" s="31"/>
      <c r="B66" s="32"/>
      <c r="C66" s="33"/>
      <c r="D66" s="32"/>
      <c r="E66" s="32"/>
      <c r="F66" s="31"/>
      <c r="G66" s="31"/>
      <c r="H66" s="34"/>
      <c r="I66" s="35"/>
      <c r="J66" s="31"/>
      <c r="K66" s="32"/>
      <c r="L66" s="32"/>
      <c r="M66" s="31"/>
      <c r="N66" s="31"/>
      <c r="O66" s="31"/>
      <c r="P66" s="36"/>
      <c r="Q66" s="2"/>
    </row>
    <row r="67" s="1" customFormat="1" customHeight="1" spans="1:17">
      <c r="A67" s="31"/>
      <c r="B67" s="32"/>
      <c r="C67" s="33"/>
      <c r="D67" s="32"/>
      <c r="E67" s="32"/>
      <c r="F67" s="31"/>
      <c r="G67" s="31"/>
      <c r="H67" s="34"/>
      <c r="I67" s="35"/>
      <c r="J67" s="31"/>
      <c r="K67" s="32"/>
      <c r="L67" s="32"/>
      <c r="M67" s="31"/>
      <c r="N67" s="31"/>
      <c r="O67" s="31"/>
      <c r="P67" s="36"/>
      <c r="Q67" s="2"/>
    </row>
    <row r="68" s="1" customFormat="1" customHeight="1" spans="1:17">
      <c r="A68" s="31"/>
      <c r="B68" s="32"/>
      <c r="C68" s="33"/>
      <c r="D68" s="32"/>
      <c r="E68" s="32"/>
      <c r="F68" s="31"/>
      <c r="G68" s="31"/>
      <c r="H68" s="34"/>
      <c r="I68" s="35"/>
      <c r="J68" s="31"/>
      <c r="K68" s="32"/>
      <c r="L68" s="32"/>
      <c r="M68" s="31"/>
      <c r="N68" s="31"/>
      <c r="O68" s="31"/>
      <c r="P68" s="36"/>
      <c r="Q68" s="2"/>
    </row>
    <row r="69" s="1" customFormat="1" customHeight="1" spans="1:17">
      <c r="A69" s="31"/>
      <c r="B69" s="32"/>
      <c r="C69" s="33"/>
      <c r="D69" s="32"/>
      <c r="E69" s="32"/>
      <c r="F69" s="31"/>
      <c r="G69" s="31"/>
      <c r="H69" s="34"/>
      <c r="I69" s="35"/>
      <c r="J69" s="31"/>
      <c r="K69" s="32"/>
      <c r="L69" s="32"/>
      <c r="M69" s="31"/>
      <c r="N69" s="31"/>
      <c r="O69" s="31"/>
      <c r="P69" s="36"/>
      <c r="Q69" s="2"/>
    </row>
    <row r="70" s="1" customFormat="1" customHeight="1" spans="1:17">
      <c r="A70" s="31"/>
      <c r="B70" s="32"/>
      <c r="C70" s="33"/>
      <c r="D70" s="32"/>
      <c r="E70" s="32"/>
      <c r="F70" s="31"/>
      <c r="G70" s="31"/>
      <c r="H70" s="34"/>
      <c r="I70" s="35"/>
      <c r="J70" s="31"/>
      <c r="K70" s="32"/>
      <c r="L70" s="32"/>
      <c r="M70" s="31"/>
      <c r="N70" s="31"/>
      <c r="O70" s="31"/>
      <c r="P70" s="36"/>
      <c r="Q70" s="2"/>
    </row>
    <row r="71" s="1" customFormat="1" customHeight="1" spans="1:17">
      <c r="A71" s="31"/>
      <c r="B71" s="32"/>
      <c r="C71" s="33"/>
      <c r="D71" s="32"/>
      <c r="E71" s="32"/>
      <c r="F71" s="31"/>
      <c r="G71" s="31"/>
      <c r="H71" s="34"/>
      <c r="I71" s="35"/>
      <c r="J71" s="31"/>
      <c r="K71" s="32"/>
      <c r="L71" s="32"/>
      <c r="M71" s="31"/>
      <c r="N71" s="31"/>
      <c r="O71" s="31"/>
      <c r="P71" s="36"/>
      <c r="Q71" s="2"/>
    </row>
    <row r="72" s="1" customFormat="1" customHeight="1" spans="1:17">
      <c r="A72" s="31"/>
      <c r="B72" s="32"/>
      <c r="C72" s="33"/>
      <c r="D72" s="32"/>
      <c r="E72" s="32"/>
      <c r="F72" s="31"/>
      <c r="G72" s="31"/>
      <c r="H72" s="34"/>
      <c r="I72" s="35"/>
      <c r="J72" s="31"/>
      <c r="K72" s="32"/>
      <c r="L72" s="32"/>
      <c r="M72" s="31"/>
      <c r="N72" s="31"/>
      <c r="O72" s="31"/>
      <c r="P72" s="36"/>
      <c r="Q72" s="2"/>
    </row>
    <row r="73" s="1" customFormat="1" customHeight="1" spans="1:17">
      <c r="A73" s="31"/>
      <c r="B73" s="32"/>
      <c r="C73" s="33"/>
      <c r="D73" s="32"/>
      <c r="E73" s="32"/>
      <c r="F73" s="31"/>
      <c r="G73" s="31"/>
      <c r="H73" s="34"/>
      <c r="I73" s="35"/>
      <c r="J73" s="31"/>
      <c r="K73" s="32"/>
      <c r="L73" s="32"/>
      <c r="M73" s="31"/>
      <c r="N73" s="31"/>
      <c r="O73" s="31"/>
      <c r="P73" s="36"/>
      <c r="Q73" s="2"/>
    </row>
    <row r="74" s="1" customFormat="1" customHeight="1" spans="1:17">
      <c r="A74" s="31"/>
      <c r="B74" s="32"/>
      <c r="C74" s="33"/>
      <c r="D74" s="32"/>
      <c r="E74" s="32"/>
      <c r="F74" s="31"/>
      <c r="G74" s="31"/>
      <c r="H74" s="34"/>
      <c r="I74" s="35"/>
      <c r="J74" s="31"/>
      <c r="K74" s="32"/>
      <c r="L74" s="32"/>
      <c r="M74" s="31"/>
      <c r="N74" s="31"/>
      <c r="O74" s="31"/>
      <c r="P74" s="36"/>
      <c r="Q74" s="2"/>
    </row>
    <row r="75" s="1" customFormat="1" customHeight="1" spans="1:17">
      <c r="A75" s="31"/>
      <c r="B75" s="32"/>
      <c r="C75" s="33"/>
      <c r="D75" s="32"/>
      <c r="E75" s="32"/>
      <c r="F75" s="31"/>
      <c r="G75" s="31"/>
      <c r="H75" s="34"/>
      <c r="I75" s="35"/>
      <c r="J75" s="31"/>
      <c r="K75" s="32"/>
      <c r="L75" s="32"/>
      <c r="M75" s="31"/>
      <c r="N75" s="31"/>
      <c r="O75" s="31"/>
      <c r="P75" s="36"/>
      <c r="Q75" s="2"/>
    </row>
    <row r="76" s="1" customFormat="1" customHeight="1" spans="1:17">
      <c r="A76" s="31"/>
      <c r="B76" s="32"/>
      <c r="C76" s="33"/>
      <c r="D76" s="32"/>
      <c r="E76" s="32"/>
      <c r="F76" s="31"/>
      <c r="G76" s="31"/>
      <c r="H76" s="34"/>
      <c r="I76" s="35"/>
      <c r="J76" s="31"/>
      <c r="K76" s="32"/>
      <c r="L76" s="32"/>
      <c r="M76" s="31"/>
      <c r="N76" s="31"/>
      <c r="O76" s="31"/>
      <c r="P76" s="36"/>
      <c r="Q76" s="2"/>
    </row>
    <row r="77" s="1" customFormat="1" customHeight="1" spans="1:17">
      <c r="A77" s="31"/>
      <c r="B77" s="32"/>
      <c r="C77" s="33"/>
      <c r="D77" s="32"/>
      <c r="E77" s="32"/>
      <c r="F77" s="31"/>
      <c r="G77" s="31"/>
      <c r="H77" s="34"/>
      <c r="I77" s="35"/>
      <c r="J77" s="31"/>
      <c r="K77" s="32"/>
      <c r="L77" s="32"/>
      <c r="M77" s="31"/>
      <c r="N77" s="31"/>
      <c r="O77" s="31"/>
      <c r="P77" s="36"/>
      <c r="Q77" s="2"/>
    </row>
    <row r="78" s="1" customFormat="1" customHeight="1" spans="1:17">
      <c r="A78" s="31"/>
      <c r="B78" s="32"/>
      <c r="C78" s="33"/>
      <c r="D78" s="32"/>
      <c r="E78" s="32"/>
      <c r="F78" s="31"/>
      <c r="G78" s="31"/>
      <c r="H78" s="34"/>
      <c r="I78" s="35"/>
      <c r="J78" s="31"/>
      <c r="K78" s="32"/>
      <c r="L78" s="32"/>
      <c r="M78" s="31"/>
      <c r="N78" s="31"/>
      <c r="O78" s="31"/>
      <c r="P78" s="36"/>
      <c r="Q78" s="2"/>
    </row>
    <row r="79" s="1" customFormat="1" customHeight="1" spans="1:17">
      <c r="A79" s="31"/>
      <c r="B79" s="32"/>
      <c r="C79" s="33"/>
      <c r="D79" s="32"/>
      <c r="E79" s="32"/>
      <c r="F79" s="31"/>
      <c r="G79" s="31"/>
      <c r="H79" s="34"/>
      <c r="I79" s="35"/>
      <c r="J79" s="31"/>
      <c r="K79" s="32"/>
      <c r="L79" s="32"/>
      <c r="M79" s="31"/>
      <c r="N79" s="31"/>
      <c r="O79" s="31"/>
      <c r="P79" s="36"/>
      <c r="Q79" s="2"/>
    </row>
    <row r="80" s="1" customFormat="1" customHeight="1" spans="1:17">
      <c r="A80" s="31"/>
      <c r="B80" s="32"/>
      <c r="C80" s="33"/>
      <c r="D80" s="32"/>
      <c r="E80" s="32"/>
      <c r="F80" s="31"/>
      <c r="G80" s="31"/>
      <c r="H80" s="34"/>
      <c r="I80" s="35"/>
      <c r="J80" s="31"/>
      <c r="K80" s="32"/>
      <c r="L80" s="32"/>
      <c r="M80" s="31"/>
      <c r="N80" s="31"/>
      <c r="O80" s="31"/>
      <c r="P80" s="36"/>
      <c r="Q80" s="2"/>
    </row>
    <row r="81" s="1" customFormat="1" customHeight="1" spans="1:17">
      <c r="A81" s="31"/>
      <c r="B81" s="32"/>
      <c r="C81" s="33"/>
      <c r="D81" s="32"/>
      <c r="E81" s="32"/>
      <c r="F81" s="31"/>
      <c r="G81" s="31"/>
      <c r="H81" s="34"/>
      <c r="I81" s="35"/>
      <c r="J81" s="31"/>
      <c r="K81" s="32"/>
      <c r="L81" s="32"/>
      <c r="M81" s="31"/>
      <c r="N81" s="31"/>
      <c r="O81" s="31"/>
      <c r="P81" s="36"/>
      <c r="Q81" s="2"/>
    </row>
    <row r="82" s="1" customFormat="1" customHeight="1" spans="1:17">
      <c r="A82" s="31"/>
      <c r="B82" s="32"/>
      <c r="C82" s="33"/>
      <c r="D82" s="32"/>
      <c r="E82" s="32"/>
      <c r="F82" s="31"/>
      <c r="G82" s="31"/>
      <c r="H82" s="34"/>
      <c r="I82" s="35"/>
      <c r="J82" s="31"/>
      <c r="K82" s="32"/>
      <c r="L82" s="32"/>
      <c r="M82" s="31"/>
      <c r="N82" s="31"/>
      <c r="O82" s="31"/>
      <c r="P82" s="36"/>
      <c r="Q82" s="2"/>
    </row>
    <row r="83" s="1" customFormat="1" customHeight="1" spans="1:17">
      <c r="A83" s="31"/>
      <c r="B83" s="32"/>
      <c r="C83" s="33"/>
      <c r="D83" s="32"/>
      <c r="E83" s="32"/>
      <c r="F83" s="31"/>
      <c r="G83" s="31"/>
      <c r="H83" s="34"/>
      <c r="I83" s="35"/>
      <c r="J83" s="31"/>
      <c r="K83" s="32"/>
      <c r="L83" s="32"/>
      <c r="M83" s="31"/>
      <c r="N83" s="31"/>
      <c r="O83" s="31"/>
      <c r="P83" s="36"/>
      <c r="Q83" s="2"/>
    </row>
    <row r="84" s="1" customFormat="1" customHeight="1" spans="1:17">
      <c r="A84" s="31"/>
      <c r="B84" s="32"/>
      <c r="C84" s="33"/>
      <c r="D84" s="32"/>
      <c r="E84" s="32"/>
      <c r="F84" s="31"/>
      <c r="G84" s="31"/>
      <c r="H84" s="34"/>
      <c r="I84" s="35"/>
      <c r="J84" s="31"/>
      <c r="K84" s="32"/>
      <c r="L84" s="32"/>
      <c r="M84" s="31"/>
      <c r="N84" s="31"/>
      <c r="O84" s="31"/>
      <c r="P84" s="36"/>
      <c r="Q84" s="2"/>
    </row>
    <row r="85" s="1" customFormat="1" customHeight="1" spans="1:17">
      <c r="A85" s="31"/>
      <c r="B85" s="32"/>
      <c r="C85" s="33"/>
      <c r="D85" s="32"/>
      <c r="E85" s="32"/>
      <c r="F85" s="31"/>
      <c r="G85" s="31"/>
      <c r="H85" s="34"/>
      <c r="I85" s="35"/>
      <c r="J85" s="31"/>
      <c r="K85" s="32"/>
      <c r="L85" s="32"/>
      <c r="M85" s="31"/>
      <c r="N85" s="31"/>
      <c r="O85" s="31"/>
      <c r="P85" s="36"/>
      <c r="Q85" s="2"/>
    </row>
    <row r="86" s="1" customFormat="1" customHeight="1" spans="1:17">
      <c r="A86" s="31"/>
      <c r="B86" s="32"/>
      <c r="C86" s="33"/>
      <c r="D86" s="32"/>
      <c r="E86" s="32"/>
      <c r="F86" s="31"/>
      <c r="G86" s="31"/>
      <c r="H86" s="34"/>
      <c r="I86" s="35"/>
      <c r="J86" s="31"/>
      <c r="K86" s="32"/>
      <c r="L86" s="32"/>
      <c r="M86" s="31"/>
      <c r="N86" s="31"/>
      <c r="O86" s="31"/>
      <c r="P86" s="36"/>
      <c r="Q86" s="2"/>
    </row>
    <row r="87" s="1" customFormat="1" customHeight="1" spans="1:17">
      <c r="A87" s="31"/>
      <c r="B87" s="32"/>
      <c r="C87" s="33"/>
      <c r="D87" s="32"/>
      <c r="E87" s="32"/>
      <c r="F87" s="31"/>
      <c r="G87" s="31"/>
      <c r="H87" s="34"/>
      <c r="I87" s="35"/>
      <c r="J87" s="31"/>
      <c r="K87" s="32"/>
      <c r="L87" s="32"/>
      <c r="M87" s="31"/>
      <c r="N87" s="31"/>
      <c r="O87" s="31"/>
      <c r="P87" s="36"/>
      <c r="Q87" s="2"/>
    </row>
  </sheetData>
  <mergeCells count="33">
    <mergeCell ref="B1:D1"/>
    <mergeCell ref="F1:H1"/>
    <mergeCell ref="B2:D2"/>
    <mergeCell ref="F2:H2"/>
    <mergeCell ref="B3:D3"/>
    <mergeCell ref="F3:H3"/>
    <mergeCell ref="B4:D4"/>
    <mergeCell ref="F4:H4"/>
    <mergeCell ref="B5:D5"/>
    <mergeCell ref="F5:H5"/>
    <mergeCell ref="B6:D6"/>
    <mergeCell ref="F6:H6"/>
    <mergeCell ref="B7:D7"/>
    <mergeCell ref="F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D15"/>
    <mergeCell ref="F15:H15"/>
    <mergeCell ref="B16:D16"/>
    <mergeCell ref="F16:H16"/>
    <mergeCell ref="B17:D17"/>
  </mergeCells>
  <dataValidations count="2">
    <dataValidation type="list" allowBlank="1" showInputMessage="1" showErrorMessage="1" sqref="B14:D14">
      <formula1>"否,是"</formula1>
    </dataValidation>
    <dataValidation type="list" allowBlank="1" showInputMessage="1" showErrorMessage="1" sqref="B15:D15">
      <formula1>"买单报关,报关退税"</formula1>
    </dataValidation>
  </dataValidations>
  <pageMargins left="0.75" right="0.75" top="1" bottom="1" header="0.5" footer="0.5"/>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S30" sqref="S30"/>
    </sheetView>
  </sheetViews>
  <sheetFormatPr defaultColWidth="9" defaultRowHeight="13.5"/>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5" master="" otherUserPermission="visible"/>
  <rangeList sheetStid="110" master="" otherUserPermission="visible"/>
  <rangeList sheetStid="129" master="" otherUserPermission="visible"/>
  <rangeList sheetStid="132" master="" otherUserPermission="visible"/>
  <rangeList sheetStid="63" master="" otherUserPermission="visible"/>
  <rangeList sheetStid="89" master="" otherUserPermission="visible"/>
  <rangeList sheetStid="109" master="" otherUserPermission="visible"/>
  <rangeList sheetStid="127" master="" otherUserPermission="visible"/>
  <rangeList sheetStid="118" master="" otherUserPermission="visible"/>
  <rangeList sheetStid="134" master="" otherUserPermission="visible"/>
  <rangeList sheetStid="133" master="" otherUserPermission="visible"/>
  <rangeList sheetStid="136" master="" otherUserPermission="visible"/>
  <rangeList sheetStid="115" master="" otherUserPermission="visible"/>
  <rangeList sheetStid="123" master="" otherUserPermission="visible"/>
  <rangeList sheetStid="135" master="" otherUserPermission="visible"/>
  <rangeList sheetStid="108" master="" otherUserPermission="visible"/>
  <rangeList sheetStid="112" master="" otherUserPermission="visible"/>
  <rangeList sheetStid="116" master="" otherUserPermission="visible"/>
  <rangeList sheetStid="93" master="" otherUserPermission="visible"/>
  <rangeList sheetStid="98" master="" otherUserPermission="visible"/>
  <rangeList sheetStid="105" master="" otherUserPermission="visible"/>
  <rangeList sheetStid="52" master="" otherUserPermission="visible"/>
  <rangeList sheetStid="9" master="" otherUserPermission="visible">
    <arrUserId title="区域1" rangeCreator="" othersAccessPermission="edit"/>
  </rangeList>
  <rangeList sheetStid="125" master="" otherUserPermission="visible"/>
  <rangeList sheetStid="126" master="" otherUserPermission="visible"/>
  <rangeList sheetStid="128" master="" otherUserPermission="visible"/>
  <rangeList sheetStid="13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目录</vt:lpstr>
      <vt:lpstr>预配船期表</vt:lpstr>
      <vt:lpstr>卡派FBA价格速查指引</vt:lpstr>
      <vt:lpstr>价格汇总</vt:lpstr>
      <vt:lpstr>美国海派总表</vt:lpstr>
      <vt:lpstr>美森正班卡派</vt:lpstr>
      <vt:lpstr>美森MAX卡派</vt:lpstr>
      <vt:lpstr>EXX卡派</vt:lpstr>
      <vt:lpstr>盐田以星南沙合德限时达卡派</vt:lpstr>
      <vt:lpstr>盐田以星南沙合德DG限时达卡派</vt:lpstr>
      <vt:lpstr>义乌合德以星限时达卡派</vt:lpstr>
      <vt:lpstr>盐田以星南沙合德普提卡派</vt:lpstr>
      <vt:lpstr>普船洛杉矶卡派</vt:lpstr>
      <vt:lpstr>美西特惠卡派</vt:lpstr>
      <vt:lpstr>DG洛杉矶卡派</vt:lpstr>
      <vt:lpstr>普船芝加哥卡派</vt:lpstr>
      <vt:lpstr>普船纽约卡派</vt:lpstr>
      <vt:lpstr>普船萨凡纳卡派</vt:lpstr>
      <vt:lpstr>赔偿说明</vt:lpstr>
      <vt:lpstr>注意事项</vt:lpstr>
      <vt:lpstr>海外仓收费明细</vt:lpstr>
      <vt:lpstr>FBA仓库邮编对照表</vt:lpstr>
      <vt:lpstr>交接清单</vt:lpstr>
      <vt:lpstr>禁运品反倾销及特殊监管产品</vt:lpstr>
      <vt:lpstr>美国对华反倾销产品目录</vt:lpstr>
      <vt:lpstr>下单发票模板</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c:creator>
  <cp:lastModifiedBy>欧耶</cp:lastModifiedBy>
  <dcterms:created xsi:type="dcterms:W3CDTF">2017-11-10T04:55:00Z</dcterms:created>
  <cp:lastPrinted>2018-03-21T05:47:00Z</cp:lastPrinted>
  <dcterms:modified xsi:type="dcterms:W3CDTF">2026-03-31T07:43:55Z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KSOReadingLayout">
    <vt:bool>true</vt:bool>
  </property>
  <property fmtid="{D5CDD505-2E9C-101B-9397-08002B2CF9AE}" pid="4" name="ICV">
    <vt:lpwstr>EAB67FFB7C774B078ABDC1E35E6E0F0E_13</vt:lpwstr>
  </property>
  <property fmtid="{D5CDD505-2E9C-101B-9397-08002B2CF9AE}" pid="5" name="CalculationRule">
    <vt:i4>0</vt:i4>
  </property>
</Properties>
</file>