
<file path=[Content_Types].xml><?xml version="1.0" encoding="utf-8"?>
<Types xmlns="http://schemas.openxmlformats.org/package/2006/content-types">
  <Default Extension="xml" ContentType="application/xml"/>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media/image3.svg" ContentType="image/sv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977" windowHeight="9916" tabRatio="940" activeTab="3"/>
  </bookViews>
  <sheets>
    <sheet name="首页价格目录" sheetId="1" r:id="rId1"/>
    <sheet name="航空表" sheetId="31" r:id="rId2"/>
    <sheet name="通讯录" sheetId="2" r:id="rId3"/>
    <sheet name="空派综合报价" sheetId="33" r:id="rId4"/>
    <sheet name="荣耀超大件空运快递报价" sheetId="43" r:id="rId5"/>
    <sheet name="空卡超大件卡车报价" sheetId="39" r:id="rId6"/>
    <sheet name="UPS-MIA" sheetId="47" state="hidden" r:id="rId7"/>
    <sheet name="GA公布价" sheetId="50" state="hidden" r:id="rId8"/>
    <sheet name="海外仓收费标准" sheetId="26" r:id="rId9"/>
    <sheet name="美国专线--发票样板" sheetId="11" r:id="rId10"/>
    <sheet name="拒收产品目录" sheetId="3" r:id="rId11"/>
    <sheet name="美国反倾销列表" sheetId="12" r:id="rId12"/>
    <sheet name="美国亚马逊仓库地址" sheetId="13" r:id="rId13"/>
    <sheet name="常见带磁货物列表" sheetId="14" r:id="rId14"/>
    <sheet name="Sheet1" sheetId="15" r:id="rId15"/>
  </sheets>
  <externalReferences>
    <externalReference r:id="rId20"/>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<sst xmlns="http://schemas.openxmlformats.org/spreadsheetml/2006/main" count="1789" uniqueCount="1274">
  <si>
    <t>办公地址：深 圳 市 宝 安 区 福 海 街 道 福 永 智 荟 园 A1 栋 203B</t>
  </si>
  <si>
    <t>区域             国家</t>
  </si>
  <si>
    <t>渠道         类型</t>
  </si>
  <si>
    <r>
      <rPr>
        <b/>
        <sz val="14"/>
        <color rgb="FFFFFFFF"/>
        <rFont val="微软雅黑"/>
        <charset val="134"/>
      </rPr>
      <t>渠道名称</t>
    </r>
    <r>
      <rPr>
        <b/>
        <sz val="14"/>
        <color theme="0"/>
        <rFont val="微软雅黑"/>
        <charset val="134"/>
      </rPr>
      <t>【点击进入报价】</t>
    </r>
  </si>
  <si>
    <t>渠道         代码</t>
  </si>
  <si>
    <t>最新动态</t>
  </si>
  <si>
    <t>渠道优势说明</t>
  </si>
  <si>
    <t>生效日期</t>
  </si>
  <si>
    <t>美国</t>
  </si>
  <si>
    <t>空派</t>
  </si>
  <si>
    <r>
      <rPr>
        <u/>
        <sz val="12"/>
        <rFont val="微软雅黑"/>
        <charset val="134"/>
      </rPr>
      <t>美国空派</t>
    </r>
    <r>
      <rPr>
        <u/>
        <sz val="12"/>
        <rFont val="Arial"/>
        <charset val="134"/>
      </rPr>
      <t>-</t>
    </r>
    <r>
      <rPr>
        <sz val="12"/>
        <rFont val="微软雅黑"/>
        <charset val="134"/>
      </rPr>
      <t>快线不带电</t>
    </r>
  </si>
  <si>
    <t>PS09</t>
  </si>
  <si>
    <t>下调</t>
  </si>
  <si>
    <r>
      <rPr>
        <sz val="12"/>
        <rFont val="微软雅黑"/>
        <charset val="134"/>
      </rPr>
      <t>美国空派专线双清包税，每周</t>
    </r>
    <r>
      <rPr>
        <sz val="12"/>
        <rFont val="Arial"/>
        <charset val="134"/>
      </rPr>
      <t>1/3/4/5/6/7</t>
    </r>
    <r>
      <rPr>
        <sz val="12"/>
        <rFont val="微软雅黑"/>
        <charset val="134"/>
      </rPr>
      <t>固定板位，不收带电产品</t>
    </r>
  </si>
  <si>
    <r>
      <rPr>
        <u/>
        <sz val="12"/>
        <rFont val="微软雅黑"/>
        <charset val="134"/>
      </rPr>
      <t>美国空派</t>
    </r>
    <r>
      <rPr>
        <u/>
        <sz val="12"/>
        <rFont val="Arial"/>
        <charset val="134"/>
      </rPr>
      <t>-</t>
    </r>
    <r>
      <rPr>
        <u/>
        <sz val="12"/>
        <rFont val="微软雅黑"/>
        <charset val="134"/>
      </rPr>
      <t>经济线</t>
    </r>
  </si>
  <si>
    <r>
      <rPr>
        <u/>
        <sz val="12"/>
        <rFont val="微软雅黑"/>
        <charset val="134"/>
      </rPr>
      <t>美国空派</t>
    </r>
    <r>
      <rPr>
        <u/>
        <sz val="12"/>
        <rFont val="Arial"/>
        <charset val="134"/>
      </rPr>
      <t>-</t>
    </r>
    <r>
      <rPr>
        <u/>
        <sz val="12"/>
        <rFont val="微软雅黑"/>
        <charset val="134"/>
      </rPr>
      <t>快线带电</t>
    </r>
  </si>
  <si>
    <t>PS08</t>
  </si>
  <si>
    <t>暂停</t>
  </si>
  <si>
    <r>
      <rPr>
        <sz val="12"/>
        <rFont val="微软雅黑"/>
        <charset val="134"/>
      </rPr>
      <t>美国空派专线双清包税，每周</t>
    </r>
    <r>
      <rPr>
        <sz val="12"/>
        <rFont val="Arial"/>
        <charset val="134"/>
      </rPr>
      <t>1/3/4/5/7</t>
    </r>
    <r>
      <rPr>
        <sz val="12"/>
        <rFont val="微软雅黑"/>
        <charset val="134"/>
      </rPr>
      <t>固定板位，收带电产品</t>
    </r>
  </si>
  <si>
    <r>
      <rPr>
        <u/>
        <sz val="12"/>
        <rFont val="微软雅黑"/>
        <charset val="134"/>
      </rPr>
      <t>美国空派</t>
    </r>
    <r>
      <rPr>
        <u/>
        <sz val="12"/>
        <rFont val="Arial"/>
        <charset val="134"/>
      </rPr>
      <t>-</t>
    </r>
    <r>
      <rPr>
        <u/>
        <sz val="12"/>
        <rFont val="微软雅黑"/>
        <charset val="134"/>
      </rPr>
      <t>带电经济线</t>
    </r>
  </si>
  <si>
    <r>
      <rPr>
        <u/>
        <sz val="12"/>
        <rFont val="微软雅黑"/>
        <charset val="134"/>
      </rPr>
      <t>美国空派</t>
    </r>
    <r>
      <rPr>
        <u/>
        <sz val="12"/>
        <rFont val="Arial"/>
        <charset val="134"/>
      </rPr>
      <t>-</t>
    </r>
    <r>
      <rPr>
        <u/>
        <sz val="12"/>
        <rFont val="微软雅黑"/>
        <charset val="134"/>
      </rPr>
      <t>化妆品</t>
    </r>
  </si>
  <si>
    <r>
      <rPr>
        <sz val="12"/>
        <rFont val="微软雅黑"/>
        <charset val="134"/>
      </rPr>
      <t>美国空派专线双清包税，每周</t>
    </r>
    <r>
      <rPr>
        <sz val="12"/>
        <rFont val="Arial"/>
        <charset val="134"/>
      </rPr>
      <t>1/3/4/5/7</t>
    </r>
    <r>
      <rPr>
        <sz val="12"/>
        <rFont val="微软雅黑"/>
        <charset val="134"/>
      </rPr>
      <t>固定板位，收化妆品</t>
    </r>
  </si>
  <si>
    <t>荣耀不带电空派</t>
  </si>
  <si>
    <r>
      <rPr>
        <sz val="12"/>
        <rFont val="Arial"/>
        <charset val="134"/>
      </rPr>
      <t>“</t>
    </r>
    <r>
      <rPr>
        <sz val="12"/>
        <rFont val="微软雅黑"/>
        <charset val="134"/>
      </rPr>
      <t>荣耀空派</t>
    </r>
    <r>
      <rPr>
        <sz val="12"/>
        <rFont val="Arial"/>
        <charset val="134"/>
      </rPr>
      <t>”</t>
    </r>
    <r>
      <rPr>
        <sz val="12"/>
        <rFont val="微软雅黑"/>
        <charset val="134"/>
      </rPr>
      <t>快递渠道：适用</t>
    </r>
    <r>
      <rPr>
        <sz val="12"/>
        <rFont val="Arial"/>
        <charset val="134"/>
      </rPr>
      <t>22-65KG</t>
    </r>
    <r>
      <rPr>
        <sz val="12"/>
        <rFont val="微软雅黑"/>
        <charset val="134"/>
      </rPr>
      <t>，</t>
    </r>
    <r>
      <rPr>
        <sz val="12"/>
        <rFont val="Arial"/>
        <charset val="134"/>
      </rPr>
      <t xml:space="preserve">266-410CM </t>
    </r>
    <r>
      <rPr>
        <sz val="12"/>
        <rFont val="微软雅黑"/>
        <charset val="134"/>
      </rPr>
      <t>超大件</t>
    </r>
  </si>
  <si>
    <t>荣耀带电空派</t>
  </si>
  <si>
    <t>PS02</t>
  </si>
  <si>
    <r>
      <rPr>
        <u/>
        <sz val="12"/>
        <rFont val="微软雅黑"/>
        <charset val="134"/>
      </rPr>
      <t>美国空派</t>
    </r>
    <r>
      <rPr>
        <u/>
        <sz val="12"/>
        <rFont val="Arial"/>
        <charset val="134"/>
      </rPr>
      <t>-</t>
    </r>
    <r>
      <rPr>
        <u/>
        <sz val="12"/>
        <rFont val="微软雅黑"/>
        <charset val="134"/>
      </rPr>
      <t>不带电超大件</t>
    </r>
  </si>
  <si>
    <r>
      <rPr>
        <sz val="12"/>
        <rFont val="微软雅黑"/>
        <charset val="134"/>
      </rPr>
      <t>美国空派专线双清包税，每周</t>
    </r>
    <r>
      <rPr>
        <sz val="12"/>
        <rFont val="Arial"/>
        <charset val="134"/>
      </rPr>
      <t>1/3/4/5/7</t>
    </r>
    <r>
      <rPr>
        <sz val="12"/>
        <rFont val="微软雅黑"/>
        <charset val="134"/>
      </rPr>
      <t>固定板位，收不带电超大件</t>
    </r>
  </si>
  <si>
    <r>
      <rPr>
        <u/>
        <sz val="12"/>
        <rFont val="微软雅黑"/>
        <charset val="134"/>
      </rPr>
      <t>美国空派</t>
    </r>
    <r>
      <rPr>
        <u/>
        <sz val="12"/>
        <rFont val="Arial"/>
        <charset val="134"/>
      </rPr>
      <t>-</t>
    </r>
    <r>
      <rPr>
        <u/>
        <sz val="12"/>
        <rFont val="微软雅黑"/>
        <charset val="134"/>
      </rPr>
      <t>带电超大件</t>
    </r>
  </si>
  <si>
    <r>
      <rPr>
        <sz val="12"/>
        <rFont val="微软雅黑"/>
        <charset val="134"/>
      </rPr>
      <t>美国空派专线双清包税，每周</t>
    </r>
    <r>
      <rPr>
        <sz val="12"/>
        <rFont val="Arial"/>
        <charset val="134"/>
      </rPr>
      <t>1/3/4/5/7</t>
    </r>
    <r>
      <rPr>
        <sz val="12"/>
        <rFont val="微软雅黑"/>
        <charset val="134"/>
      </rPr>
      <t>固定板位，收带电超大件</t>
    </r>
  </si>
  <si>
    <t>收件地址</t>
  </si>
  <si>
    <t>福永</t>
  </si>
  <si>
    <t>深圳市宝安区福海街道凤塘大道群晖工业园G3栋22-5
联系人：吴丰海 电话：15989579106</t>
  </si>
  <si>
    <t>观澜</t>
  </si>
  <si>
    <r>
      <rPr>
        <sz val="14"/>
        <rFont val="微软雅黑"/>
        <charset val="134"/>
      </rPr>
      <t xml:space="preserve">深圳市龙华区环观南路延伸段6号华盛产业园B栋一路行供应链管理（深圳）有限公司
联系人：廖s 电话：13509689855
</t>
    </r>
    <r>
      <rPr>
        <b/>
        <sz val="14"/>
        <color rgb="FFFF0000"/>
        <rFont val="微软雅黑"/>
        <charset val="134"/>
      </rPr>
      <t>注意：送观澜仓需要贴箱唛，18点以后交货需要提前告知客服！</t>
    </r>
  </si>
  <si>
    <t>交货需知：</t>
  </si>
  <si>
    <t>1.按清单填写好内容,注明清楚渠道,单号，件数，产品品名，地址邮编等。</t>
  </si>
  <si>
    <t>2.如有带电池,报关,无发票等请备注清楚；</t>
  </si>
  <si>
    <t>3.并在发票注明当票货的运单号码,未注明造成的失误由贵司承担。</t>
  </si>
  <si>
    <t>4.寄件快递送上门客户:除上面要求外,另注明快递公司名及送货单号；</t>
  </si>
  <si>
    <t>温馨提示：贵司一旦交货，我司则视已阅读并默认以上所有内容!</t>
  </si>
  <si>
    <t>美国海运渠道排期表</t>
  </si>
  <si>
    <t>渠道</t>
  </si>
  <si>
    <t>预计航班安排</t>
  </si>
  <si>
    <t>截单时间</t>
  </si>
  <si>
    <t>备注</t>
  </si>
  <si>
    <t>美国空运</t>
  </si>
  <si>
    <t>美国空派-快线不带电</t>
  </si>
  <si>
    <t>交货后三、四天航班</t>
  </si>
  <si>
    <t>请注意：观澜仓库截单时间：16：00，福永仓库截单时间：18：00！！！</t>
  </si>
  <si>
    <t>节假日或其他临时航班,
请以实际出仓为准</t>
  </si>
  <si>
    <t>美国空派-经济线</t>
  </si>
  <si>
    <t>交货后四、五天航班</t>
  </si>
  <si>
    <t>美国空派-快线带电</t>
  </si>
  <si>
    <t>美国空派-带电经济线</t>
  </si>
  <si>
    <t>美国空派-化妆品</t>
  </si>
  <si>
    <t>美国空派-不带电超大件</t>
  </si>
  <si>
    <t>美国空派-带电超大件</t>
  </si>
  <si>
    <t>机场仓库：深圳市宝安区福海街道凤塘大道群晖工业园G3栋22-5</t>
  </si>
  <si>
    <t>观澜仓库：深圳市龙华区环观南路延伸段6号华盛产业园D栋</t>
  </si>
  <si>
    <t>公司联络通讯录</t>
  </si>
  <si>
    <t>部门</t>
  </si>
  <si>
    <t>职 务</t>
  </si>
  <si>
    <t>姓 名</t>
  </si>
  <si>
    <t>工号</t>
  </si>
  <si>
    <t>手 机</t>
  </si>
  <si>
    <t>QQ</t>
  </si>
  <si>
    <t>邮箱</t>
  </si>
  <si>
    <t>市场部</t>
  </si>
  <si>
    <t>经理</t>
  </si>
  <si>
    <t>黎斌斌</t>
  </si>
  <si>
    <t>PS01</t>
  </si>
  <si>
    <t>wl_jim@163.com</t>
  </si>
  <si>
    <t>客服部</t>
  </si>
  <si>
    <t>主管</t>
  </si>
  <si>
    <t>吴远普</t>
  </si>
  <si>
    <t>passgyl@163.com</t>
  </si>
  <si>
    <t>人事部</t>
  </si>
  <si>
    <t>人事兼助理</t>
  </si>
  <si>
    <t>余艳</t>
  </si>
  <si>
    <t>PS20</t>
  </si>
  <si>
    <t>300838195@qq.com</t>
  </si>
  <si>
    <t>操作部</t>
  </si>
  <si>
    <t>福永操作主管</t>
  </si>
  <si>
    <t>张攀</t>
  </si>
  <si>
    <t>PS04</t>
  </si>
  <si>
    <t>**</t>
  </si>
  <si>
    <t>观澜操作主管</t>
  </si>
  <si>
    <r>
      <rPr>
        <sz val="22"/>
        <rFont val="微软雅黑"/>
        <charset val="134"/>
      </rPr>
      <t xml:space="preserve">                       以下空运渠道目的机场：LAX/SFO/ORD/JFK；所有渠道后端随机选派,指定派送尾端+1元/KG           
  </t>
    </r>
    <r>
      <rPr>
        <sz val="22"/>
        <color rgb="FFFF0000"/>
        <rFont val="微软雅黑"/>
        <charset val="134"/>
      </rPr>
      <t>(以下所有空派渠道超时赔偿:付款次日起算)</t>
    </r>
  </si>
  <si>
    <t>美国分区邮编</t>
  </si>
  <si>
    <t>销售产品</t>
  </si>
  <si>
    <t>12KG+</t>
  </si>
  <si>
    <t>21KG+</t>
  </si>
  <si>
    <t>71KG+</t>
  </si>
  <si>
    <t>101Kg+</t>
  </si>
  <si>
    <t>时效保障</t>
  </si>
  <si>
    <r>
      <rPr>
        <sz val="12"/>
        <rFont val="微软雅黑"/>
        <charset val="134"/>
      </rPr>
      <t xml:space="preserve">美西：80000-99999
</t>
    </r>
    <r>
      <rPr>
        <b/>
        <sz val="12"/>
        <color rgb="FFFF0000"/>
        <rFont val="微软雅黑"/>
        <charset val="134"/>
      </rPr>
      <t>(97/98/99开头邮编按美中结算）</t>
    </r>
  </si>
  <si>
    <t>美国空派-快线不带电
材积除6000     分泡50%</t>
  </si>
  <si>
    <t>当天截单时间前到仓货件，次日开始算，3-5工作日提取，超5个工作日未提取退1RMB/KG/工作日，运费赔完为止，提取当天不算(海关查验、航司拆板、UPS/FedEx罢工、爆仓、极端天气、节假日等影响因素除外)</t>
  </si>
  <si>
    <r>
      <rPr>
        <sz val="12"/>
        <rFont val="微软雅黑"/>
        <charset val="134"/>
      </rPr>
      <t xml:space="preserve">不接带电产品
带磁+480RMB/票（弱磁+1）
单独报关件350/票
</t>
    </r>
    <r>
      <rPr>
        <b/>
        <sz val="12"/>
        <rFont val="微软雅黑"/>
        <charset val="134"/>
      </rPr>
      <t>比重1：334以上货型表价-1
比重1：100以内货型表价-3</t>
    </r>
    <r>
      <rPr>
        <sz val="12"/>
        <rFont val="微软雅黑"/>
        <charset val="134"/>
      </rPr>
      <t xml:space="preserve">
</t>
    </r>
  </si>
  <si>
    <r>
      <rPr>
        <sz val="12"/>
        <rFont val="微软雅黑"/>
        <charset val="134"/>
      </rPr>
      <t xml:space="preserve">美中：40000-79999
</t>
    </r>
    <r>
      <rPr>
        <b/>
        <sz val="12"/>
        <color rgb="FFFF0000"/>
        <rFont val="微软雅黑"/>
        <charset val="134"/>
      </rPr>
      <t>(97/98/99开头邮编）</t>
    </r>
  </si>
  <si>
    <t>美东：00000-39999</t>
  </si>
  <si>
    <t>美国空派-经济线
材积除6000     分泡50%</t>
  </si>
  <si>
    <t>当天截单时间前到仓货件，次日开始算，6-8工作日提取，超10个工作日未提取退1RMB/KG/工作日，运费赔完为止，提取当天不算(海关查验、航司拆板、UPS/FedEx罢工、爆仓、极端天气、节假日等影响因素除外)</t>
  </si>
  <si>
    <t>美国空派-快线带电
材积除6000    分泡50%</t>
  </si>
  <si>
    <t>/</t>
  </si>
  <si>
    <t>当天截单时间前到仓货件，次日开始算，4-6工作日提取，超6个工作日未提取退1RMB/KG/工作日，运费赔完为止，提取当天不算(海关查验、航司拆板、UPS/FedEx罢工、爆仓、极端天气、节假日等影响因素除外)</t>
  </si>
  <si>
    <t xml:space="preserve">可接带电产品
单独报关件350/票
特别提醒：带电池需要备注是锂电池还是纽扣电池 </t>
  </si>
  <si>
    <t>美国空派-带电经济线
材积除6000    分泡50%</t>
  </si>
  <si>
    <t>美国空派-化妆品
材积除6000     分泡50%</t>
  </si>
  <si>
    <t>可接化妆品产品
不接报关件</t>
  </si>
  <si>
    <t>单件计费重量不足12KG，需按12KG/件计费，单箱实重不超22.5KG,超出加200RMB/件</t>
  </si>
  <si>
    <t>郑重声明：出货前需按我司提供发票箱单模板，如实申报货物信息（诸如：电池、电机、压缩机、磁性、膏体、粉末、颗粒、液体、气体、未明化工品等敏感货物）方可走货，不得谎报漏报，一旦查出，罚款5000RMB；若我司查货发现有侵权产品或危险品 罚款10000-20000RMB</t>
  </si>
  <si>
    <t>一、产品附加费，以下附加费需叠加</t>
  </si>
  <si>
    <t>1.单独报关件350/票 ，一达通报关不提供海运提单,如产生续页，每页50RMB，单票超过5个品名加收:30RMB/品名,</t>
  </si>
  <si>
    <t>2.单边长超过120CM或第二长边超过75CM或周长(1长+2宽+2高)超过260CM，不大于300CM加收180RMB/件，大于301CM不接，非纸箱包装不接受（超过尺寸的可参考荣耀渠道）</t>
  </si>
  <si>
    <t>3.商业地址+1/KG，私人地址+25/件。偏远地址加2RMB/KG，超级偏远+4RMB/KG，极偏远+6RMB/KG，如后续账单下来有偏远附加费，则我司将补收此费用，12个月内通知有效。非亚马逊地址出货前，请先查询派送地址有无服务</t>
  </si>
  <si>
    <t>4.所有木制品出口都需要商检，只能由报关行做，商检统一按800/票</t>
  </si>
  <si>
    <t>5.关税30%以上、纺织品、鞋子、包包、玩具+2，如申报价值超过30USD/KG加收2元/KG，超过60USD/KG加3元/KG,超过80USD/KG产品单询，高货值建议客户自行购买保险，如有丢件,默认按照报价表赔偿</t>
  </si>
  <si>
    <t>6.UPS退回费用：如因亚马逊、收件人、发货人过错造成的UPS/FEDEX退件，收取40USD/件操作费（包括退回运费、收货、理货清点、暂存10天），如需重新派送，派送费实报实销。</t>
  </si>
  <si>
    <t>7.以下产品需确认：纯木制品、潜水面具、机顶盒等带HDMI的产品、纸板（或其它纸制品）、浴盐、电机线、气压计、制氧机、折射仪、汽车配件、钢钎、钢丝、过滤器、头灯、充气机、折射仪等仪器、不规则产品、刀具、笔类、美容仪器、硒鼓、墨盒、需FDA认证的产品等</t>
  </si>
  <si>
    <t>二、以下产品不接:</t>
  </si>
  <si>
    <t>任何仿牌、液体、粉末、膏状、鞋类、食品、药品、假发、动物皮毛、易燃易爆、成人用品、机械手表、眼镜（除3D眼镜、潜水镜）、毛绒玩具、 6岁以下玩具、电子烟、化妆品、彩印、温度计、体温计、血压计、安全锤、手推车、钢钉 、激光灯、铅笔、折叠型金属桌椅、移动电源，汽车轮胎产品、婴儿产品、手机、原木制品、管制刀具、蜡烛、书籍、古董、货币、武器弹药、美国反倾销产品、以及需要各种认证的产品（如蓝牙、HDMI、FDA、FCC、Lacey Act、DOT等认证），发现冲货者罚款2000RMB。不接外箱太软，容易变形包装！</t>
  </si>
  <si>
    <t>三、注意事项：</t>
  </si>
  <si>
    <t>1、出货需提供完整的货物信息，包括品名，材质，用途，型号，HS编码，申报价值，品牌等；若因客户申报不符，造成一切责任由交货方承担。</t>
  </si>
  <si>
    <t>2、温馨提示：为保证货物顺利清关，出货需每个产品贴"MADE IN CHINA"的标签，如产品未贴有中国制造的标签导致货物被扣，我司概不负责！FBA货物，
为确保FBA正常扫描，外箱的每一箱最少需要贴2张FBA条码（前后各一张）请配合！</t>
  </si>
  <si>
    <t>3、Amazon货，如单件超过15公斤，请按照Amazon FBA的规定贴上“Team Lift"标签；如亚马逊仓库因包装问题或其他问题产生拒收等原因，我司不承担任何责任，我司不再对包装做任何审核。</t>
  </si>
  <si>
    <t>4、费说明：打单后须退件加收RMB100/票，如已装柜不接受退件！不接受改地址！</t>
  </si>
  <si>
    <t>5、请务必提供FBA SHIPMENT ID和Amazon REFERENCE ID进行预约入仓，如遇提供导致时效延误我司概不负责</t>
  </si>
  <si>
    <t>6、如国外通知扣货或者修改派送地址我司收取USD 300/票操作费，实际费用实报实销。</t>
  </si>
  <si>
    <t>7.（1）因收件方地址/邮编错误，导致货物退回发件方造成的货物损失，我司不承担任何责任  
（2）因收件方地址/邮编错误，导致在派送途中UPS/FEDEX自动更正地址/邮编产生的费用，由发货人承担，我司不承担任何责任。  
（3）在UPS派送途中要求拦截货物更改派送地址所造成的货物丢失或损坏，我司不承担任何责任，并将正常收取该操作所产生的的费用。  
（4）特别申明：所有国外拦截，暂扣，改派地址业务，我司不承诺百分百成功，我司不承担任何赔偿责任！  
（5）货件退回我司美国仓库可免费存储货物7天，超出7天按报价表海外仓仓储收费标准计费。退回货物需重新派送的，费用参考我司海外仓服务报价。</t>
  </si>
  <si>
    <t>四，赔偿条款：</t>
  </si>
  <si>
    <t>索赔流程：</t>
  </si>
  <si>
    <t>如有货件部分UPS未提取或未签收，请客户在7-10个工作日内查询FBA后台是否上架，10个工作日后提供货物未上架后台截图(需带有电脑屏幕右下角当下真实时间)至我司方可进入索赔程序，如递送后超过20工作日未开启索赔程序的，不予受理，</t>
  </si>
  <si>
    <t>赔偿方案:</t>
  </si>
  <si>
    <t>1：在提取前货物丢失或者扣关(如因发件人低申报、品名申报不符、产品涉及反倾销、认证、侵权等情况，责任由发件人承担)， 按采购价值赔偿，空派最高不超40RMB/KG赔偿，不退运费。海派最高不超20RMB/KG赔偿，不退运费。</t>
  </si>
  <si>
    <t>2.已交UPS/FEDEX后(包括整票货件偶尔未扫描货件，此为UPS/FEDEX常见漏扫现象我司不负责)丢失的不退运费,按UPS/FEDEX赔偿方案做申报价值赔偿最高不超100USD/票</t>
  </si>
  <si>
    <t>漏报关赔偿：</t>
  </si>
  <si>
    <t>3倍报关费，请慎接报关件，不接受赔偿标准的可以不发！</t>
  </si>
  <si>
    <t>五、免责特别声明：以下情况不接受任何赔偿：</t>
  </si>
  <si>
    <t>1）如果侵权问题、反倾销产品以及违反美国法律法规等，我司不承担任何责任并且保留追究发件人因此带来对我司的损失赔偿：
2）如果货物未按实际申报，侵犯知识产权，当地禁止进口等原因导致海关扣货，此情况不在赔偿范围内，我司只是协助发件人提供清关文件：
3）如因货物本身质量问题以及涉及到相关具体的认证问题等，被海关查扣的均不在受理赔偿：
4）如遇战争，自然灾害等不可抗拒因素导致货物破损或灭失，不受理赔偿：
5）在运输过程中如果遇到清关延误等引起的总体时效延误，均不受理赔偿；
6）产品数量缺少，损坏，产品包装盒破损不受理赔偿，易碎品不接受任何损失赔偿；</t>
  </si>
  <si>
    <t>特别提示：如客户一旦同意接受我公司服务，即认为客户已详细阅读过此价格表备注内容以及我司托运条款，并接受各条款的约束。</t>
  </si>
  <si>
    <t xml:space="preserve">     荣耀超大件空运快递派送服务</t>
  </si>
  <si>
    <t xml:space="preserve">目的机场：LAX/SFO/ORD/JFK </t>
  </si>
  <si>
    <t>服务区域</t>
  </si>
  <si>
    <t>荣耀不带电空派（材积/6000）分泡50%</t>
  </si>
  <si>
    <r>
      <rPr>
        <sz val="12"/>
        <rFont val="微软雅黑"/>
        <charset val="134"/>
      </rPr>
      <t xml:space="preserve">适用22-65KG重量段
带磁+480RMB/票（弱磁+1）
</t>
    </r>
    <r>
      <rPr>
        <b/>
        <sz val="12"/>
        <rFont val="微软雅黑"/>
        <charset val="134"/>
      </rPr>
      <t>围长超260CM不超320CM加收180元/件</t>
    </r>
    <r>
      <rPr>
        <sz val="12"/>
        <rFont val="微软雅黑"/>
        <charset val="134"/>
      </rPr>
      <t xml:space="preserve">
围长超321CM不超410CM单独咨询</t>
    </r>
  </si>
  <si>
    <r>
      <rPr>
        <b/>
        <sz val="14"/>
        <color rgb="FF343537"/>
        <rFont val="微软雅黑"/>
        <charset val="134"/>
      </rPr>
      <t xml:space="preserve">Amazon拒收FEDEX仓库点更新，不接以下地址： </t>
    </r>
    <r>
      <rPr>
        <sz val="14"/>
        <color rgb="FF343537"/>
        <rFont val="微软雅黑"/>
        <charset val="134"/>
      </rPr>
      <t xml:space="preserve">
1. MEM1、QXY9、RDG1、SBD3，MGE1、MQJ1、 CLT6、XLX6、MIT2、GYR1 拒收仓库.
2.BNA2/FTW9/SMF6/BFL2/ABE4/LAS1/TEB6/FWA4/BFI3/MIT2最近有拒收情况出现.
3.OLM1和 SBD3 亚马逊拒收FEDEX和UPS派送入仓
</t>
    </r>
  </si>
  <si>
    <t>时效</t>
  </si>
  <si>
    <t>无赔付，交货后6-8个工作日提取（不含国内外查验，航班延误）</t>
  </si>
  <si>
    <t>荣耀带电空派（材积/6000）分泡50%</t>
  </si>
  <si>
    <r>
      <rPr>
        <sz val="12"/>
        <rFont val="微软雅黑"/>
        <charset val="134"/>
      </rPr>
      <t xml:space="preserve">适用22-65KG重量段
</t>
    </r>
    <r>
      <rPr>
        <b/>
        <sz val="12"/>
        <rFont val="微软雅黑"/>
        <charset val="134"/>
      </rPr>
      <t>围长超260CM不超320CM加收180元/件</t>
    </r>
    <r>
      <rPr>
        <sz val="12"/>
        <rFont val="微软雅黑"/>
        <charset val="134"/>
      </rPr>
      <t xml:space="preserve">
围长超321CM不超410CM单独咨询</t>
    </r>
  </si>
  <si>
    <t>1.单件实重必须大于22KG且小于65KG，单件围长需大于260CM且小于410CM，单件第一边长不可超过240CM.超过上述条件可选择超大件卡车渠道</t>
  </si>
  <si>
    <t>2.私人住宅+25/件；可接木箱、航空箱、不规则的异形包装（不能是木架包装），附加费+25/件</t>
  </si>
  <si>
    <t>3.单独报关件350/票 ，一达通报关不提供海运提单,如产生续页，每页50RMB，单票超过5个品名加收:30RMB/品名,</t>
  </si>
  <si>
    <t>4.关税30%以上、纺织品、鞋子、包包、玩具+2，如申报价值超过30USD/KG加收2元/KG，超过60USD/KG加3元/KG,超过80USD/KG产品单询，高货值建议客户自行购买保险，如有丢件,默认按照报价表赔偿</t>
  </si>
  <si>
    <t>5.以下产品需确认：纯木制品、潜水面具、机顶盒等带HDMI的产品、纸板（或其它纸制品）、浴盐、电机线、气压计、制氧机、折射仪、汽车配件、钢钎、钢丝、过滤器、头灯、充气机、折射仪等仪器、不规则产品、刀具、笔类、美容仪器、硒鼓、墨盒、需FDA认证的产品等</t>
  </si>
  <si>
    <t>7、（1）因收件方地址/邮编错误，导致货物退回发件方造成的货物损失，我司不承担任何责任  
（2）因收件方地址/邮编错误，导致在派送途中UPS/FEDEX自动更正地址/邮编产生的费用，由发货人承担，我司不承担任何责任。  
（3）在UPS派送途中要求拦截货物更改派送地址所造成的货物丢失或损坏，我司不承担任何责任，并将正常收取该操作所产生的的费用。  
（4）特别申明：所有国外拦截，暂扣，改派地址业务，我司不承诺百分百成功，我司不承担任何赔偿责任！  
（5）货件退回我司美国仓库可免费存储货物7天，超出7天按报价表海外仓仓储收费标准计费。退回货物需重新派送的，费用参考我司海外仓服务报价。</t>
  </si>
  <si>
    <t>以下空运所有渠道后端全美卡车派送</t>
  </si>
  <si>
    <t>请注意：观澜仓库截单时间：16：00，福永仓库截单时间：18：00！！！     超大件渠道不分泡！</t>
  </si>
  <si>
    <t>目的机场：LAX/SFO/ORD/JFK</t>
  </si>
  <si>
    <t>101KG+</t>
  </si>
  <si>
    <t>301KG+</t>
  </si>
  <si>
    <t>501KG+</t>
  </si>
  <si>
    <t>1001Kg+</t>
  </si>
  <si>
    <t>操作费</t>
  </si>
  <si>
    <t>美西（90-92邮编）</t>
  </si>
  <si>
    <t>美国空派-
不带电超大件
不分泡</t>
  </si>
  <si>
    <t>500/票</t>
  </si>
  <si>
    <r>
      <rPr>
        <sz val="10"/>
        <color rgb="FF000000"/>
        <rFont val="微软雅黑"/>
        <charset val="134"/>
      </rPr>
      <t>当天截单时间前到仓货件,次日开始算</t>
    </r>
    <r>
      <rPr>
        <sz val="10"/>
        <color rgb="FF000000"/>
        <rFont val="微软雅黑"/>
        <charset val="134"/>
      </rPr>
      <t xml:space="preserve">
</t>
    </r>
    <r>
      <rPr>
        <sz val="10"/>
        <color rgb="FF000000"/>
        <rFont val="微软雅黑"/>
        <charset val="134"/>
      </rPr>
      <t>6-8工作日提取</t>
    </r>
    <r>
      <rPr>
        <sz val="10"/>
        <color rgb="FF000000"/>
        <rFont val="微软雅黑"/>
        <charset val="134"/>
      </rPr>
      <t xml:space="preserve">
</t>
    </r>
    <r>
      <rPr>
        <sz val="10"/>
        <color rgb="FF000000"/>
        <rFont val="微软雅黑"/>
        <charset val="134"/>
      </rPr>
      <t>（国内外查验，航班延误）请客户配合处理,出货前需按我司提供发票箱单模板，如实申报货物信息方可走货，不得谎报漏报品名，一旦查出，罚款5000RMB</t>
    </r>
  </si>
  <si>
    <r>
      <rPr>
        <sz val="18"/>
        <color rgb="FF000000"/>
        <rFont val="微软雅黑"/>
        <charset val="134"/>
      </rPr>
      <t>全美卡车派送</t>
    </r>
    <r>
      <rPr>
        <sz val="18"/>
        <color rgb="FF000000"/>
        <rFont val="微软雅黑"/>
        <charset val="134"/>
      </rPr>
      <t xml:space="preserve">
</t>
    </r>
    <r>
      <rPr>
        <sz val="18"/>
        <color rgb="FF000000"/>
        <rFont val="微软雅黑"/>
        <charset val="134"/>
      </rPr>
      <t>不接带电产品</t>
    </r>
    <r>
      <rPr>
        <sz val="18"/>
        <color rgb="FF000000"/>
        <rFont val="微软雅黑"/>
        <charset val="134"/>
      </rPr>
      <t xml:space="preserve">
</t>
    </r>
    <r>
      <rPr>
        <sz val="10"/>
        <color rgb="FF000000"/>
        <rFont val="微软雅黑"/>
        <charset val="134"/>
      </rPr>
      <t>带磁+480RMB/票（弱磁+1）</t>
    </r>
    <r>
      <rPr>
        <sz val="10"/>
        <color rgb="FF000000"/>
        <rFont val="微软雅黑"/>
        <charset val="134"/>
      </rPr>
      <t xml:space="preserve">
</t>
    </r>
    <r>
      <rPr>
        <sz val="10"/>
        <color rgb="FF000000"/>
        <rFont val="微软雅黑"/>
        <charset val="134"/>
      </rPr>
      <t>单独报关件350/票</t>
    </r>
    <r>
      <rPr>
        <sz val="10"/>
        <color rgb="FF000000"/>
        <rFont val="微软雅黑"/>
        <charset val="134"/>
      </rPr>
      <t xml:space="preserve">
</t>
    </r>
    <r>
      <rPr>
        <b/>
        <sz val="14"/>
        <color rgb="FF000000"/>
        <rFont val="微软雅黑"/>
        <charset val="134"/>
      </rPr>
      <t xml:space="preserve">  </t>
    </r>
    <r>
      <rPr>
        <b/>
        <sz val="14"/>
        <color rgb="FF000000"/>
        <rFont val="微软雅黑"/>
        <charset val="134"/>
      </rPr>
      <t>货件自行购买保险，破损不赔</t>
    </r>
    <r>
      <rPr>
        <sz val="10"/>
        <color rgb="FF000000"/>
        <rFont val="微软雅黑"/>
        <charset val="134"/>
      </rPr>
      <t xml:space="preserve">
</t>
    </r>
  </si>
  <si>
    <r>
      <rPr>
        <sz val="10"/>
        <color rgb="FF000000"/>
        <rFont val="微软雅黑"/>
        <charset val="134"/>
      </rPr>
      <t>美西：80000-99999</t>
    </r>
    <r>
      <rPr>
        <sz val="10"/>
        <color rgb="FF000000"/>
        <rFont val="微软雅黑"/>
        <charset val="134"/>
      </rPr>
      <t xml:space="preserve">
</t>
    </r>
    <r>
      <rPr>
        <b/>
        <sz val="10"/>
        <color rgb="FFFF0000"/>
        <rFont val="微软雅黑"/>
        <charset val="134"/>
      </rPr>
      <t>(97/98/99开头邮编按美中结算）</t>
    </r>
  </si>
  <si>
    <r>
      <rPr>
        <sz val="10"/>
        <color rgb="FF000000"/>
        <rFont val="微软雅黑"/>
        <charset val="134"/>
      </rPr>
      <t>美中：40000-79999</t>
    </r>
    <r>
      <rPr>
        <sz val="10"/>
        <color rgb="FF000000"/>
        <rFont val="微软雅黑"/>
        <charset val="134"/>
      </rPr>
      <t xml:space="preserve">
</t>
    </r>
    <r>
      <rPr>
        <b/>
        <sz val="10"/>
        <color rgb="FFFF0000"/>
        <rFont val="微软雅黑"/>
        <charset val="134"/>
      </rPr>
      <t>(97/98/99开头邮编）</t>
    </r>
  </si>
  <si>
    <r>
      <rPr>
        <sz val="14"/>
        <color rgb="FF000000"/>
        <rFont val="微软雅黑"/>
        <charset val="134"/>
      </rPr>
      <t>美国空派-</t>
    </r>
    <r>
      <rPr>
        <sz val="14"/>
        <color rgb="FF000000"/>
        <rFont val="微软雅黑"/>
        <charset val="134"/>
      </rPr>
      <t xml:space="preserve">
</t>
    </r>
    <r>
      <rPr>
        <sz val="14"/>
        <color rgb="FF000000"/>
        <rFont val="微软雅黑"/>
        <charset val="134"/>
      </rPr>
      <t>带电超大件</t>
    </r>
    <r>
      <rPr>
        <sz val="14"/>
        <color rgb="FF000000"/>
        <rFont val="微软雅黑"/>
        <charset val="134"/>
      </rPr>
      <t xml:space="preserve">
</t>
    </r>
    <r>
      <rPr>
        <sz val="14"/>
        <color rgb="FF000000"/>
        <rFont val="微软雅黑"/>
        <charset val="134"/>
      </rPr>
      <t>不分泡</t>
    </r>
  </si>
  <si>
    <t>当天截单时间前到仓货件,次日开始算
6-8工作日提取
（国内外查验，航班延误）请客户配合处理,出货前需按我司提供发票箱单模板，如实申报货物信息方可走货，不得谎报漏报品名，一旦查出，罚款5000RMB</t>
  </si>
  <si>
    <r>
      <rPr>
        <sz val="18"/>
        <color rgb="FF000000"/>
        <rFont val="微软雅黑"/>
        <charset val="134"/>
      </rPr>
      <t>全美卡车派送</t>
    </r>
    <r>
      <rPr>
        <sz val="18"/>
        <color rgb="FF000000"/>
        <rFont val="微软雅黑"/>
        <charset val="134"/>
      </rPr>
      <t xml:space="preserve">
</t>
    </r>
    <r>
      <rPr>
        <sz val="18"/>
        <color rgb="FF000000"/>
        <rFont val="微软雅黑"/>
        <charset val="134"/>
      </rPr>
      <t>可接带电产品</t>
    </r>
    <r>
      <rPr>
        <sz val="10"/>
        <color rgb="FF000000"/>
        <rFont val="微软雅黑"/>
        <charset val="134"/>
      </rPr>
      <t xml:space="preserve">
</t>
    </r>
    <r>
      <rPr>
        <sz val="10"/>
        <color rgb="FF000000"/>
        <rFont val="微软雅黑"/>
        <charset val="134"/>
      </rPr>
      <t>单独报关件350/票</t>
    </r>
    <r>
      <rPr>
        <sz val="10"/>
        <color rgb="FF000000"/>
        <rFont val="微软雅黑"/>
        <charset val="134"/>
      </rPr>
      <t xml:space="preserve">
</t>
    </r>
    <r>
      <rPr>
        <b/>
        <sz val="14"/>
        <color rgb="FF000000"/>
        <rFont val="微软雅黑"/>
        <charset val="134"/>
      </rPr>
      <t>货件自行购买保险，破损不赔</t>
    </r>
  </si>
  <si>
    <t>带电托盘货物， 整托里面的散件都要贴上电池标签，电池标签电池标上需要有电话号码，不接受手写。如到到仓发现未按规定操作贴标，需重新操作产生的费用实报实销，可能会影响出货哦</t>
  </si>
  <si>
    <t>一、发货注意事项</t>
  </si>
  <si>
    <r>
      <rPr>
        <sz val="11"/>
        <rFont val="微软雅黑"/>
        <charset val="134"/>
      </rPr>
      <t>1.如已装走，不接受退件、到港前如需更改收件地址：RMB4/KG,最低消费RMB700/票，只接受同服务区域更改地址，不同服务区域不接受更改地址。提柜回仓后不接受扣货，如需扣货请提前通知。如因不可控紧急因素必须跨区改地址请与我司客服主管协商。</t>
    </r>
    <r>
      <rPr>
        <b/>
        <sz val="11"/>
        <rFont val="微软雅黑"/>
        <charset val="134"/>
      </rPr>
      <t>更改目的地地址时间较久，时长7-20天。</t>
    </r>
    <r>
      <rPr>
        <sz val="11"/>
        <rFont val="微软雅黑"/>
        <charset val="134"/>
      </rPr>
      <t xml:space="preserve">
2.目的地放行前不提供任何提单相关资料
3.超过40kg或最长边超150cm的货物需打木架木箱，木箱木架要求打托，且托高10cm以上、四面需要开卡脚、打合页，尺寸单边超200CM，实重超1000磅（400KG）收件人自备叉车。
</t>
    </r>
    <r>
      <rPr>
        <b/>
        <sz val="11"/>
        <rFont val="微软雅黑"/>
        <charset val="134"/>
      </rPr>
      <t>特别提醒：我司报价不包卸货，因收货人不配合卸货产生所有费用由发件人承担</t>
    </r>
    <r>
      <rPr>
        <sz val="11"/>
        <rFont val="微软雅黑"/>
        <charset val="134"/>
      </rPr>
      <t xml:space="preserve">
4.卡派到门是指货送到指定地址的仓库或地面，不含上楼，不含拆木箱木架等包装，不含拆纸箱（如需拆纸箱请通知收货人付费），私人住宅区等卡车无法进入的区域需收货人自行搬运货物。如因收货人额外指令而产生的费用，由发货人承担，我司有权反弹账单至发货人处，有效期一年。
5.发货前请务必确认收货地址和联系人电话正确，如因联系不上收货人而产生的滞留费，由发货人承担，我司有权反弹账单至发货人处，有效期一年。
请注意：我司不接收任何违禁品，仿牌，纯粉末液体，易燃易爆，国家管制物品，稀有金属木材制品等货物，请勿恶意冲货，一经发现报警处理。
6.所有木箱/木架包装无法开箱查验的必须有三合页或有保函出货，夹板厚度不低于12cm，不接受原木包装。</t>
    </r>
  </si>
  <si>
    <t>所有木架和木箱一定要打结实,建议1CM的厚度以上,签收后由于外箱损坏一律不赔偿。由于包装不合格,到了国外破损的,一律由发件人自己承担，重新国外打木箱的费用才 能派送。</t>
  </si>
  <si>
    <t>走货前地址请核实清楚，一旦装柜，后续要改地址一律会产生有改地址费用，但是不能保证能改成功，请注意！后端卡车或专车派送，收件人电话一直要保持畅通，否则退回卡派公司会产生仓库费用，这个要找发件人收取！个别收货地址不好进卡车. 如卡车送不上门的 .需要客户自备工具 .协助卸货 .到门产生相关费用由收件人支付！</t>
  </si>
  <si>
    <t>二、附加费类别</t>
  </si>
  <si>
    <t>1.单独报关件350/票 单证报关要求500KG+，一达通报关不提供海运提单,如产生续页，每页50RMB，单票超过5个品名加收:30RMB/品名，带磁+480RMB/票</t>
  </si>
  <si>
    <t>2.尺寸超过长2.5M*宽1.55M*高1.55M的产品需要单独咨询航司是否能接！</t>
  </si>
  <si>
    <t>3.不足101KG按101KG起收</t>
  </si>
  <si>
    <t>4.所有木制品出口都需要商检，买单只能报关行做，客户自己做的无效；报关客户可以自行提供商检。商检木制类要800/票，竹、藤类要1000/票；没有商检不出，商检木制类要800/票，竹、藤类要1000/票并且出的慢，最好客户自己准备。</t>
  </si>
  <si>
    <t>5.高税率、反倾销、特殊行业使用功能、需要认证授权或一次性用品等产品请发货前如实告知本公司相关人员确认附加费</t>
  </si>
  <si>
    <t>6.提货地址/派送地址空跑费：200美金一次 ，仓租：在集散点存放超三天后60美金/自然日·改派费/返回费：实报实销·增值服务（司机辅助卸货/提货/理货）：90-150美金</t>
  </si>
  <si>
    <t>产品附加费单询</t>
  </si>
  <si>
    <t>三、赔偿标准</t>
  </si>
  <si>
    <t>1.在提取前货物丢失或者扣关(如因发件人低申报、品名申报不符、产品涉及反倾销、认证、侵权等情况，责任由发件人承担)， 按采购价值赔偿，空派最高不超40RMB/KG赔偿，不退运费。海派最高不超20RMB/KG赔偿，不退运费。
高于1000RMB货值,建议自购保险，否则按价格表协议赔偿。
2.如货物在承运商中转发生产品数量缺少、部分货物丢失、部分损坏，需提供相应有效的证明向卡车提出申诉索赔，赔偿按卡车公司标准赔偿(赔偿总金额单票最高不超过100美金)，
如因货物包装(例如木箱木架不结实牢固，木板过薄等包装问题)， 拒绝赔偿。
3.漏报关赔偿：3倍报关费，请慎接报关件，不接受赔偿标准的不要发！
4.签收前：如有货物破损、漏件丢件等问题，应拍好照片（货物破损位置）货物与派送员的照片，务必在签收单上面备注好实际情况后，让派送员签名确认，拍好签收单并及时反馈我司。（没有在签收单上面备注好货物的实际情况的，我司不作任何理赔）。对于部分货物破损，丢件等问题，目的地收货人拒收产生的二次派送费用，由发货人承担所有费用，接货务必告知收货人。
5.运输保险赔偿：在我司投保运输的货物，参照投保货物的保价以及保险理赔文件进行受理，易碎品保丢不保碎，国际运输不包运费不退运费。</t>
  </si>
  <si>
    <t>四、不接受产品</t>
  </si>
  <si>
    <t>仿牌、违禁品、粉末、液体，食品、药品、易燃易爆、古董等国家禁止出口及航司/船司禁运物品，在我司仓库一经查出，罚款RMB2000/票，方可办退件，情节严重移交司法机关处理；如海关查出，我司不承担任何责任，我司并且保留追究发件人因此带来对我司的损失的赔偿及法律追究责任；</t>
  </si>
  <si>
    <t>不接受FBA 跟偏远地址货物偏远地区邮编如下：006-009 PUERTO RICO AND VIRGIN LSLANDS 波多黎各、维尔京群岛，966-969 HAWAIIAND GUAM 夏威夷、关岛,995-999 ALASKA 阿拉斯加等.</t>
  </si>
  <si>
    <t>特别提示：如客户一旦同意接受我司服务，我司将默认为客户已详细阅读过此价格表所有备注内容，并接受各条款的约束，严格按照备注内容执行。</t>
  </si>
  <si>
    <t>UPS-MIA</t>
  </si>
  <si>
    <t>其他费用备注</t>
  </si>
  <si>
    <t>OZ</t>
  </si>
  <si>
    <t>Zone 1</t>
  </si>
  <si>
    <t>Zone 2</t>
  </si>
  <si>
    <t>Zone 3</t>
  </si>
  <si>
    <t>Zone 4</t>
  </si>
  <si>
    <t>Zone 5</t>
  </si>
  <si>
    <t>Zone 6</t>
  </si>
  <si>
    <t>Zone 7</t>
  </si>
  <si>
    <t>Zone 8</t>
  </si>
  <si>
    <t>Zone 9</t>
  </si>
  <si>
    <r>
      <rPr>
        <sz val="12"/>
        <color theme="1"/>
        <rFont val="Times New Roman"/>
        <charset val="134"/>
      </rPr>
      <t>DIM</t>
    </r>
    <r>
      <rPr>
        <sz val="12"/>
        <color theme="1"/>
        <rFont val="微软雅黑"/>
        <charset val="134"/>
      </rPr>
      <t>：</t>
    </r>
    <r>
      <rPr>
        <sz val="12"/>
        <color theme="1"/>
        <rFont val="Times New Roman"/>
        <charset val="134"/>
      </rPr>
      <t xml:space="preserve">6000/166
</t>
    </r>
    <r>
      <rPr>
        <sz val="12"/>
        <color theme="1"/>
        <rFont val="微软雅黑"/>
        <charset val="134"/>
      </rPr>
      <t>标准尺寸：</t>
    </r>
    <r>
      <rPr>
        <sz val="12"/>
        <color theme="1"/>
        <rFont val="Times New Roman"/>
        <charset val="134"/>
      </rPr>
      <t xml:space="preserve">22/17/17
</t>
    </r>
    <r>
      <rPr>
        <sz val="12"/>
        <color theme="1"/>
        <rFont val="微软雅黑"/>
        <charset val="134"/>
      </rPr>
      <t>限制发货：</t>
    </r>
    <r>
      <rPr>
        <sz val="12"/>
        <color theme="1"/>
        <rFont val="Times New Roman"/>
        <charset val="134"/>
      </rPr>
      <t xml:space="preserve">L/M/S&gt;27/17/17 inches or GW&gt;70lbs
</t>
    </r>
    <r>
      <rPr>
        <sz val="12"/>
        <color theme="1"/>
        <rFont val="微软雅黑"/>
        <charset val="134"/>
      </rPr>
      <t>非标准尺寸附加费用：超过</t>
    </r>
    <r>
      <rPr>
        <sz val="12"/>
        <color theme="1"/>
        <rFont val="Times New Roman"/>
        <charset val="134"/>
      </rPr>
      <t>22inches</t>
    </r>
    <r>
      <rPr>
        <sz val="12"/>
        <color theme="1"/>
        <rFont val="微软雅黑"/>
        <charset val="134"/>
      </rPr>
      <t>，每件加收</t>
    </r>
    <r>
      <rPr>
        <sz val="12"/>
        <color theme="1"/>
        <rFont val="Times New Roman"/>
        <charset val="134"/>
      </rPr>
      <t>4</t>
    </r>
    <r>
      <rPr>
        <sz val="12"/>
        <color theme="1"/>
        <rFont val="微软雅黑"/>
        <charset val="134"/>
      </rPr>
      <t>美金</t>
    </r>
  </si>
  <si>
    <r>
      <rPr>
        <sz val="12"/>
        <color theme="1"/>
        <rFont val="微软雅黑"/>
        <charset val="134"/>
      </rPr>
      <t>非标准尺寸附加费用：超过</t>
    </r>
    <r>
      <rPr>
        <sz val="12"/>
        <color theme="1"/>
        <rFont val="Times New Roman"/>
        <charset val="134"/>
      </rPr>
      <t>22inches</t>
    </r>
    <r>
      <rPr>
        <sz val="12"/>
        <color theme="1"/>
        <rFont val="微软雅黑"/>
        <charset val="134"/>
      </rPr>
      <t>，每件加收</t>
    </r>
    <r>
      <rPr>
        <sz val="12"/>
        <color theme="1"/>
        <rFont val="Times New Roman"/>
        <charset val="134"/>
      </rPr>
      <t>4</t>
    </r>
    <r>
      <rPr>
        <sz val="12"/>
        <color theme="1"/>
        <rFont val="微软雅黑"/>
        <charset val="134"/>
      </rPr>
      <t>美金</t>
    </r>
  </si>
  <si>
    <r>
      <rPr>
        <sz val="12"/>
        <color theme="1"/>
        <rFont val="微软雅黑"/>
        <charset val="134"/>
      </rPr>
      <t>货物未申报或与申报不符，加收每件</t>
    </r>
    <r>
      <rPr>
        <sz val="12"/>
        <color theme="1"/>
        <rFont val="Times New Roman"/>
        <charset val="134"/>
      </rPr>
      <t xml:space="preserve"> 0.25 </t>
    </r>
    <r>
      <rPr>
        <sz val="12"/>
        <color theme="1"/>
        <rFont val="微软雅黑"/>
        <charset val="134"/>
      </rPr>
      <t>美元</t>
    </r>
  </si>
  <si>
    <r>
      <rPr>
        <sz val="12"/>
        <color theme="1"/>
        <rFont val="微软雅黑"/>
        <charset val="134"/>
      </rPr>
      <t>尺寸违规（异形包装）加收</t>
    </r>
    <r>
      <rPr>
        <sz val="12"/>
        <color theme="1"/>
        <rFont val="Times New Roman"/>
        <charset val="134"/>
      </rPr>
      <t>0.25</t>
    </r>
    <r>
      <rPr>
        <sz val="12"/>
        <color theme="1"/>
        <rFont val="微软雅黑"/>
        <charset val="134"/>
      </rPr>
      <t>美金</t>
    </r>
  </si>
  <si>
    <r>
      <rPr>
        <sz val="12"/>
        <color theme="1"/>
        <rFont val="微软雅黑"/>
        <charset val="134"/>
      </rPr>
      <t>长度不超过</t>
    </r>
    <r>
      <rPr>
        <sz val="12"/>
        <color theme="1"/>
        <rFont val="Times New Roman"/>
        <charset val="134"/>
      </rPr>
      <t>22inches</t>
    </r>
    <r>
      <rPr>
        <sz val="12"/>
        <color theme="1"/>
        <rFont val="微软雅黑"/>
        <charset val="134"/>
      </rPr>
      <t>，但体积超过</t>
    </r>
    <r>
      <rPr>
        <sz val="12"/>
        <color theme="1"/>
        <rFont val="Times New Roman"/>
        <charset val="134"/>
      </rPr>
      <t xml:space="preserve"> 2 </t>
    </r>
    <r>
      <rPr>
        <sz val="12"/>
        <color theme="1"/>
        <rFont val="微软雅黑"/>
        <charset val="134"/>
      </rPr>
      <t>立方英尺（</t>
    </r>
    <r>
      <rPr>
        <sz val="12"/>
        <color theme="1"/>
        <rFont val="Times New Roman"/>
        <charset val="134"/>
      </rPr>
      <t xml:space="preserve">3456 </t>
    </r>
    <r>
      <rPr>
        <sz val="12"/>
        <color theme="1"/>
        <rFont val="微软雅黑"/>
        <charset val="134"/>
      </rPr>
      <t>立方英寸）的包裹，加收</t>
    </r>
    <r>
      <rPr>
        <sz val="12"/>
        <color theme="1"/>
        <rFont val="Times New Roman"/>
        <charset val="134"/>
      </rPr>
      <t xml:space="preserve"> 25.00 </t>
    </r>
    <r>
      <rPr>
        <sz val="12"/>
        <color theme="1"/>
        <rFont val="微软雅黑"/>
        <charset val="134"/>
      </rPr>
      <t>美元</t>
    </r>
  </si>
  <si>
    <r>
      <rPr>
        <sz val="12"/>
        <color theme="1"/>
        <rFont val="微软雅黑"/>
        <charset val="134"/>
      </rPr>
      <t>长度超过</t>
    </r>
    <r>
      <rPr>
        <sz val="12"/>
        <color theme="1"/>
        <rFont val="Times New Roman"/>
        <charset val="134"/>
      </rPr>
      <t>22inches</t>
    </r>
    <r>
      <rPr>
        <sz val="12"/>
        <color theme="1"/>
        <rFont val="微软雅黑"/>
        <charset val="134"/>
      </rPr>
      <t>，且体积超过</t>
    </r>
    <r>
      <rPr>
        <sz val="12"/>
        <color theme="1"/>
        <rFont val="Times New Roman"/>
        <charset val="134"/>
      </rPr>
      <t xml:space="preserve"> 2 </t>
    </r>
    <r>
      <rPr>
        <sz val="12"/>
        <color theme="1"/>
        <rFont val="微软雅黑"/>
        <charset val="134"/>
      </rPr>
      <t>立方英尺（</t>
    </r>
    <r>
      <rPr>
        <sz val="12"/>
        <color theme="1"/>
        <rFont val="Times New Roman"/>
        <charset val="134"/>
      </rPr>
      <t xml:space="preserve">3456 </t>
    </r>
    <r>
      <rPr>
        <sz val="12"/>
        <color theme="1"/>
        <rFont val="微软雅黑"/>
        <charset val="134"/>
      </rPr>
      <t>立方英寸），加收</t>
    </r>
    <r>
      <rPr>
        <sz val="12"/>
        <color theme="1"/>
        <rFont val="Times New Roman"/>
        <charset val="134"/>
      </rPr>
      <t>40.00</t>
    </r>
    <r>
      <rPr>
        <sz val="12"/>
        <color theme="1"/>
        <rFont val="微软雅黑"/>
        <charset val="134"/>
      </rPr>
      <t>美元</t>
    </r>
  </si>
  <si>
    <t>未注明附加费以账单为准</t>
  </si>
  <si>
    <t>Lbs.</t>
  </si>
  <si>
    <t>USPS Ground Advantage Package Service</t>
  </si>
  <si>
    <t>费用备注</t>
  </si>
  <si>
    <r>
      <rPr>
        <sz val="12"/>
        <color theme="1"/>
        <rFont val="Times New Roman"/>
        <charset val="134"/>
      </rPr>
      <t>DIM</t>
    </r>
    <r>
      <rPr>
        <sz val="12"/>
        <color theme="1"/>
        <rFont val="微软雅黑"/>
        <charset val="134"/>
      </rPr>
      <t>：材积除</t>
    </r>
    <r>
      <rPr>
        <sz val="12"/>
        <color theme="1"/>
        <rFont val="Times New Roman"/>
        <charset val="134"/>
      </rPr>
      <t xml:space="preserve">6000/166
</t>
    </r>
    <r>
      <rPr>
        <sz val="12"/>
        <color theme="1"/>
        <rFont val="微软雅黑"/>
        <charset val="134"/>
      </rPr>
      <t>标准尺寸：</t>
    </r>
    <r>
      <rPr>
        <sz val="12"/>
        <color theme="1"/>
        <rFont val="Times New Roman"/>
        <charset val="134"/>
      </rPr>
      <t xml:space="preserve">22/17/17
</t>
    </r>
    <r>
      <rPr>
        <sz val="12"/>
        <color theme="1"/>
        <rFont val="微软雅黑"/>
        <charset val="134"/>
      </rPr>
      <t>限制发货：</t>
    </r>
    <r>
      <rPr>
        <sz val="12"/>
        <color theme="1"/>
        <rFont val="Times New Roman"/>
        <charset val="134"/>
      </rPr>
      <t xml:space="preserve">L/M/S&gt;27/17/17 inches or GW&gt;70lbs
</t>
    </r>
    <r>
      <rPr>
        <sz val="12"/>
        <color theme="1"/>
        <rFont val="微软雅黑"/>
        <charset val="134"/>
      </rPr>
      <t>非标准尺寸附加费用：超过</t>
    </r>
    <r>
      <rPr>
        <sz val="12"/>
        <color theme="1"/>
        <rFont val="Times New Roman"/>
        <charset val="134"/>
      </rPr>
      <t>22inches</t>
    </r>
    <r>
      <rPr>
        <sz val="12"/>
        <color theme="1"/>
        <rFont val="微软雅黑"/>
        <charset val="134"/>
      </rPr>
      <t>，每件加收</t>
    </r>
    <r>
      <rPr>
        <sz val="12"/>
        <color theme="1"/>
        <rFont val="Times New Roman"/>
        <charset val="134"/>
      </rPr>
      <t>4</t>
    </r>
    <r>
      <rPr>
        <sz val="12"/>
        <color theme="1"/>
        <rFont val="微软雅黑"/>
        <charset val="134"/>
      </rPr>
      <t>美金</t>
    </r>
  </si>
  <si>
    <t>1oz</t>
  </si>
  <si>
    <t>2oz</t>
  </si>
  <si>
    <t>3oz</t>
  </si>
  <si>
    <t>4oz</t>
  </si>
  <si>
    <t>5oz</t>
  </si>
  <si>
    <t>6oz</t>
  </si>
  <si>
    <r>
      <rPr>
        <sz val="12"/>
        <color theme="1"/>
        <rFont val="微软雅黑"/>
        <charset val="134"/>
      </rPr>
      <t>偏远地区：以下邮编开头的区域不能享受折扣价，按</t>
    </r>
    <r>
      <rPr>
        <sz val="12"/>
        <color theme="1"/>
        <rFont val="Times New Roman"/>
        <charset val="134"/>
      </rPr>
      <t xml:space="preserve"> </t>
    </r>
    <r>
      <rPr>
        <sz val="12"/>
        <color theme="1"/>
        <rFont val="微软雅黑"/>
        <charset val="134"/>
      </rPr>
      <t>公布价加</t>
    </r>
    <r>
      <rPr>
        <sz val="12"/>
        <color theme="1"/>
        <rFont val="Times New Roman"/>
        <charset val="134"/>
      </rPr>
      <t>3%</t>
    </r>
    <r>
      <rPr>
        <sz val="12"/>
        <color theme="1"/>
        <rFont val="微软雅黑"/>
        <charset val="134"/>
      </rPr>
      <t>手续费收取费用</t>
    </r>
    <r>
      <rPr>
        <sz val="12"/>
        <color theme="1"/>
        <rFont val="Times New Roman"/>
        <charset val="134"/>
      </rPr>
      <t>:  006</t>
    </r>
    <r>
      <rPr>
        <sz val="12"/>
        <color theme="1"/>
        <rFont val="微软雅黑"/>
        <charset val="134"/>
      </rPr>
      <t>、</t>
    </r>
    <r>
      <rPr>
        <sz val="12"/>
        <color theme="1"/>
        <rFont val="Times New Roman"/>
        <charset val="134"/>
      </rPr>
      <t>007</t>
    </r>
    <r>
      <rPr>
        <sz val="12"/>
        <color theme="1"/>
        <rFont val="微软雅黑"/>
        <charset val="134"/>
      </rPr>
      <t>、</t>
    </r>
    <r>
      <rPr>
        <sz val="12"/>
        <color theme="1"/>
        <rFont val="Times New Roman"/>
        <charset val="134"/>
      </rPr>
      <t>008</t>
    </r>
    <r>
      <rPr>
        <sz val="12"/>
        <color theme="1"/>
        <rFont val="微软雅黑"/>
        <charset val="134"/>
      </rPr>
      <t>、</t>
    </r>
    <r>
      <rPr>
        <sz val="12"/>
        <color theme="1"/>
        <rFont val="Times New Roman"/>
        <charset val="134"/>
      </rPr>
      <t>009</t>
    </r>
    <r>
      <rPr>
        <sz val="12"/>
        <color theme="1"/>
        <rFont val="微软雅黑"/>
        <charset val="134"/>
      </rPr>
      <t>、</t>
    </r>
    <r>
      <rPr>
        <sz val="12"/>
        <color theme="1"/>
        <rFont val="Times New Roman"/>
        <charset val="134"/>
      </rPr>
      <t>090</t>
    </r>
    <r>
      <rPr>
        <sz val="12"/>
        <color theme="1"/>
        <rFont val="微软雅黑"/>
        <charset val="134"/>
      </rPr>
      <t>、</t>
    </r>
    <r>
      <rPr>
        <sz val="12"/>
        <color theme="1"/>
        <rFont val="Times New Roman"/>
        <charset val="134"/>
      </rPr>
      <t>091</t>
    </r>
    <r>
      <rPr>
        <sz val="12"/>
        <color theme="1"/>
        <rFont val="微软雅黑"/>
        <charset val="134"/>
      </rPr>
      <t>、</t>
    </r>
    <r>
      <rPr>
        <sz val="12"/>
        <color theme="1"/>
        <rFont val="Times New Roman"/>
        <charset val="134"/>
      </rPr>
      <t>092</t>
    </r>
    <r>
      <rPr>
        <sz val="12"/>
        <color theme="1"/>
        <rFont val="微软雅黑"/>
        <charset val="134"/>
      </rPr>
      <t>、</t>
    </r>
    <r>
      <rPr>
        <sz val="12"/>
        <color theme="1"/>
        <rFont val="Times New Roman"/>
        <charset val="134"/>
      </rPr>
      <t>093</t>
    </r>
    <r>
      <rPr>
        <sz val="12"/>
        <color theme="1"/>
        <rFont val="微软雅黑"/>
        <charset val="134"/>
      </rPr>
      <t>、</t>
    </r>
    <r>
      <rPr>
        <sz val="12"/>
        <color theme="1"/>
        <rFont val="Times New Roman"/>
        <charset val="134"/>
      </rPr>
      <t>094</t>
    </r>
    <r>
      <rPr>
        <sz val="12"/>
        <color theme="1"/>
        <rFont val="微软雅黑"/>
        <charset val="134"/>
      </rPr>
      <t>、</t>
    </r>
    <r>
      <rPr>
        <sz val="12"/>
        <color theme="1"/>
        <rFont val="Times New Roman"/>
        <charset val="134"/>
      </rPr>
      <t>095</t>
    </r>
    <r>
      <rPr>
        <sz val="12"/>
        <color theme="1"/>
        <rFont val="微软雅黑"/>
        <charset val="134"/>
      </rPr>
      <t>、</t>
    </r>
    <r>
      <rPr>
        <sz val="12"/>
        <color theme="1"/>
        <rFont val="Times New Roman"/>
        <charset val="134"/>
      </rPr>
      <t>096</t>
    </r>
    <r>
      <rPr>
        <sz val="12"/>
        <color theme="1"/>
        <rFont val="微软雅黑"/>
        <charset val="134"/>
      </rPr>
      <t>、</t>
    </r>
    <r>
      <rPr>
        <sz val="12"/>
        <color theme="1"/>
        <rFont val="Times New Roman"/>
        <charset val="134"/>
      </rPr>
      <t>097</t>
    </r>
    <r>
      <rPr>
        <sz val="12"/>
        <color theme="1"/>
        <rFont val="微软雅黑"/>
        <charset val="134"/>
      </rPr>
      <t>、</t>
    </r>
    <r>
      <rPr>
        <sz val="12"/>
        <color theme="1"/>
        <rFont val="Times New Roman"/>
        <charset val="134"/>
      </rPr>
      <t>098</t>
    </r>
    <r>
      <rPr>
        <sz val="12"/>
        <color theme="1"/>
        <rFont val="微软雅黑"/>
        <charset val="134"/>
      </rPr>
      <t>、</t>
    </r>
    <r>
      <rPr>
        <sz val="12"/>
        <color theme="1"/>
        <rFont val="Times New Roman"/>
        <charset val="134"/>
      </rPr>
      <t>099</t>
    </r>
    <r>
      <rPr>
        <sz val="12"/>
        <color theme="1"/>
        <rFont val="微软雅黑"/>
        <charset val="134"/>
      </rPr>
      <t>、</t>
    </r>
    <r>
      <rPr>
        <sz val="12"/>
        <color theme="1"/>
        <rFont val="Times New Roman"/>
        <charset val="134"/>
      </rPr>
      <t>340</t>
    </r>
    <r>
      <rPr>
        <sz val="12"/>
        <color theme="1"/>
        <rFont val="微软雅黑"/>
        <charset val="134"/>
      </rPr>
      <t>、</t>
    </r>
    <r>
      <rPr>
        <sz val="12"/>
        <color theme="1"/>
        <rFont val="Times New Roman"/>
        <charset val="134"/>
      </rPr>
      <t>962</t>
    </r>
    <r>
      <rPr>
        <sz val="12"/>
        <color theme="1"/>
        <rFont val="微软雅黑"/>
        <charset val="134"/>
      </rPr>
      <t>、</t>
    </r>
    <r>
      <rPr>
        <sz val="12"/>
        <color theme="1"/>
        <rFont val="Times New Roman"/>
        <charset val="134"/>
      </rPr>
      <t>963</t>
    </r>
    <r>
      <rPr>
        <sz val="12"/>
        <color theme="1"/>
        <rFont val="微软雅黑"/>
        <charset val="134"/>
      </rPr>
      <t>、</t>
    </r>
    <r>
      <rPr>
        <sz val="12"/>
        <color theme="1"/>
        <rFont val="Times New Roman"/>
        <charset val="134"/>
      </rPr>
      <t>964</t>
    </r>
    <r>
      <rPr>
        <sz val="12"/>
        <color theme="1"/>
        <rFont val="微软雅黑"/>
        <charset val="134"/>
      </rPr>
      <t>、</t>
    </r>
    <r>
      <rPr>
        <sz val="12"/>
        <color theme="1"/>
        <rFont val="Times New Roman"/>
        <charset val="134"/>
      </rPr>
      <t>965</t>
    </r>
    <r>
      <rPr>
        <sz val="12"/>
        <color theme="1"/>
        <rFont val="微软雅黑"/>
        <charset val="134"/>
      </rPr>
      <t>、</t>
    </r>
    <r>
      <rPr>
        <sz val="12"/>
        <color theme="1"/>
        <rFont val="Times New Roman"/>
        <charset val="134"/>
      </rPr>
      <t>966</t>
    </r>
    <r>
      <rPr>
        <sz val="12"/>
        <color theme="1"/>
        <rFont val="微软雅黑"/>
        <charset val="134"/>
      </rPr>
      <t>、</t>
    </r>
    <r>
      <rPr>
        <sz val="12"/>
        <color theme="1"/>
        <rFont val="Times New Roman"/>
        <charset val="134"/>
      </rPr>
      <t>967</t>
    </r>
    <r>
      <rPr>
        <sz val="12"/>
        <color theme="1"/>
        <rFont val="微软雅黑"/>
        <charset val="134"/>
      </rPr>
      <t>、</t>
    </r>
    <r>
      <rPr>
        <sz val="12"/>
        <color theme="1"/>
        <rFont val="Times New Roman"/>
        <charset val="134"/>
      </rPr>
      <t>968</t>
    </r>
    <r>
      <rPr>
        <sz val="12"/>
        <color theme="1"/>
        <rFont val="微软雅黑"/>
        <charset val="134"/>
      </rPr>
      <t>、</t>
    </r>
    <r>
      <rPr>
        <sz val="12"/>
        <color theme="1"/>
        <rFont val="Times New Roman"/>
        <charset val="134"/>
      </rPr>
      <t>969</t>
    </r>
    <r>
      <rPr>
        <sz val="12"/>
        <color theme="1"/>
        <rFont val="微软雅黑"/>
        <charset val="134"/>
      </rPr>
      <t>、</t>
    </r>
    <r>
      <rPr>
        <sz val="12"/>
        <color theme="1"/>
        <rFont val="Times New Roman"/>
        <charset val="134"/>
      </rPr>
      <t>995</t>
    </r>
    <r>
      <rPr>
        <sz val="12"/>
        <color theme="1"/>
        <rFont val="微软雅黑"/>
        <charset val="134"/>
      </rPr>
      <t>、</t>
    </r>
    <r>
      <rPr>
        <sz val="12"/>
        <color theme="1"/>
        <rFont val="Times New Roman"/>
        <charset val="134"/>
      </rPr>
      <t>996</t>
    </r>
    <r>
      <rPr>
        <sz val="12"/>
        <color theme="1"/>
        <rFont val="微软雅黑"/>
        <charset val="134"/>
      </rPr>
      <t>、</t>
    </r>
    <r>
      <rPr>
        <sz val="12"/>
        <color theme="1"/>
        <rFont val="Times New Roman"/>
        <charset val="134"/>
      </rPr>
      <t>997</t>
    </r>
    <r>
      <rPr>
        <sz val="12"/>
        <color theme="1"/>
        <rFont val="微软雅黑"/>
        <charset val="134"/>
      </rPr>
      <t>、</t>
    </r>
    <r>
      <rPr>
        <sz val="12"/>
        <color theme="1"/>
        <rFont val="Times New Roman"/>
        <charset val="134"/>
      </rPr>
      <t>998</t>
    </r>
    <r>
      <rPr>
        <sz val="12"/>
        <color theme="1"/>
        <rFont val="微软雅黑"/>
        <charset val="134"/>
      </rPr>
      <t>、</t>
    </r>
    <r>
      <rPr>
        <sz val="12"/>
        <color theme="1"/>
        <rFont val="Times New Roman"/>
        <charset val="134"/>
      </rPr>
      <t>999</t>
    </r>
  </si>
  <si>
    <t>7oz</t>
  </si>
  <si>
    <t>8oz</t>
  </si>
  <si>
    <t>9oz</t>
  </si>
  <si>
    <t>10oz</t>
  </si>
  <si>
    <t>11oz</t>
  </si>
  <si>
    <t>12oz</t>
  </si>
  <si>
    <t>13oz</t>
  </si>
  <si>
    <t>14oz</t>
  </si>
  <si>
    <t>15oz</t>
  </si>
  <si>
    <t>15.99oz</t>
  </si>
  <si>
    <t>1lb</t>
  </si>
  <si>
    <t>2lb</t>
  </si>
  <si>
    <t>3lb</t>
  </si>
  <si>
    <t>4lb</t>
  </si>
  <si>
    <t>5lb</t>
  </si>
  <si>
    <t>6lb</t>
  </si>
  <si>
    <t>7lb</t>
  </si>
  <si>
    <t>8lb</t>
  </si>
  <si>
    <t>9lb</t>
  </si>
  <si>
    <t>10lb</t>
  </si>
  <si>
    <t>11lb</t>
  </si>
  <si>
    <t>12lb</t>
  </si>
  <si>
    <t>13lb</t>
  </si>
  <si>
    <t>14lb</t>
  </si>
  <si>
    <t>15lb</t>
  </si>
  <si>
    <t>16lb</t>
  </si>
  <si>
    <t>17lb</t>
  </si>
  <si>
    <t>18lb</t>
  </si>
  <si>
    <t>19lb</t>
  </si>
  <si>
    <t>20lb</t>
  </si>
  <si>
    <t>21lb</t>
  </si>
  <si>
    <t>22lb</t>
  </si>
  <si>
    <t>23lb</t>
  </si>
  <si>
    <t>24lb</t>
  </si>
  <si>
    <t>25lb</t>
  </si>
  <si>
    <t>26lb</t>
  </si>
  <si>
    <t>27lb</t>
  </si>
  <si>
    <t>28lb</t>
  </si>
  <si>
    <t>29lb</t>
  </si>
  <si>
    <t>30lb</t>
  </si>
  <si>
    <t>31lb</t>
  </si>
  <si>
    <t>32lb</t>
  </si>
  <si>
    <t>33lb</t>
  </si>
  <si>
    <t>34lb</t>
  </si>
  <si>
    <t>35lb</t>
  </si>
  <si>
    <t>36lb</t>
  </si>
  <si>
    <t>37lb</t>
  </si>
  <si>
    <t>38lb</t>
  </si>
  <si>
    <t>39lb</t>
  </si>
  <si>
    <t>40lb</t>
  </si>
  <si>
    <t>41lb</t>
  </si>
  <si>
    <t>42lb</t>
  </si>
  <si>
    <t>43lb</t>
  </si>
  <si>
    <t>44lb</t>
  </si>
  <si>
    <t>45lb</t>
  </si>
  <si>
    <t>46lb</t>
  </si>
  <si>
    <t>47lb</t>
  </si>
  <si>
    <t>48lb</t>
  </si>
  <si>
    <t>49lb</t>
  </si>
  <si>
    <t>50lb</t>
  </si>
  <si>
    <t>51lb</t>
  </si>
  <si>
    <t>52lb</t>
  </si>
  <si>
    <t>53lb</t>
  </si>
  <si>
    <t>54lb</t>
  </si>
  <si>
    <t>55lb</t>
  </si>
  <si>
    <t>56lb</t>
  </si>
  <si>
    <t>57lb</t>
  </si>
  <si>
    <t>58lb</t>
  </si>
  <si>
    <t>59lb</t>
  </si>
  <si>
    <t>60lb</t>
  </si>
  <si>
    <t>61lb</t>
  </si>
  <si>
    <t>62lb</t>
  </si>
  <si>
    <t>63lb</t>
  </si>
  <si>
    <t>64lb</t>
  </si>
  <si>
    <t>65lb</t>
  </si>
  <si>
    <t>66lb</t>
  </si>
  <si>
    <t>67lb</t>
  </si>
  <si>
    <t>68lb</t>
  </si>
  <si>
    <t>69lb</t>
  </si>
  <si>
    <t>70lb</t>
  </si>
  <si>
    <t>Oversized</t>
  </si>
  <si>
    <t>序号</t>
  </si>
  <si>
    <t>费用类别</t>
  </si>
  <si>
    <t>价格</t>
  </si>
  <si>
    <t>单位</t>
  </si>
  <si>
    <t>扣货费</t>
  </si>
  <si>
    <t>300/USD</t>
  </si>
  <si>
    <t>票</t>
  </si>
  <si>
    <t>装柜后要求改地址或者换标等服务，都要先扣货才能操作，
都有扣货费产生！如扣件失败则不收取费用</t>
  </si>
  <si>
    <t>分拣费</t>
  </si>
  <si>
    <t>1/USD</t>
  </si>
  <si>
    <t>箱</t>
  </si>
  <si>
    <t>在柜子里找到指定货物分拣出来，单独操作费</t>
  </si>
  <si>
    <t>贴/换标费</t>
  </si>
  <si>
    <t>张</t>
  </si>
  <si>
    <t>含常规操作费</t>
  </si>
  <si>
    <t>贴/换SKU标签</t>
  </si>
  <si>
    <t>0.5/USD</t>
  </si>
  <si>
    <t>打托费</t>
  </si>
  <si>
    <t>20/USD</t>
  </si>
  <si>
    <t>托</t>
  </si>
  <si>
    <t>贴标必收取，需要拆板，然后重新打板、缠膜(不含托盘)</t>
  </si>
  <si>
    <t>仓租（免仓租7天）</t>
  </si>
  <si>
    <t>CBM/天</t>
  </si>
  <si>
    <t>第8天到第21天</t>
  </si>
  <si>
    <t>2/USD</t>
  </si>
  <si>
    <t>第21天到第30天</t>
  </si>
  <si>
    <t>5/USD</t>
  </si>
  <si>
    <t>第30天到第60天（超过60天以上请处理好，不然国外要销毁货物）</t>
  </si>
  <si>
    <t>自提单出库费</t>
  </si>
  <si>
    <t>板</t>
  </si>
  <si>
    <t>自提货物必收取打板，需要打板、缠膜</t>
  </si>
  <si>
    <t>拍照费</t>
  </si>
  <si>
    <t>客户需要产品照片或操作照片</t>
  </si>
  <si>
    <t>销毁（弃货）处理费</t>
  </si>
  <si>
    <t>10/USD</t>
  </si>
  <si>
    <t>单次弃货产品个数小于20个</t>
  </si>
  <si>
    <t>个</t>
  </si>
  <si>
    <t>重量≤1kg，单次弃货产品个数大于20个，低消15$</t>
  </si>
  <si>
    <t>0.8/USD</t>
  </si>
  <si>
    <t>重量＞1kg，单次弃货产品个数大于20个，低消10$</t>
  </si>
  <si>
    <t>重新派送费</t>
  </si>
  <si>
    <t>实报实销（客户提供地址后会发群里确认）</t>
  </si>
  <si>
    <t>重出操作费</t>
  </si>
  <si>
    <t>低销100USD</t>
  </si>
  <si>
    <t>尾程派送费报价（人民币报价）
UPS派150KG+(小货单询）</t>
  </si>
  <si>
    <t>4RMB/KG</t>
  </si>
  <si>
    <t>KG</t>
  </si>
  <si>
    <t>美西邮编：7-8-9</t>
  </si>
  <si>
    <t>5RMB/KG</t>
  </si>
  <si>
    <t>美中邮编：4-5-6</t>
  </si>
  <si>
    <t>6RMB/KG</t>
  </si>
  <si>
    <t>美东邮编：0-1-2-3</t>
  </si>
  <si>
    <t>本着双方负责原则，仓库不接受质检，验货，开箱查货，组装产品等类似服务。
以上操作请预留1-5个工作日的操作时间。 合理安排出货。</t>
  </si>
  <si>
    <t>客户订单号</t>
  </si>
  <si>
    <r>
      <rPr>
        <sz val="12"/>
        <color rgb="FF000000"/>
        <rFont val="Microsoft YaHei"/>
        <charset val="134"/>
      </rPr>
      <t>带电</t>
    </r>
    <r>
      <rPr>
        <sz val="12"/>
        <color indexed="10"/>
        <rFont val="Microsoft YaHei"/>
        <charset val="134"/>
      </rPr>
      <t>*（必须填）</t>
    </r>
  </si>
  <si>
    <r>
      <rPr>
        <b/>
        <sz val="14"/>
        <color rgb="FF000000"/>
        <rFont val="Microsoft YaHei"/>
        <charset val="134"/>
      </rPr>
      <t>发票填写注意事项：</t>
    </r>
    <r>
      <rPr>
        <sz val="14"/>
        <color rgb="FF000000"/>
        <rFont val="Microsoft YaHei"/>
        <charset val="134"/>
      </rPr>
      <t xml:space="preserve">
1、标 </t>
    </r>
    <r>
      <rPr>
        <sz val="14"/>
        <color rgb="FFFF0000"/>
        <rFont val="Microsoft YaHei"/>
        <charset val="134"/>
      </rPr>
      <t>*</t>
    </r>
    <r>
      <rPr>
        <sz val="14"/>
        <color rgb="FF00B050"/>
        <rFont val="Microsoft YaHei"/>
        <charset val="134"/>
      </rPr>
      <t xml:space="preserve"> </t>
    </r>
    <r>
      <rPr>
        <sz val="14"/>
        <color rgb="FF000000"/>
        <rFont val="Microsoft YaHei"/>
        <charset val="134"/>
      </rPr>
      <t>号为必填项。
2、为确保卡派货物交付不受影响，</t>
    </r>
    <r>
      <rPr>
        <sz val="14"/>
        <color rgb="FFFF0000"/>
        <rFont val="Microsoft YaHei"/>
        <charset val="134"/>
      </rPr>
      <t>卡派订单PO Mumber请务必准确填写</t>
    </r>
    <r>
      <rPr>
        <sz val="14"/>
        <color rgb="FF000000"/>
        <rFont val="Microsoft YaHei"/>
        <charset val="134"/>
      </rPr>
      <t>。
3、</t>
    </r>
    <r>
      <rPr>
        <sz val="14"/>
        <color rgb="FFFF0000"/>
        <rFont val="Microsoft YaHei"/>
        <charset val="134"/>
      </rPr>
      <t>报关方式必须填写</t>
    </r>
    <r>
      <rPr>
        <sz val="14"/>
        <color rgb="FF000000"/>
        <rFont val="Microsoft YaHei"/>
        <charset val="134"/>
      </rPr>
      <t>，并及时提供报关资料与客服对接，以免漏报关。
4、产品申报单价为国内采购价换算为美元，申报币种为美元USD。
5、产品申报数量为一箱的产品装箱数量，请不要填写总产品数量。
6、因报关申报编码区分需要，服饰类货物请在产品描述栏填写针织方式：梭织/针织。
7、产品图片必须提供，图片放置在单元格框内即可（不要嵌入）。
8、下单前请审核发票的填写信息，卡派订单请确认货物FBA接收仓库与发票所下单仓库一致。
9、送仓需贴我司系统唛头标签；</t>
    </r>
    <r>
      <rPr>
        <sz val="14"/>
        <color rgb="FFFF0000"/>
        <rFont val="Microsoft YaHei"/>
        <charset val="134"/>
      </rPr>
      <t>未贴箱唛送货请附带交接单、车辆信息和卸货照片</t>
    </r>
    <r>
      <rPr>
        <sz val="14"/>
        <color rgb="FF000000"/>
        <rFont val="Microsoft YaHei"/>
        <charset val="134"/>
      </rPr>
      <t xml:space="preserve">，以免影响接收货物。
</t>
    </r>
    <r>
      <rPr>
        <b/>
        <sz val="16"/>
        <color rgb="FFFF0000"/>
        <rFont val="Microsoft YaHei"/>
        <charset val="134"/>
      </rPr>
      <t>10、一旦在我司系统下单成功，我司不承担因发票内容填写错误所产生的相关问题与责任！</t>
    </r>
  </si>
  <si>
    <r>
      <rPr>
        <sz val="12"/>
        <color rgb="FF000000"/>
        <rFont val="Microsoft YaHei"/>
        <charset val="134"/>
      </rPr>
      <t>服务</t>
    </r>
    <r>
      <rPr>
        <sz val="12"/>
        <color indexed="10"/>
        <rFont val="Microsoft YaHei"/>
        <charset val="134"/>
      </rPr>
      <t>*（必须填）</t>
    </r>
  </si>
  <si>
    <r>
      <rPr>
        <sz val="12"/>
        <color rgb="FF000000"/>
        <rFont val="Microsoft YaHei"/>
        <charset val="134"/>
      </rPr>
      <t>带磁</t>
    </r>
    <r>
      <rPr>
        <sz val="12"/>
        <color indexed="10"/>
        <rFont val="Microsoft YaHei"/>
        <charset val="134"/>
      </rPr>
      <t>*（必须填）</t>
    </r>
  </si>
  <si>
    <t>地址库编码</t>
  </si>
  <si>
    <r>
      <rPr>
        <sz val="12"/>
        <color rgb="FF000000"/>
        <rFont val="Microsoft YaHei"/>
        <charset val="134"/>
      </rPr>
      <t>液体</t>
    </r>
    <r>
      <rPr>
        <sz val="12"/>
        <color indexed="10"/>
        <rFont val="Microsoft YaHei"/>
        <charset val="134"/>
      </rPr>
      <t>*（必须填）</t>
    </r>
  </si>
  <si>
    <r>
      <rPr>
        <sz val="12"/>
        <color rgb="FF000000"/>
        <rFont val="Microsoft YaHei"/>
        <charset val="134"/>
      </rPr>
      <t>收件人姓名</t>
    </r>
    <r>
      <rPr>
        <sz val="12"/>
        <color indexed="10"/>
        <rFont val="Microsoft YaHei"/>
        <charset val="134"/>
      </rPr>
      <t>*（必须填）</t>
    </r>
  </si>
  <si>
    <r>
      <rPr>
        <sz val="12"/>
        <color rgb="FF000000"/>
        <rFont val="Microsoft YaHei"/>
        <charset val="134"/>
      </rPr>
      <t>粉末</t>
    </r>
    <r>
      <rPr>
        <sz val="12"/>
        <color indexed="10"/>
        <rFont val="Microsoft YaHei"/>
        <charset val="134"/>
      </rPr>
      <t>*（必须填）</t>
    </r>
  </si>
  <si>
    <t>收件人公司</t>
  </si>
  <si>
    <r>
      <rPr>
        <sz val="12"/>
        <color rgb="FF000000"/>
        <rFont val="Microsoft YaHei"/>
        <charset val="134"/>
      </rPr>
      <t>危险品</t>
    </r>
    <r>
      <rPr>
        <sz val="12"/>
        <color indexed="10"/>
        <rFont val="Microsoft YaHei"/>
        <charset val="134"/>
      </rPr>
      <t>*（必须填）</t>
    </r>
  </si>
  <si>
    <r>
      <rPr>
        <sz val="12"/>
        <color rgb="FF000000"/>
        <rFont val="Microsoft YaHei"/>
        <charset val="134"/>
      </rPr>
      <t>收件人地址一</t>
    </r>
    <r>
      <rPr>
        <sz val="12"/>
        <color indexed="10"/>
        <rFont val="Microsoft YaHei"/>
        <charset val="134"/>
      </rPr>
      <t>*（必须填）</t>
    </r>
  </si>
  <si>
    <r>
      <rPr>
        <sz val="12"/>
        <color rgb="FF000000"/>
        <rFont val="Microsoft YaHei"/>
        <charset val="134"/>
      </rPr>
      <t>报关方式</t>
    </r>
    <r>
      <rPr>
        <sz val="12"/>
        <color rgb="FF00B050"/>
        <rFont val="Microsoft YaHei"/>
        <charset val="134"/>
      </rPr>
      <t>*（必须填）</t>
    </r>
  </si>
  <si>
    <t>收件人地址二</t>
  </si>
  <si>
    <t>清关方式</t>
  </si>
  <si>
    <t>收件人地址三</t>
  </si>
  <si>
    <t>交税方式</t>
  </si>
  <si>
    <r>
      <rPr>
        <sz val="12"/>
        <color rgb="FF000000"/>
        <rFont val="Microsoft YaHei"/>
        <charset val="134"/>
      </rPr>
      <t>收件人城市</t>
    </r>
    <r>
      <rPr>
        <sz val="12"/>
        <color rgb="FF00B050"/>
        <rFont val="Microsoft YaHei"/>
        <charset val="134"/>
      </rPr>
      <t>*（必须填）</t>
    </r>
  </si>
  <si>
    <t>交货条款</t>
  </si>
  <si>
    <r>
      <rPr>
        <sz val="12"/>
        <color rgb="FF000000"/>
        <rFont val="Microsoft YaHei"/>
        <charset val="134"/>
      </rPr>
      <t>收件人省份/州</t>
    </r>
    <r>
      <rPr>
        <sz val="12"/>
        <color rgb="FF00B050"/>
        <rFont val="Microsoft YaHei"/>
        <charset val="134"/>
      </rPr>
      <t>*（必须填）</t>
    </r>
  </si>
  <si>
    <t>VAT号</t>
  </si>
  <si>
    <r>
      <rPr>
        <sz val="12"/>
        <color rgb="FF000000"/>
        <rFont val="Microsoft YaHei"/>
        <charset val="134"/>
      </rPr>
      <t>收件人邮编</t>
    </r>
    <r>
      <rPr>
        <sz val="12"/>
        <color indexed="10"/>
        <rFont val="Microsoft YaHei"/>
        <charset val="134"/>
      </rPr>
      <t>*（必须填）</t>
    </r>
  </si>
  <si>
    <t>参考号一</t>
  </si>
  <si>
    <r>
      <rPr>
        <sz val="12"/>
        <color rgb="FF000000"/>
        <rFont val="Microsoft YaHei"/>
        <charset val="134"/>
      </rPr>
      <t>收件人国家代码(二字代码)</t>
    </r>
    <r>
      <rPr>
        <sz val="12"/>
        <color indexed="10"/>
        <rFont val="Microsoft YaHei"/>
        <charset val="134"/>
      </rPr>
      <t>*</t>
    </r>
  </si>
  <si>
    <t>参考号二</t>
  </si>
  <si>
    <t>收件人电话</t>
  </si>
  <si>
    <t>收件人邮箱</t>
  </si>
  <si>
    <r>
      <rPr>
        <b/>
        <sz val="22"/>
        <color theme="0"/>
        <rFont val="Microsoft YaHei"/>
        <charset val="134"/>
      </rPr>
      <t>亚马逊地址只需要在地址库编码一栏输入对应的仓库代码，发票地址会自动补全完整。</t>
    </r>
    <r>
      <rPr>
        <b/>
        <sz val="18"/>
        <color theme="0"/>
        <rFont val="Microsoft YaHei"/>
        <charset val="134"/>
      </rPr>
      <t xml:space="preserve">
</t>
    </r>
    <r>
      <rPr>
        <b/>
        <sz val="18"/>
        <color indexed="9"/>
        <rFont val="Microsoft YaHei"/>
        <charset val="134"/>
      </rPr>
      <t>（请注意：此功能只是辅助客户下单，地址需要您自行核对！！！）</t>
    </r>
  </si>
  <si>
    <t>PO Number</t>
  </si>
  <si>
    <t>非必填</t>
  </si>
  <si>
    <r>
      <rPr>
        <sz val="12"/>
        <color rgb="FF000000"/>
        <rFont val="Microsoft YaHei"/>
        <charset val="134"/>
      </rPr>
      <t>箱数</t>
    </r>
    <r>
      <rPr>
        <sz val="12"/>
        <color rgb="FF00B050"/>
        <rFont val="Microsoft YaHei"/>
        <charset val="134"/>
      </rPr>
      <t>*（必须填）</t>
    </r>
  </si>
  <si>
    <r>
      <rPr>
        <b/>
        <sz val="12"/>
        <color rgb="FF000000"/>
        <rFont val="Microsoft YaHei"/>
        <charset val="134"/>
      </rPr>
      <t>货箱编号</t>
    </r>
    <r>
      <rPr>
        <b/>
        <sz val="12"/>
        <color indexed="10"/>
        <rFont val="Microsoft YaHei"/>
        <charset val="134"/>
      </rPr>
      <t>*</t>
    </r>
  </si>
  <si>
    <r>
      <rPr>
        <b/>
        <sz val="12"/>
        <color rgb="FF000000"/>
        <rFont val="Microsoft YaHei"/>
        <charset val="134"/>
      </rPr>
      <t>货箱重量(KG)</t>
    </r>
    <r>
      <rPr>
        <b/>
        <sz val="12"/>
        <color indexed="10"/>
        <rFont val="Microsoft YaHei"/>
        <charset val="134"/>
      </rPr>
      <t>* （单件）</t>
    </r>
  </si>
  <si>
    <r>
      <rPr>
        <b/>
        <sz val="12"/>
        <color rgb="FF000000"/>
        <rFont val="Microsoft YaHei"/>
        <charset val="134"/>
      </rPr>
      <t>货箱长度(</t>
    </r>
    <r>
      <rPr>
        <b/>
        <sz val="12"/>
        <color indexed="8"/>
        <rFont val="Microsoft YaHei"/>
        <charset val="134"/>
      </rPr>
      <t>CM)</t>
    </r>
    <r>
      <rPr>
        <b/>
        <sz val="12"/>
        <color indexed="10"/>
        <rFont val="Microsoft YaHei"/>
        <charset val="134"/>
      </rPr>
      <t>*</t>
    </r>
  </si>
  <si>
    <r>
      <rPr>
        <b/>
        <sz val="12"/>
        <color rgb="FF000000"/>
        <rFont val="Microsoft YaHei"/>
        <charset val="134"/>
      </rPr>
      <t>货箱宽度(</t>
    </r>
    <r>
      <rPr>
        <b/>
        <sz val="12"/>
        <color indexed="8"/>
        <rFont val="Microsoft YaHei"/>
        <charset val="134"/>
      </rPr>
      <t>CM)</t>
    </r>
    <r>
      <rPr>
        <b/>
        <sz val="12"/>
        <color indexed="10"/>
        <rFont val="Microsoft YaHei"/>
        <charset val="134"/>
      </rPr>
      <t>*</t>
    </r>
  </si>
  <si>
    <r>
      <rPr>
        <b/>
        <sz val="12"/>
        <color rgb="FF000000"/>
        <rFont val="Microsoft YaHei"/>
        <charset val="134"/>
      </rPr>
      <t>货箱高度(</t>
    </r>
    <r>
      <rPr>
        <b/>
        <sz val="12"/>
        <color indexed="8"/>
        <rFont val="Microsoft YaHei"/>
        <charset val="134"/>
      </rPr>
      <t>CM)</t>
    </r>
    <r>
      <rPr>
        <b/>
        <sz val="12"/>
        <color indexed="10"/>
        <rFont val="Microsoft YaHei"/>
        <charset val="134"/>
      </rPr>
      <t>*</t>
    </r>
  </si>
  <si>
    <r>
      <rPr>
        <b/>
        <sz val="12"/>
        <color rgb="FF000000"/>
        <rFont val="Microsoft YaHei"/>
        <charset val="134"/>
      </rPr>
      <t>产品英文品名</t>
    </r>
    <r>
      <rPr>
        <b/>
        <sz val="12"/>
        <color indexed="10"/>
        <rFont val="Microsoft YaHei"/>
        <charset val="134"/>
      </rPr>
      <t>*</t>
    </r>
  </si>
  <si>
    <r>
      <rPr>
        <b/>
        <sz val="12"/>
        <color rgb="FF000000"/>
        <rFont val="Microsoft YaHei"/>
        <charset val="134"/>
      </rPr>
      <t>产品中文品名</t>
    </r>
    <r>
      <rPr>
        <b/>
        <sz val="12"/>
        <color indexed="10"/>
        <rFont val="Microsoft YaHei"/>
        <charset val="134"/>
      </rPr>
      <t>*</t>
    </r>
  </si>
  <si>
    <r>
      <rPr>
        <b/>
        <sz val="12"/>
        <color rgb="FF000000"/>
        <rFont val="Microsoft YaHei"/>
        <charset val="134"/>
      </rPr>
      <t>产品申报单价</t>
    </r>
    <r>
      <rPr>
        <b/>
        <sz val="12"/>
        <color indexed="10"/>
        <rFont val="Microsoft YaHei"/>
        <charset val="134"/>
      </rPr>
      <t>*</t>
    </r>
  </si>
  <si>
    <r>
      <rPr>
        <b/>
        <sz val="12"/>
        <color rgb="FF000000"/>
        <rFont val="Microsoft YaHei"/>
        <charset val="134"/>
      </rPr>
      <t>产品申报数量</t>
    </r>
    <r>
      <rPr>
        <b/>
        <sz val="12"/>
        <color indexed="10"/>
        <rFont val="Microsoft YaHei"/>
        <charset val="134"/>
      </rPr>
      <t>* 
（单件）</t>
    </r>
  </si>
  <si>
    <r>
      <rPr>
        <b/>
        <sz val="12"/>
        <color rgb="FF000000"/>
        <rFont val="Microsoft YaHei"/>
        <charset val="134"/>
      </rPr>
      <t>产品材质</t>
    </r>
    <r>
      <rPr>
        <b/>
        <sz val="12"/>
        <color indexed="10"/>
        <rFont val="Microsoft YaHei"/>
        <charset val="134"/>
      </rPr>
      <t>*</t>
    </r>
  </si>
  <si>
    <r>
      <rPr>
        <b/>
        <sz val="12"/>
        <color rgb="FF000000"/>
        <rFont val="Microsoft YaHei"/>
        <charset val="134"/>
      </rPr>
      <t>产品海关编码</t>
    </r>
    <r>
      <rPr>
        <b/>
        <sz val="12"/>
        <color indexed="10"/>
        <rFont val="Microsoft YaHei"/>
        <charset val="134"/>
      </rPr>
      <t>*</t>
    </r>
  </si>
  <si>
    <r>
      <rPr>
        <b/>
        <sz val="12"/>
        <color rgb="FF000000"/>
        <rFont val="Microsoft YaHei"/>
        <charset val="134"/>
      </rPr>
      <t>产品用途</t>
    </r>
    <r>
      <rPr>
        <b/>
        <sz val="12"/>
        <color indexed="10"/>
        <rFont val="Microsoft YaHei"/>
        <charset val="134"/>
      </rPr>
      <t>*</t>
    </r>
  </si>
  <si>
    <r>
      <rPr>
        <b/>
        <sz val="12"/>
        <color rgb="FF000000"/>
        <rFont val="Microsoft YaHei"/>
        <charset val="134"/>
      </rPr>
      <t>产品品牌</t>
    </r>
    <r>
      <rPr>
        <b/>
        <sz val="12"/>
        <color indexed="10"/>
        <rFont val="Microsoft YaHei"/>
        <charset val="134"/>
      </rPr>
      <t>*</t>
    </r>
  </si>
  <si>
    <r>
      <rPr>
        <b/>
        <sz val="12"/>
        <color rgb="FF000000"/>
        <rFont val="Microsoft YaHei"/>
        <charset val="134"/>
      </rPr>
      <t>产品型号</t>
    </r>
    <r>
      <rPr>
        <b/>
        <sz val="12"/>
        <color indexed="10"/>
        <rFont val="Microsoft YaHei"/>
        <charset val="134"/>
      </rPr>
      <t>*</t>
    </r>
  </si>
  <si>
    <t>产品图片</t>
  </si>
  <si>
    <t>产品销售链接</t>
  </si>
  <si>
    <t>产品销售价格</t>
  </si>
  <si>
    <t>产品图片链接</t>
  </si>
  <si>
    <t>产品重量(kg)</t>
  </si>
  <si>
    <t>产品ASIN</t>
  </si>
  <si>
    <t>产品FNSKU</t>
  </si>
  <si>
    <t>产品SKU</t>
  </si>
  <si>
    <t>郑重声明：各客户朋友交货前请自行严查货物，如我司查到以下禁止入仓的货物，将采取报警处理！！！</t>
  </si>
  <si>
    <t>帕斯供应链禁止入仓的货物</t>
  </si>
  <si>
    <t>点击返回主页</t>
  </si>
  <si>
    <t>根据《国际海运危险货物规则》和国家标准《危险货物品名表》所列的危险品，目前，我司仓库不接收的货物品名如下（包括但不限于以下品名）：</t>
  </si>
  <si>
    <t>(1)爆炸品：炸药、雷管、火药、子弹、烟花、鞭炮等；</t>
  </si>
  <si>
    <t>(2)易燃气体：打火机、打火机油、空气清新剂、摩丝(发胶、头发定型剂)、液化气，灭火器等；</t>
  </si>
  <si>
    <t>(3)易燃液体：油漆、酒精、白酒、胶黏剂、粘合剂、丙酮、汽油、柴油、天那水、胶水、 粘合剂、油墨、定型水、指甲油、香水等；</t>
  </si>
  <si>
    <t>(4)易燃固体：火柴、硫磺、明胶、硝基、磷、镁、乒乓球、蜡烛等；</t>
  </si>
  <si>
    <t>(5)毒性物质：砷、尼古丁、氰化物、氰化钾、杀虫剂、农药等；</t>
  </si>
  <si>
    <t>(6)腐蚀品：硫酸、盐酸、氢氧化钠、氢氧化钾、水银、双氧水、电镀用溶液、蓄电池、清洗液、清洁水等；</t>
  </si>
  <si>
    <t>(7)杂类：安全气囊、太阳能移动电源、字画、古玩，二手物品等；</t>
  </si>
  <si>
    <t>(8)仿牌类：凡是在中国海关和其他国家/地区海关网站上能查到登记信息的任何仿牌货物都禁止入仓，非牌子货需提供品牌申明书；</t>
  </si>
  <si>
    <t>(9)拒收FDA registration number的产品（食品/药品(&lt;含宠物食品,药品&gt;，以及医疗设备类/耗材类，眼镜类，与口腔直接接触类，化妆品类，按摩类，拐杖类，辐射类等周边产品）；</t>
  </si>
  <si>
    <t>(10)拒收儿童，婴幼儿类周边产品（比如婴儿提篮和婴儿摇篮，床边婴儿床，婴儿车，婴儿秋千，含铅油漆类玩具等）</t>
  </si>
  <si>
    <t>(11)拒收自行车，山地车以及人体安全保护类周边产品，比如头盔，护具等周边产品；</t>
  </si>
  <si>
    <t>(12)拒收带动物皮，毛类周边产品，电器（家用）相关产品；</t>
  </si>
  <si>
    <t>(13)拒收激光类，油画类（仿），书籍音像制品类周边产品；</t>
  </si>
  <si>
    <t>(14)拒收反倾销类产品；</t>
  </si>
  <si>
    <t>其他限制入仓货物：不属于以上危险品目录范围的货物以及其它外包装上带有易燃、 易爆、易腐蚀标示的货物等，请在交货时提供产品说明、MSDS及保函（审批后确认是否可以入仓）。</t>
  </si>
  <si>
    <t>（15）所有医疗类产品，铅笔，牙刷，口红/发蜡/唇彩/唇膏/睫毛膏/眼影/精油/手膜/足膜/眼膜/面膜/面霜/电子烟/电子烟烟油/流沙手机壳/标本产品 ，</t>
  </si>
  <si>
    <t>美国反倾销产品目录</t>
  </si>
  <si>
    <t>(1)贱金属及其制品</t>
  </si>
  <si>
    <t>钢钉、钢管、碳合金钢丝条、金属硅、金刚石锯片、不锈钢加压管、定尺碳素钢板、石油专用管材、冷轴碳钢、薄壁矩形钢管、熨衣架及部件、螺纹钢筋、弹簧垫圈、非封闭内置弹簧部件、不锈钢拉制深水槽、冷轧钢板、无缝碳钢和合金钢标准管、管线管和压力管、圆锥滚子轴承、铸铁件、金属镁、镀锌板、重锻造手动工具（斧子、撬杠、锤子、镐头）、钢制高压气瓶</t>
  </si>
  <si>
    <t>(2)化学产品</t>
  </si>
  <si>
    <t>己内酰胺（又称碳酸锂）、聚对苯二甲酸乙二酯膜片和条、聚乙烯醇、高锰酸钾、三聚氰胺、天然猪鬃油漆刷及刷头</t>
  </si>
  <si>
    <t>(3)杂项制品</t>
  </si>
  <si>
    <t>木制卧室家具、复合木地板、非晶硅织物、晶体硅光伏电池、小直径石墨电极</t>
  </si>
  <si>
    <t>(4)机械电气设备及部件</t>
  </si>
  <si>
    <t>滚球轴承、汽车挡风玻璃、刹车鼓与刹车转子</t>
  </si>
  <si>
    <t>(5)纸及纸制品</t>
  </si>
  <si>
    <t>铜版纸、格记录纸、薄绵纸、折叠礼品盒、皱纹纸、无涂层纸</t>
  </si>
  <si>
    <t>(6)纺织制品</t>
  </si>
  <si>
    <t>聚酯人造纤维、画布、编织电热毯</t>
  </si>
  <si>
    <t>(7)预制食品与饮料</t>
  </si>
  <si>
    <t>淹渍蘑菇罐头、柠檬酸与柠檬酸盐、华糖醇、冷冻的和罐装的暖水虾</t>
  </si>
  <si>
    <t>(8)塑料与橡胶制品</t>
  </si>
  <si>
    <t>复合编织袋、聚乙烯手提袋、新充气工程机械轮胎</t>
  </si>
  <si>
    <t>(9)矿石及矿物燃料</t>
  </si>
  <si>
    <t>钻石锯条及部件</t>
  </si>
  <si>
    <t>(10)家用电器</t>
  </si>
  <si>
    <t>彩色电视机、家用大型洗衣机</t>
  </si>
  <si>
    <t>(11)车船运输设备及部件</t>
  </si>
  <si>
    <t>自行车、手推车</t>
  </si>
  <si>
    <t>(12)建材与玻璃制品</t>
  </si>
  <si>
    <t>铝型材、双轴土工格栅、镁碳砖</t>
  </si>
  <si>
    <t>(13)蔬菜产品</t>
  </si>
  <si>
    <t>蜂蜜</t>
  </si>
  <si>
    <t>(14)一次性消耗品</t>
  </si>
  <si>
    <t>胶袋、饭盒</t>
  </si>
  <si>
    <t>(15)笔类</t>
  </si>
  <si>
    <t>铅笔、圆珠笔</t>
  </si>
  <si>
    <t>美国反倾销表</t>
  </si>
  <si>
    <t>CESE NO</t>
  </si>
  <si>
    <t>PRODUCT</t>
  </si>
  <si>
    <t xml:space="preserve">chinese name </t>
  </si>
  <si>
    <t>cunent rpc-cwide rate</t>
  </si>
  <si>
    <t>dste of ad order</t>
  </si>
  <si>
    <t>por</t>
  </si>
  <si>
    <t>a-570-866</t>
  </si>
  <si>
    <t>folding gift boxes</t>
  </si>
  <si>
    <t>折叠礼品盒</t>
  </si>
  <si>
    <t>01/28/2002</t>
  </si>
  <si>
    <t>01/01-12/31</t>
  </si>
  <si>
    <t>a-570-873</t>
  </si>
  <si>
    <t>femovanadium</t>
  </si>
  <si>
    <t>铁钳合金</t>
  </si>
  <si>
    <t>01/28/2003</t>
  </si>
  <si>
    <t>a-570-895</t>
  </si>
  <si>
    <t>crepe paper</t>
  </si>
  <si>
    <t>邹纹纸</t>
  </si>
  <si>
    <t>01/25/2005</t>
  </si>
  <si>
    <t>a-570-890</t>
  </si>
  <si>
    <t>wooden bedroom fumiture</t>
  </si>
  <si>
    <t>木制卧室家具</t>
  </si>
  <si>
    <t>01/04/2005</t>
  </si>
  <si>
    <t>feb</t>
  </si>
  <si>
    <t>a-570-501</t>
  </si>
  <si>
    <t>natural bristle paimtbnishes and brish heads</t>
  </si>
  <si>
    <t>天然猪鬃油漆刷及刷头</t>
  </si>
  <si>
    <t>02/14/1986</t>
  </si>
  <si>
    <t>02/01-01/31</t>
  </si>
  <si>
    <t>a-570-803</t>
  </si>
  <si>
    <t>heavy forged hand tools</t>
  </si>
  <si>
    <t>重煅造手工具</t>
  </si>
  <si>
    <t>斧子：174.58%/撬杠：139.31%锤子：45.52%/镐头：98.77%</t>
  </si>
  <si>
    <t>02/19/1991</t>
  </si>
  <si>
    <t>march</t>
  </si>
  <si>
    <t>A-570-894</t>
  </si>
  <si>
    <t xml:space="preserve">tissue paper </t>
  </si>
  <si>
    <t>薄页纸</t>
  </si>
  <si>
    <t>03/30/2005</t>
  </si>
  <si>
    <t>03/01-02/28</t>
  </si>
  <si>
    <t>a-570-846</t>
  </si>
  <si>
    <t>Brake rotor</t>
  </si>
  <si>
    <t>刹车转子</t>
  </si>
  <si>
    <t>04/07/2003</t>
  </si>
  <si>
    <t>04/01-03/31</t>
  </si>
  <si>
    <t>a-570-875</t>
  </si>
  <si>
    <t>Non malleable cast iron pipe fittings</t>
  </si>
  <si>
    <t>无可锻性铸铁管件</t>
  </si>
  <si>
    <t>a-570-896</t>
  </si>
  <si>
    <t xml:space="preserve">Magnesium metal </t>
  </si>
  <si>
    <t>镁金属</t>
  </si>
  <si>
    <t>04/15/2005</t>
  </si>
  <si>
    <t>iron construction castings</t>
  </si>
  <si>
    <t>铁制建筑铸件</t>
  </si>
  <si>
    <t>05/09/1986</t>
  </si>
  <si>
    <t>05/01-04/30</t>
  </si>
  <si>
    <t>Pure magnesium</t>
  </si>
  <si>
    <t>纯镁</t>
  </si>
  <si>
    <t>05/12/1995</t>
  </si>
  <si>
    <t>Tapered roller bearings and parts</t>
  </si>
  <si>
    <t>圆锥滚子轴承及部件</t>
  </si>
  <si>
    <t>05/21/1987</t>
  </si>
  <si>
    <t>06/01-05/31</t>
  </si>
  <si>
    <t>Silicon metal</t>
  </si>
  <si>
    <t>硅金属</t>
  </si>
  <si>
    <t>06/10/1991</t>
  </si>
  <si>
    <t>Furfuryl alcohol</t>
  </si>
  <si>
    <t>糠醇</t>
  </si>
  <si>
    <t>06/21/1995</t>
  </si>
  <si>
    <t>Folding Metal Tables and Chairs</t>
  </si>
  <si>
    <t>折叠金属桌椅</t>
  </si>
  <si>
    <t>06/27/2002</t>
  </si>
  <si>
    <t>Lawn and gardon steel fence posts</t>
  </si>
  <si>
    <t>草坪和花园铁制栅栏支架</t>
  </si>
  <si>
    <t>06/12/2003</t>
  </si>
  <si>
    <t>olour television  receivers</t>
  </si>
  <si>
    <t>彩色电视机</t>
  </si>
  <si>
    <t>06/03/2004</t>
  </si>
  <si>
    <t>artist canvas</t>
  </si>
  <si>
    <t>画布</t>
  </si>
  <si>
    <t>06/01/2006</t>
  </si>
  <si>
    <t>Carbon steel butt-weld pipe fittings</t>
  </si>
  <si>
    <t>碳钢焊接接口</t>
  </si>
  <si>
    <t>07/06/1992</t>
  </si>
  <si>
    <t>07/01-06/30</t>
  </si>
  <si>
    <t>bulk aspirin</t>
  </si>
  <si>
    <t>散装阿斯匹林</t>
  </si>
  <si>
    <t>07/11/2000</t>
  </si>
  <si>
    <t>07/06-06/30</t>
  </si>
  <si>
    <t xml:space="preserve">Floor -standring metal-top  ironing tables and certain parts </t>
  </si>
  <si>
    <t>落地式金属台面烫衣板及部件</t>
  </si>
  <si>
    <t>08/06/2004</t>
  </si>
  <si>
    <t>08/01-07/31</t>
  </si>
  <si>
    <t>Petroleum wax candles</t>
  </si>
  <si>
    <t>石油蜡烛</t>
  </si>
  <si>
    <t>08/28/1986</t>
  </si>
  <si>
    <t>steel concrete reinforcing bars</t>
  </si>
  <si>
    <t>钢筋</t>
  </si>
  <si>
    <t>09/07/2001</t>
  </si>
  <si>
    <t>09/01-08/30</t>
  </si>
  <si>
    <t xml:space="preserve">foundry coke products </t>
  </si>
  <si>
    <t>铸造焦碳</t>
  </si>
  <si>
    <t>09/17/2001</t>
  </si>
  <si>
    <t xml:space="preserve">greig polyester cotton  print cloth </t>
  </si>
  <si>
    <t>原聚酯棉印花布</t>
  </si>
  <si>
    <t>09/16/1983</t>
  </si>
  <si>
    <t>09/01-08/31</t>
  </si>
  <si>
    <t>Lined Paper products</t>
  </si>
  <si>
    <t>文具纸(记事本）</t>
  </si>
  <si>
    <t>10/26/2006</t>
  </si>
  <si>
    <t>Helical spring lock washer</t>
  </si>
  <si>
    <t>螺旋形弹簧锁垫圈</t>
  </si>
  <si>
    <t>10/19/1993</t>
  </si>
  <si>
    <t>10/01-09/30</t>
  </si>
  <si>
    <t>cut-to-length Carbon steel plate</t>
  </si>
  <si>
    <t>定尺碳钢板</t>
  </si>
  <si>
    <t>10/24/1997</t>
  </si>
  <si>
    <t>Barium carbonate</t>
  </si>
  <si>
    <t>碳酸钡</t>
  </si>
  <si>
    <t>10/01/2003</t>
  </si>
  <si>
    <t xml:space="preserve">pure magnesium in Granular </t>
  </si>
  <si>
    <t>颗粒状纯镁</t>
  </si>
  <si>
    <t>11/19/2001</t>
  </si>
  <si>
    <t>11/01-10/30</t>
  </si>
  <si>
    <t>Hot-rolled carbon steel flat products</t>
  </si>
  <si>
    <t>热轧碳钢板</t>
  </si>
  <si>
    <t>11/29/2001</t>
  </si>
  <si>
    <t>refined brown aluminum oxide</t>
  </si>
  <si>
    <t>棕刚玉</t>
  </si>
  <si>
    <t>11/19/2003</t>
  </si>
  <si>
    <t>11/01-10/31</t>
  </si>
  <si>
    <t>paper Clips</t>
  </si>
  <si>
    <t>曲别针</t>
  </si>
  <si>
    <t>11/25/1994</t>
  </si>
  <si>
    <t>porcelain-on-steel cooking ware</t>
  </si>
  <si>
    <t>搪瓷厨具</t>
  </si>
  <si>
    <t>112/02/1986</t>
  </si>
  <si>
    <t>12/01-11/30</t>
  </si>
  <si>
    <t>cased pencils</t>
  </si>
  <si>
    <t>铅笔</t>
  </si>
  <si>
    <t>12/28/1994</t>
  </si>
  <si>
    <t>Silicon-manganese</t>
  </si>
  <si>
    <t>硅锰合金</t>
  </si>
  <si>
    <t>12/22/1994</t>
  </si>
  <si>
    <t>malleable iron pipe fittings</t>
  </si>
  <si>
    <t>可锻性玛钢管件</t>
  </si>
  <si>
    <t>12/12/2003</t>
  </si>
  <si>
    <t>Carbazole Violet Pigment 23</t>
  </si>
  <si>
    <t>咔唑紫颜料</t>
  </si>
  <si>
    <t>12/29/2004</t>
  </si>
  <si>
    <t xml:space="preserve">hand trucks </t>
  </si>
  <si>
    <t>手推车</t>
  </si>
  <si>
    <t>12/022004</t>
  </si>
  <si>
    <t>Investigstion</t>
  </si>
  <si>
    <t>Chlorinated isocyanurates</t>
  </si>
  <si>
    <t>氯代异氰</t>
  </si>
  <si>
    <t>06/24/2005</t>
  </si>
  <si>
    <t>A-570-909</t>
  </si>
  <si>
    <t xml:space="preserve">Steel nail </t>
  </si>
  <si>
    <t>钢钉</t>
  </si>
  <si>
    <t xml:space="preserve">A-570-910 </t>
  </si>
  <si>
    <t xml:space="preserve">Circular welded carbon QUALITY steel pipe </t>
  </si>
  <si>
    <t>圆形焊接碳钢管件</t>
  </si>
  <si>
    <t>A-570-912</t>
  </si>
  <si>
    <t>New pneumatic off-the-road tires</t>
  </si>
  <si>
    <t>新充气工程机械轮胎</t>
  </si>
  <si>
    <t>A-570-920</t>
  </si>
  <si>
    <t>lightweight thermal paper</t>
  </si>
  <si>
    <t>低克重热敏纸</t>
  </si>
  <si>
    <t>A-570-922</t>
  </si>
  <si>
    <t>RAW FLEXIBLE MAGNETS</t>
  </si>
  <si>
    <t>未加工橡胶磁</t>
  </si>
  <si>
    <t>A-570-929</t>
  </si>
  <si>
    <t>small diarneter graphite electrodes</t>
  </si>
  <si>
    <t>小直径石墨电极</t>
  </si>
  <si>
    <t>A-570-930</t>
  </si>
  <si>
    <t>circular welded a ustenitic stainless pressure pipe</t>
  </si>
  <si>
    <t>圆形焊接奥氏体不锈高压套管</t>
  </si>
  <si>
    <t>美国亚马逊部分仓库信息参考：</t>
  </si>
  <si>
    <t>洲名</t>
  </si>
  <si>
    <t>仓库代码</t>
  </si>
  <si>
    <t>仓库地址</t>
  </si>
  <si>
    <t>邮编</t>
  </si>
  <si>
    <t>Washington</t>
  </si>
  <si>
    <t>BFI1/ BFIX</t>
  </si>
  <si>
    <t>1800 140th Avenue E.,Sumner,Washington,USA,98390-9624</t>
  </si>
  <si>
    <t>BFI3</t>
  </si>
  <si>
    <t>2700 Center Drive,Dupont,Washington,USA,98327-9607</t>
  </si>
  <si>
    <t>2401 Utah Ave South,First Floor,Seattle,Washington,USA,98134</t>
  </si>
  <si>
    <t>1926 6th Ave. S.,Seattle,Washington,USA,98134</t>
  </si>
  <si>
    <t>UWA2</t>
  </si>
  <si>
    <t>13537 Aurora Ave.N.,North Seattle,Washington,USA,98133</t>
  </si>
  <si>
    <t>UWA3</t>
  </si>
  <si>
    <t>2121 8th Ave.,Seattle,Washington,USA,98121</t>
  </si>
  <si>
    <t>DSE2</t>
  </si>
  <si>
    <t>6705 E Marginal Way,Seattle,Washington,USA,98108</t>
  </si>
  <si>
    <t>UWA1</t>
  </si>
  <si>
    <t>11710 118th Ave. N.E.,Building B,Kirkland,Washington,USA,98034</t>
  </si>
  <si>
    <t>BFI4</t>
  </si>
  <si>
    <t>21005 64th Ave.S,Kent,Washington,USA,98032-2423</t>
  </si>
  <si>
    <t>BFI5</t>
  </si>
  <si>
    <t>20529 59th Place South,Building B,Kent,Washington,USA,98032</t>
  </si>
  <si>
    <t>BFI6</t>
  </si>
  <si>
    <t>20280 84th Ave S.,Kent,Washington,USA,98032</t>
  </si>
  <si>
    <t>SEA6/ SEA8</t>
  </si>
  <si>
    <t>1227 124th Ave NE,Building 2,Bellevue,Washington,USA,98005-2111</t>
  </si>
  <si>
    <t>Pennsylvania</t>
  </si>
  <si>
    <t>UOR1</t>
  </si>
  <si>
    <t>2250 Northwest 22nd Avenue,Portland,Oregon,USA,97210</t>
  </si>
  <si>
    <t>Oregon</t>
  </si>
  <si>
    <t>PDX5</t>
  </si>
  <si>
    <t>5647 NW Huffman Street,Washington,Hillsboro,Oregon,USA,97124-5848</t>
  </si>
  <si>
    <t>PDX1</t>
  </si>
  <si>
    <t>Swigert Way,Troutdale Reynolds Industrial Park,Troutdale,Oregon,USA,97060</t>
  </si>
  <si>
    <t>California</t>
  </si>
  <si>
    <t>Metro Air Parkway,Sacramento,California,USA,95835</t>
  </si>
  <si>
    <t>UCA9</t>
  </si>
  <si>
    <t>2934 Ramona Avenue,Sacramento,California,USA,95826-3813</t>
  </si>
  <si>
    <t>SJC7</t>
  </si>
  <si>
    <t>188 Mountain House Parkway,Tracy,California,USA,95377-8906</t>
  </si>
  <si>
    <t>OAK3</t>
  </si>
  <si>
    <t>255 Park Center Drive,Patterson,California,USA,95363-8876</t>
  </si>
  <si>
    <t>OAK4/OAK6</t>
  </si>
  <si>
    <t>1555 N.Chrisman Rd.,Tracy,California,USA,95304-9370</t>
  </si>
  <si>
    <t>OAK6</t>
  </si>
  <si>
    <t>1555 N.Chrisman Rd.Tracy,California,USA,95304-9370</t>
  </si>
  <si>
    <t>XUSD</t>
  </si>
  <si>
    <t>1909 Zephy Street,Stockton,California,USA,95206</t>
  </si>
  <si>
    <t>DSF3</t>
  </si>
  <si>
    <t>1700 Montague Expy,San Jose,California,USA,95131</t>
  </si>
  <si>
    <t>UCA8</t>
  </si>
  <si>
    <t>3100 San Pablo Ave.Ste 120,West Berkley,California,USA,94702</t>
  </si>
  <si>
    <t>DSF1</t>
  </si>
  <si>
    <t>990 Beecher St,San Leandro,California,USA,94577</t>
  </si>
  <si>
    <t>OAK5/OAK7</t>
  </si>
  <si>
    <t>38811 Cherry Street,Newark,California,USA,94560-4939</t>
  </si>
  <si>
    <t>UCA1</t>
  </si>
  <si>
    <t>888 Tennessee Street,San Francisco,California,USA,94112</t>
  </si>
  <si>
    <t>UCA7</t>
  </si>
  <si>
    <t>222 Commercial Street,Sunnyvale,California,USA,94085-4508</t>
  </si>
  <si>
    <t>DSF5</t>
  </si>
  <si>
    <t>250 Utah Avenue,South San Francisco,California,USA,94080-6801</t>
  </si>
  <si>
    <t>DSF6</t>
  </si>
  <si>
    <t>6015 Giant Road,Richmond,California,USA,94080-6801</t>
  </si>
  <si>
    <t>17871 Von Karman Ave.,Irvine,California,USA,92614</t>
  </si>
  <si>
    <t>UCA4</t>
  </si>
  <si>
    <t>2006 McGaw Ave,Irvine,California,USA,92614</t>
  </si>
  <si>
    <t>ONT6</t>
  </si>
  <si>
    <t>24208 San Michelle Rd,Morenno Valley,California,USA,92551-9561</t>
  </si>
  <si>
    <t>ONT8</t>
  </si>
  <si>
    <t>24300 Nandina Ave,Moreno Valley,California,USA,92551-9534</t>
  </si>
  <si>
    <t>DLA5</t>
  </si>
  <si>
    <t>6250 Sycamore Canyon Blvd,Riverside,Calidfornia,USA 92507-0771</t>
  </si>
  <si>
    <t>ONT2/ONT3</t>
  </si>
  <si>
    <t>1910E.Central Ave.,Building 3,San Bernardino,California,USA,92408-0123</t>
  </si>
  <si>
    <t>ONT4/ONT7</t>
  </si>
  <si>
    <t>2020 E.Central Av.,Building 4,San Bernardino,California,USA,92408-2606</t>
  </si>
  <si>
    <t>ONT5</t>
  </si>
  <si>
    <t>2020 E.Central Ave.,San Bernardino,California,USA,92408-2606</t>
  </si>
  <si>
    <t>SNA7/SNA8</t>
  </si>
  <si>
    <t>555 East Orange Road,Gateway South Building 3,San Bernardino,California,USA92408-2453</t>
  </si>
  <si>
    <t>SNA4</t>
  </si>
  <si>
    <t>2496W Walnut Ave.,Rialto,California,USA,92376-3009</t>
  </si>
  <si>
    <t>Redlands,California,USA,92374</t>
  </si>
  <si>
    <t>ONT9</t>
  </si>
  <si>
    <t>2125 W. San Bernardino Ave,Redlands,California,USA,92374-5005</t>
  </si>
  <si>
    <t>DSD1</t>
  </si>
  <si>
    <t>7130 Miramar Rd.300A,San Diego,California,USA,92121</t>
  </si>
  <si>
    <t>UCA6</t>
  </si>
  <si>
    <t>2727 Kurtz St,San Diego,California,USA,92110</t>
  </si>
  <si>
    <t>DSD2</t>
  </si>
  <si>
    <t>2777 Loker Ave W, Carlsbad,California,USA,92010-6517</t>
  </si>
  <si>
    <t>Goodman Commerce Center,Antu-Galleano Ranch Road Exit on the I-15,Eastvale,California,USA,91752</t>
  </si>
  <si>
    <t>SNA6/SNA9</t>
  </si>
  <si>
    <t>5250 Goodman Way,Eastvale,California,USA,91752-5088</t>
  </si>
  <si>
    <t>DLA4</t>
  </si>
  <si>
    <t>9031 Lurline Ave,Chatsworth,California,USA,91311</t>
  </si>
  <si>
    <t>DLA2</t>
  </si>
  <si>
    <t>5650 Dolly Ave,Buena Park,California,USA,90621</t>
  </si>
  <si>
    <t>DLA1</t>
  </si>
  <si>
    <t>900 W Florence Ave,Inglewood,California,USA,90301</t>
  </si>
  <si>
    <t>UCA2</t>
  </si>
  <si>
    <t>Redondo Beach,California,USA,90277</t>
  </si>
  <si>
    <t>DLA8</t>
  </si>
  <si>
    <t>2815 W.El Segundo Blvd.,Hawthorne,California,USA,90250</t>
  </si>
  <si>
    <t>3334 Norh San Fernando Road,Los Angeles,California,USA,90065-1417</t>
  </si>
  <si>
    <t>UCA3</t>
  </si>
  <si>
    <t>11800 W Olympic Blvd,Los Angeles,California,USA,90064-1100</t>
  </si>
  <si>
    <t>DLA3</t>
  </si>
  <si>
    <t>5829 Smithway St,Commerce,California,USA,90040</t>
  </si>
  <si>
    <t>UCA5</t>
  </si>
  <si>
    <t>Silver Lake,California,USA,90001</t>
  </si>
  <si>
    <t>Nevada</t>
  </si>
  <si>
    <t>RNO4</t>
  </si>
  <si>
    <t>8000 North Virginia Street,Reno,Nevada,USA,89506</t>
  </si>
  <si>
    <t>RNO3</t>
  </si>
  <si>
    <t>555 Milan Dr,Sparks,Nevada,USA,89434</t>
  </si>
  <si>
    <t>New York</t>
  </si>
  <si>
    <t>UNV1</t>
  </si>
  <si>
    <t>3650 East Post Road,Sutte E,Las Vegas,Nevada,USA,89120-6297</t>
  </si>
  <si>
    <t>North Lamb Boulevard and Tropical Parkway North Las Vegas,Nevada,USA,89081</t>
  </si>
  <si>
    <t>LAS2</t>
  </si>
  <si>
    <t>3837 Bay Lake Trail,North Las Vegas,Nevada,USA,89030</t>
  </si>
  <si>
    <t>Arizona</t>
  </si>
  <si>
    <t>PHX5</t>
  </si>
  <si>
    <t>16920 W. Commerce Dr.,Goodyear,Arizona,USA,85338-3620</t>
  </si>
  <si>
    <t>DPX2</t>
  </si>
  <si>
    <t>800 N 75th Ave,Phoenix,Arizona,USA,85043</t>
  </si>
  <si>
    <t>PHX3</t>
  </si>
  <si>
    <t>6835 West Buckeye Road,Phoenix,Arizona,USA,85043</t>
  </si>
  <si>
    <t>PHX6/TFC1</t>
  </si>
  <si>
    <t>4750 &amp; 5050 West Mohave Street,Phoenix,Arizona,USA,85043-4428</t>
  </si>
  <si>
    <t>PHX7/PHX8</t>
  </si>
  <si>
    <t>800 N.75th Ave,Phoenix,Arizona,USA,85043-3101</t>
  </si>
  <si>
    <t>PHX8</t>
  </si>
  <si>
    <t>DPX1</t>
  </si>
  <si>
    <t>500 S.48th Street,Phoenix,Arizona,USA,85034</t>
  </si>
  <si>
    <t>UAZ1</t>
  </si>
  <si>
    <t>Phoenix,Arizona,USA,85001</t>
  </si>
  <si>
    <t>Colorado</t>
  </si>
  <si>
    <t>DEN6</t>
  </si>
  <si>
    <t>Crossroads Commerce Park,Building,2 480 E.55th Ave.,Adams Denver,Colorado,USA,80216</t>
  </si>
  <si>
    <t>DEN1</t>
  </si>
  <si>
    <t>East 19th Avenue North,Prologis Park 70 Aurira,Colorado,USA,80019</t>
  </si>
  <si>
    <t>DEN5</t>
  </si>
  <si>
    <t>19799 E.36th Avenue,Majestic Commercenter Building #29 Aurora,Colorado,USA,80011-8189</t>
  </si>
  <si>
    <t>Texas</t>
  </si>
  <si>
    <t>SAT2</t>
  </si>
  <si>
    <t>1401 East McCarty Lane,San Marcos,Texas,USA,78666-8969</t>
  </si>
  <si>
    <t>SAT5</t>
  </si>
  <si>
    <t>1410 S.Callaghan Road,Bexar,San Antonio,Texas,USA,78227-2204</t>
  </si>
  <si>
    <t>SAT1</t>
  </si>
  <si>
    <t>6000 Enterprise Avenue,Schertz,Texas,USA,78154-1461</t>
  </si>
  <si>
    <t>HOU1</t>
  </si>
  <si>
    <t>8120 Humble Westfield Rd,Humble,Texas,USA,77338-4142</t>
  </si>
  <si>
    <t>UTX3</t>
  </si>
  <si>
    <t>Houston,Texas,USA,77001</t>
  </si>
  <si>
    <t>DFW7</t>
  </si>
  <si>
    <t>700 Westport Parkway,(Haslet)Fort Worth,Texas,USA,76177-4513</t>
  </si>
  <si>
    <t>FTW3</t>
  </si>
  <si>
    <t>15201 Heritage Parkway,Fort Worth,Texas,USA,76177-2517</t>
  </si>
  <si>
    <t>XUSB</t>
  </si>
  <si>
    <t>14900 Frye Road,Fort Worth,Texas,USA,76155</t>
  </si>
  <si>
    <t>FTW4</t>
  </si>
  <si>
    <t>4601 Gold Spike Drive,Fort Worth,Texas,USA,76106</t>
  </si>
  <si>
    <t>Q4 2016</t>
  </si>
  <si>
    <t>2701 W. Bethel Road,Coppell(Tarrant),Texas,USA,75261-4015</t>
  </si>
  <si>
    <t>FTW1</t>
  </si>
  <si>
    <t>33333 Lyndon B Johnson Freeway,Dallas,Texas,USA,75241-7203</t>
  </si>
  <si>
    <t>DDC1</t>
  </si>
  <si>
    <t>12401 North Stemmons Fwy,Farmers Branch,Texas,USA,75234</t>
  </si>
  <si>
    <t>DPO1</t>
  </si>
  <si>
    <t>Portland,Oregon,USA,75234</t>
  </si>
  <si>
    <t>PTX1</t>
  </si>
  <si>
    <t>2101 Danieldale Road,Lancaster,Texas,USA,75134-1551</t>
  </si>
  <si>
    <t>DFW8/DFW9</t>
  </si>
  <si>
    <t>2700 Regent Blvd,Irving,Texas,USA,75063</t>
  </si>
  <si>
    <t>980 Bethel Road,Coppell,Texas,USA,75019</t>
  </si>
  <si>
    <t>DFW6</t>
  </si>
  <si>
    <t>940 W.Bethel Road,Coppell,Texas,USA,75019-4424</t>
  </si>
  <si>
    <t>UTX1</t>
  </si>
  <si>
    <t>Irving,Texas,USA,75014</t>
  </si>
  <si>
    <t>UTX2</t>
  </si>
  <si>
    <t>Auston,Texas,USA,73301</t>
  </si>
  <si>
    <t>Oklahoma</t>
  </si>
  <si>
    <t>PWA5</t>
  </si>
  <si>
    <t>Northeast corner of SW 15th and s Council Road,Oklahoma City,Oklahoma,USA,73179</t>
  </si>
  <si>
    <t>Kansas</t>
  </si>
  <si>
    <t>23100 W 43rd Street Shawnee,Kansas,USA,66226</t>
  </si>
  <si>
    <t>MCI5</t>
  </si>
  <si>
    <t>16851W 113th St,Lenexa Logistics Center,Lecexa,Kansas,USA,66219</t>
  </si>
  <si>
    <t>MCI1</t>
  </si>
  <si>
    <t>Turner Commerce Center,6925 Riverview Ave.Kansas City,Kansas,USA,66102</t>
  </si>
  <si>
    <t>MCI7</t>
  </si>
  <si>
    <t>27200 West 157th Street Johnson(New Century),Kansas,USA,66031</t>
  </si>
  <si>
    <t>MKC4</t>
  </si>
  <si>
    <t>19645 Waverly Rd,Gardner,Kansas,USA,66030</t>
  </si>
  <si>
    <t>Illinois</t>
  </si>
  <si>
    <t>MDW4</t>
  </si>
  <si>
    <t>201 Emerald Drive,Joliet,Illinois,USA,62025-2815</t>
  </si>
  <si>
    <t>STL4</t>
  </si>
  <si>
    <t>3050 Gateway Commerce Center Drive South,Edwardsville,Illinois,USA,62025-2815</t>
  </si>
  <si>
    <t>STL6</t>
  </si>
  <si>
    <t>3931 Lakeview Corporate Dr,Edwardsville,Illinois,USA,62025-2801</t>
  </si>
  <si>
    <t>MDW5</t>
  </si>
  <si>
    <t>1111 N.Cherry Ave.,Goose Island,Illinois,USA,60642</t>
  </si>
  <si>
    <t>Illnois</t>
  </si>
  <si>
    <t>DCH1</t>
  </si>
  <si>
    <t>2801 S.Western Ave,Chicago,Illinois,USA,60608</t>
  </si>
  <si>
    <t>Route 59,Aurora,Illinois,USA,60563</t>
  </si>
  <si>
    <t>DCH3</t>
  </si>
  <si>
    <t>4500 Western Ave,Lisle,Illinois,USA,60532</t>
  </si>
  <si>
    <t>MDW7</t>
  </si>
  <si>
    <t>6521 W.Monee Manhattan Road,Monee,Illinois,USA,60449</t>
  </si>
  <si>
    <t>MDW8</t>
  </si>
  <si>
    <t>1750 Bridge Drive,Waukegan,Illinois,USA,60449</t>
  </si>
  <si>
    <t>MDW6</t>
  </si>
  <si>
    <t>1125 Remington Blvd,Romeoville,Illinois,USA,60446-6529</t>
  </si>
  <si>
    <t>MDW2</t>
  </si>
  <si>
    <t>250 Emerald Drive Joliet,Illinois,United States 60433-9624</t>
  </si>
  <si>
    <t>ORD6</t>
  </si>
  <si>
    <t>1250 N.Mittel Blvd,Wood Dale,Illinois,USA,60191</t>
  </si>
  <si>
    <t>DCH2</t>
  </si>
  <si>
    <t>8220 Austin Ave,Morton Grove,Illinois,USA,60053</t>
  </si>
  <si>
    <t>UMN1</t>
  </si>
  <si>
    <t>763 Kasota Ave.,Minneapolis,Minnesota,USA,55414</t>
  </si>
  <si>
    <t>Minnesota</t>
  </si>
  <si>
    <t>MSP1</t>
  </si>
  <si>
    <t>2601 4th Ave E,Shakopee,Minnesota,USA,55379-1726</t>
  </si>
  <si>
    <t>MSP5</t>
  </si>
  <si>
    <t>5825 11th Ave.East,Shakopee,Minnesota,USA,55379-3810</t>
  </si>
  <si>
    <t>DMN1</t>
  </si>
  <si>
    <t>2811 Beverky Drive,Eagen,Minnesota,USA,55121</t>
  </si>
  <si>
    <t>Wisconsin</t>
  </si>
  <si>
    <t>MKE1</t>
  </si>
  <si>
    <t>3501 120th Ave,Kenosha,Wisconsin,USA,53144-7502</t>
  </si>
  <si>
    <t>MKE5</t>
  </si>
  <si>
    <t>11211 Burlington Road,Kenosha,Wisconsin,USA,53144-7449</t>
  </si>
  <si>
    <t>DML1</t>
  </si>
  <si>
    <t>3935 W. Mitchell St.,Milwaukee,Wisconsin,USA,53125</t>
  </si>
  <si>
    <t>Michigan</t>
  </si>
  <si>
    <t>DTW5</t>
  </si>
  <si>
    <t>Brownstown Bussiness Center South,Building 9,19991 Brownstown Center Drive,Trenton,Michigan,USA,48183</t>
  </si>
  <si>
    <t>Michegan</t>
  </si>
  <si>
    <t>DTW1</t>
  </si>
  <si>
    <t>13000 Eckles Road,Livonia,Michegan,USA,48150</t>
  </si>
  <si>
    <t>Indiana</t>
  </si>
  <si>
    <t>SDF8</t>
  </si>
  <si>
    <t>900 Patrol Road,Jeffersonville,Indiana,USA,47130-7761</t>
  </si>
  <si>
    <t>IND7</t>
  </si>
  <si>
    <t>9101 Orly Drive,Indianapolis,Indiana,USA,46241</t>
  </si>
  <si>
    <t>IND2/ IND3</t>
  </si>
  <si>
    <t>715/717 Airtech Parkway,Plainfield,Indiana,USA,46168</t>
  </si>
  <si>
    <t>IND4</t>
  </si>
  <si>
    <t>710 Soth Girls School Road,Plainfield,Indiana,USA,46168-7937</t>
  </si>
  <si>
    <t>IND1</t>
  </si>
  <si>
    <t>4255 Anson Blvd,Whitestown,Indiana,USA,46075-4412</t>
  </si>
  <si>
    <t>XUSE</t>
  </si>
  <si>
    <t>5100 S.Indianapolos Road,Whitestown,Indiana,USA,46075</t>
  </si>
  <si>
    <t>Ohio</t>
  </si>
  <si>
    <t>CLE5</t>
  </si>
  <si>
    <t>8685 Independence Parkway,Twinsburg,Ohio,USA,44087-1971</t>
  </si>
  <si>
    <t>UOH2</t>
  </si>
  <si>
    <t>3563 Interchange Road,Columbus,,Ohio,USA,43204</t>
  </si>
  <si>
    <t>CMH2</t>
  </si>
  <si>
    <t>6050 Gateway Court,Obetz,Ohio,USA,43125</t>
  </si>
  <si>
    <t>CMH1</t>
  </si>
  <si>
    <t>11903 National Rd SW,Etna,Ohio,USA,43062-7793</t>
  </si>
  <si>
    <t>Kentucky</t>
  </si>
  <si>
    <t>SDF1</t>
  </si>
  <si>
    <t>1188 South Columbia Avenue,Campbellsville,Kentucky,USA,42718-1337</t>
  </si>
  <si>
    <t>CVG1</t>
  </si>
  <si>
    <t>Bldg.F Park W Int’l,1155 Worldwide Blvd.,Hebron,Kentucky,USA,41048-8648</t>
  </si>
  <si>
    <t>CVG3</t>
  </si>
  <si>
    <t>3680 Langley Dr.,Hebron,Kentucky,USA,41048</t>
  </si>
  <si>
    <t>CVG5/CVG7</t>
  </si>
  <si>
    <t>2285 Litton Way,Hebron,Kentucky,USA,41048-8435</t>
  </si>
  <si>
    <t>VCG2</t>
  </si>
  <si>
    <t>1600 Worldwide Blvd. Hebron,Kentucky,USA,41048</t>
  </si>
  <si>
    <t>CVG8</t>
  </si>
  <si>
    <t>7968 Kentucky Dr Florence,Kentucky,USA,41042</t>
  </si>
  <si>
    <t>LEX1/LEX3</t>
  </si>
  <si>
    <t>1850 Mercer Drive,Lexington,Kentucky,USA,40511</t>
  </si>
  <si>
    <t>LEX2</t>
  </si>
  <si>
    <t>172 Trade St.,Lexington,Kentucky,USA,40511</t>
  </si>
  <si>
    <t>SDF2</t>
  </si>
  <si>
    <t>4360 Robards Ln,Louisville,Kentucky,USA,40218</t>
  </si>
  <si>
    <t>SDF4</t>
  </si>
  <si>
    <t>376 Zappos,com Blvd,Shepherdsville,Kentucky,USA,40165</t>
  </si>
  <si>
    <t>SDF6</t>
  </si>
  <si>
    <t>271 Omega Pkwy,Shepherdsville,Kentucky,USA,40165</t>
  </si>
  <si>
    <t>SDF7</t>
  </si>
  <si>
    <t>300 Omicron Court,Cedar Grove Business Park,Shepherdsville,Kentucky,USA,40165</t>
  </si>
  <si>
    <t>SDF9</t>
  </si>
  <si>
    <t>100W. Thomas P. Echols Lane,St.3,Shepherdsville,Kentucky,USA,40165-7594</t>
  </si>
  <si>
    <t>Tennessee</t>
  </si>
  <si>
    <t>CHA1</t>
  </si>
  <si>
    <t>7200 Discovery Drive,Chattanooga,Tennessee,USA,37416-1749</t>
  </si>
  <si>
    <t>CHA2</t>
  </si>
  <si>
    <t>225 Infinity Dr NW,Charleston,Tennessee,USA,37310-1400</t>
  </si>
  <si>
    <t>BNA5</t>
  </si>
  <si>
    <t>50 Airway Blvd.,Nashville,Tenessee,USA,37217-2516</t>
  </si>
  <si>
    <t>BNA3</t>
  </si>
  <si>
    <t>2020 Joe B Jackson Pkwy,Murfreesboro,Tennessee,USA,37127-7792</t>
  </si>
  <si>
    <t>BNA1</t>
  </si>
  <si>
    <t>14840 Central Pike,Lebanon,Tennessee,USA,37090-8119</t>
  </si>
  <si>
    <t>BNA2</t>
  </si>
  <si>
    <t>500 Duke Dr,Lebanon,Tennessee,USA,37087-8123</t>
  </si>
  <si>
    <t>Florida</t>
  </si>
  <si>
    <t>MCO5</t>
  </si>
  <si>
    <t>305 Deen Still Road,Davenport,Florida,USA,33897-9409</t>
  </si>
  <si>
    <t>TPA2</t>
  </si>
  <si>
    <t>1760 County Line Rd.,Lakeland,Florida,USA,33811-1808</t>
  </si>
  <si>
    <t>UFL3</t>
  </si>
  <si>
    <t>4440 East Adamo Drive,Tampa,Florida,USA,33605</t>
  </si>
  <si>
    <t>TPA1</t>
  </si>
  <si>
    <t>3350 Laurel Ridge Ave,Ruskin,Florida,USA,33570-5526</t>
  </si>
  <si>
    <t>MIA5/ MIA6</t>
  </si>
  <si>
    <t>1900 NW 132nd Place,Miami(Doral),Florida,USA,33182-1920</t>
  </si>
  <si>
    <t>DMI1</t>
  </si>
  <si>
    <t>15600 NW 15th Ave,Miami Gardens,Florida,USA,33169</t>
  </si>
  <si>
    <t>DMI2</t>
  </si>
  <si>
    <t>3200 Northwest 67th Avenue,Miami,Florida,USA,33122</t>
  </si>
  <si>
    <t>MIA1</t>
  </si>
  <si>
    <t>Officer Simmins Arlington Avenue,Opa-locka,Florida,USA,33054</t>
  </si>
  <si>
    <t>Georgia</t>
  </si>
  <si>
    <t>UFL4</t>
  </si>
  <si>
    <t>7469 Kingspointe Parkway,Orlando,Florida,USA,32819</t>
  </si>
  <si>
    <t>DJA1</t>
  </si>
  <si>
    <t>11084 Cabot Commerce Circle,Jacksonville,Floria,USA,32226</t>
  </si>
  <si>
    <t>JAX2</t>
  </si>
  <si>
    <t>13333 103rd St.,Jacksonville,Florida,USA,32221</t>
  </si>
  <si>
    <t>JAX5</t>
  </si>
  <si>
    <t>4948 Bulls Bay Parkway,Jacksonville,Florida,USA,32219</t>
  </si>
  <si>
    <t>JAX1</t>
  </si>
  <si>
    <t>12900 Pecan Park Road,Jacksonville,Florida,USA,32218</t>
  </si>
  <si>
    <t>MGE1</t>
  </si>
  <si>
    <t>650 Broadway Ave.,Braselton,Georgia,USA,30517-3002</t>
  </si>
  <si>
    <t>ATL6</t>
  </si>
  <si>
    <t>4200 North Commerce,East Point,Atlanta,Georgia,USA,30344-5707</t>
  </si>
  <si>
    <t>GUA2</t>
  </si>
  <si>
    <t>Atlanta,Georgia,USA,30318</t>
  </si>
  <si>
    <t>ATL7</t>
  </si>
  <si>
    <t>6885 Shannon Parkway,Union City,Georgia,USA,30291</t>
  </si>
  <si>
    <t>ATL8</t>
  </si>
  <si>
    <t>2201 Thornton Road,Lithia Springs,Georgia,USA,30122-3895</t>
  </si>
  <si>
    <t>2232 Northmont Parkway,Duluth,Georgia,USA,30096</t>
  </si>
  <si>
    <t>South Carolina</t>
  </si>
  <si>
    <t>GSP1</t>
  </si>
  <si>
    <t>402 John Dodd Rd,Spartanburg,South Carolina,usa,29303-6312</t>
  </si>
  <si>
    <t>CAE1</t>
  </si>
  <si>
    <t>4400 12 Street Extension,West Columbia(Cayce),South Carolina,USA,29172-2862</t>
  </si>
  <si>
    <t>CAE3</t>
  </si>
  <si>
    <t>222 Old Wire Rd,West Columbia,South Carolina,USA,29172-2862</t>
  </si>
  <si>
    <t>North Carolina</t>
  </si>
  <si>
    <t>CLT2</t>
  </si>
  <si>
    <t>10240 Old Dowd Road,Mecklenburg,Charlotte,North Carolina,USA,28214-8082</t>
  </si>
  <si>
    <t>UNC1</t>
  </si>
  <si>
    <t>Charlotte,North Carolina,USA,28201</t>
  </si>
  <si>
    <t>CLT5</t>
  </si>
  <si>
    <t>1745 Derita Rd,Concord,North Carolina,USA,28027-3353</t>
  </si>
  <si>
    <t>RUD5</t>
  </si>
  <si>
    <t>1805 TW Alexander Drive,Durham,North Carolina,USA,27703-8389</t>
  </si>
  <si>
    <t>UNC2</t>
  </si>
  <si>
    <t>3200 Bush Street,Raleigh,North Carolina,USA,27609-7503</t>
  </si>
  <si>
    <t>Virginia</t>
  </si>
  <si>
    <t>RIC2</t>
  </si>
  <si>
    <t>1901 Meadowville Technology Parkway,Chester,Virginia,USA,23836-2841</t>
  </si>
  <si>
    <t>RIC3</t>
  </si>
  <si>
    <t>1901 Meadowville Technology Parkway,Chesterfield,Virginia,USA,23836-2841</t>
  </si>
  <si>
    <t>RIC1</t>
  </si>
  <si>
    <t>5000 Commerce Way,(Dinwiddie) Petersburg,Virginia,USA,23803-6917</t>
  </si>
  <si>
    <t>UVA3</t>
  </si>
  <si>
    <t>2034 Dabney Road,Richmond,Virginia,USA,23230</t>
  </si>
  <si>
    <t>BWI6</t>
  </si>
  <si>
    <t>5617 Industrial Dr,Suite A,Springfield,Virginia,USA,22151-4410</t>
  </si>
  <si>
    <t>UVA1</t>
  </si>
  <si>
    <t>Maryland</t>
  </si>
  <si>
    <t>BWI2</t>
  </si>
  <si>
    <t>2010 Broening Highway,Baltimore,Maryland,USA,21224-6027</t>
  </si>
  <si>
    <t>BWI5</t>
  </si>
  <si>
    <t>5001 Holabrid Ave.,Baltimore,Maryland,USA,21224-6026</t>
  </si>
  <si>
    <t>BWI3</t>
  </si>
  <si>
    <t>1 Principio Parkway,Perryville,Maryland,USA,21093</t>
  </si>
  <si>
    <t>DDC2</t>
  </si>
  <si>
    <t>861 E Gude Drive,Rockville,Maryland,USA,20850</t>
  </si>
  <si>
    <t>BWI1</t>
  </si>
  <si>
    <t>45121 Global Plaza,Sterling,Virginia,USA,20166</t>
  </si>
  <si>
    <t>Delaware</t>
  </si>
  <si>
    <t>PHL1</t>
  </si>
  <si>
    <t>1Centerpoint Blvd,New Castle,Delaware,USA,19720</t>
  </si>
  <si>
    <t>PHL7/PHL9</t>
  </si>
  <si>
    <t>560 Merrimac Ave,Middletown,Delaware,USA,19709-4652</t>
  </si>
  <si>
    <t>DPH1</t>
  </si>
  <si>
    <t>4219 Richmond Street Philadelphia,Pennsylvania,USA 19137</t>
  </si>
  <si>
    <t>AVP8</t>
  </si>
  <si>
    <t>250 Enterprise Way,Pittston,Pennsylvania,USA,18640-5000</t>
  </si>
  <si>
    <t>AVP2/AVP3</t>
  </si>
  <si>
    <t>298 1st Avenue,Gouldsboro,Pennsylvania,USA,18424-9464</t>
  </si>
  <si>
    <t>AVP1</t>
  </si>
  <si>
    <t>550 Oak Ridge Road,Hazleton,Pennsylvania,USA,18202-9361</t>
  </si>
  <si>
    <t>ABE4</t>
  </si>
  <si>
    <t>1610 Van Buren Road,Easton,Pennsylvania,USA,18045-7807</t>
  </si>
  <si>
    <t>ABE2</t>
  </si>
  <si>
    <t>705 Boulder Drive,Breinigsville,Pennsylvania,USA,18031</t>
  </si>
  <si>
    <t>ABE3</t>
  </si>
  <si>
    <t>650 Boulder Drive,Breinigsville,Pennsylvania,USA,18020-1536</t>
  </si>
  <si>
    <t>PHL5</t>
  </si>
  <si>
    <t>500 McCarthy Dr.,Lewisberry,Pennsylvania,USA,17339-8725</t>
  </si>
  <si>
    <t>ABE5</t>
  </si>
  <si>
    <t>6455 Allentown Boulevard ,Harrisburg,Pennsylvania,USA,17112</t>
  </si>
  <si>
    <t>MDT1</t>
  </si>
  <si>
    <t>2 Ames Drive,Building #2,Carlisle,Pennsylvania,USA,17015</t>
  </si>
  <si>
    <t>PHL4</t>
  </si>
  <si>
    <t>21 Roadway Drive,Carlisle,Pennsylvania,USA,17015</t>
  </si>
  <si>
    <t>PHL6</t>
  </si>
  <si>
    <t>675 Allen Rd.,Carlisle,Pennsylvania,USA,17015-7788</t>
  </si>
  <si>
    <t>XUSC</t>
  </si>
  <si>
    <t>40 Logitics Drive,Carlisle,Pennsylvania,USA,17013</t>
  </si>
  <si>
    <t>PIT5</t>
  </si>
  <si>
    <t>2250 Roswell Drive,Pittsburg,Pennsylvania,USA,15205-1800</t>
  </si>
  <si>
    <t>New Youk</t>
  </si>
  <si>
    <t>75 Cohoes Ave.Green Island Village New York,USA,12183</t>
  </si>
  <si>
    <t>LGA8</t>
  </si>
  <si>
    <t>201 Grumman Rd.W.,Bethpage,New York,USA,11714</t>
  </si>
  <si>
    <t>850 Third Ave.,Liberty View Industrial Plaza,Brooklyn,New York,USA,11232</t>
  </si>
  <si>
    <t>JFK7</t>
  </si>
  <si>
    <t>7 W. 34th St., New York,New York,USA,10001-8100</t>
  </si>
  <si>
    <t>New Jersey</t>
  </si>
  <si>
    <t>EWR4</t>
  </si>
  <si>
    <t>50 New Canton Way,Robbinsville,New Jersey,USA,08691-2350</t>
  </si>
  <si>
    <t>08691</t>
  </si>
  <si>
    <t>ABE8</t>
  </si>
  <si>
    <t>309 Cedar Lane,Florence,New Jersey,USA,08518-2802</t>
  </si>
  <si>
    <t>08518</t>
  </si>
  <si>
    <t>ACY5</t>
  </si>
  <si>
    <t>2277 Center Square Rd,Swedesboro,Logan Township,New Jersey,USA,08085</t>
  </si>
  <si>
    <t>08085</t>
  </si>
  <si>
    <t>698 Route 46 West,Teterboro,New Jersey,USA,07608</t>
  </si>
  <si>
    <t>07608</t>
  </si>
  <si>
    <t>DEW1</t>
  </si>
  <si>
    <t xml:space="preserve">2 Empire Boulevard Moonachie New Jersey,USA 07074 </t>
  </si>
  <si>
    <t>07074</t>
  </si>
  <si>
    <t>EWR8/EWR9</t>
  </si>
  <si>
    <t>8003 Industrial Ave,Building A,Carteret,New Jersey,USA,07008-3529</t>
  </si>
  <si>
    <t>07008</t>
  </si>
  <si>
    <t>LGA7</t>
  </si>
  <si>
    <t>380 Middlesex Ave,Carteret,New Jersey,USA,07008-3446</t>
  </si>
  <si>
    <t>EWR5</t>
  </si>
  <si>
    <t>301 Blair Road#100,Woodbridge(Avenel),New Jersey,USA,07001-2225</t>
  </si>
  <si>
    <t>07001</t>
  </si>
  <si>
    <t>EWR6/EWR7</t>
  </si>
  <si>
    <t>275 Omar Ave.,Avenel,New Jersey,USA,07001-2225</t>
  </si>
  <si>
    <t>Connecticut</t>
  </si>
  <si>
    <t>BDL5</t>
  </si>
  <si>
    <t>29 Research Parkway,Wallingford,Connecticut,USA,06429-1927</t>
  </si>
  <si>
    <t>06429</t>
  </si>
  <si>
    <t>BDL1</t>
  </si>
  <si>
    <t>801 Day Hill Road,Windsor,Connecticut,USA,06095</t>
  </si>
  <si>
    <t>06095</t>
  </si>
  <si>
    <t>New Hampshire</t>
  </si>
  <si>
    <t>BOS1</t>
  </si>
  <si>
    <t>10 State Street,Nashua,New Hampshire,USA,03063</t>
  </si>
  <si>
    <t>03063</t>
  </si>
  <si>
    <t>Massachusetts</t>
  </si>
  <si>
    <t>BOS7</t>
  </si>
  <si>
    <t>1180 Innovation Way,Fall River,Massachusetts,USA,02722-4766</t>
  </si>
  <si>
    <t>02722</t>
  </si>
  <si>
    <t>BOS6</t>
  </si>
  <si>
    <t>201 Beacham Street,Everett(Chelsea),Massachusetts,USA,02149-5518</t>
  </si>
  <si>
    <t>02149</t>
  </si>
  <si>
    <t>DBO1</t>
  </si>
  <si>
    <t>BOS5</t>
  </si>
  <si>
    <t>1000 Technology Center Drive,Stoughton,Massachusetts,USA,02072-4744</t>
  </si>
  <si>
    <t>02072</t>
  </si>
  <si>
    <t>DBO2</t>
  </si>
  <si>
    <t>500 Sprague St.,Dedham,Massachusetts,USA,02026</t>
  </si>
  <si>
    <t>02026</t>
  </si>
  <si>
    <t>North Pointe Business at Park Orange and Central Avenue,Fresno,California,USA</t>
  </si>
  <si>
    <t>DMO1</t>
  </si>
  <si>
    <t>Tangelo Park,Orlando,Florida,USA</t>
  </si>
  <si>
    <t>DNY1</t>
  </si>
  <si>
    <t>New York,New York,USA</t>
  </si>
  <si>
    <t>DNY2</t>
  </si>
  <si>
    <t>DSF2</t>
  </si>
  <si>
    <t>San Francisco Bay Area,California,USA</t>
  </si>
  <si>
    <t>DSF4</t>
  </si>
  <si>
    <t>San Francsico Bay Area,California,USA</t>
  </si>
  <si>
    <t>HOU2</t>
  </si>
  <si>
    <t>Pointo Business Park:Interstate 45 North and Beltway 8,Houston,Texas,USA</t>
  </si>
  <si>
    <t>UGA1</t>
  </si>
  <si>
    <t>Atlanta,Georgia,USA</t>
  </si>
  <si>
    <t>UIL1</t>
  </si>
  <si>
    <t>Chicago,Illinois,USA</t>
  </si>
  <si>
    <t>UIN1</t>
  </si>
  <si>
    <t>Indianapolis,Indiana,USA</t>
  </si>
  <si>
    <t>UMD1</t>
  </si>
  <si>
    <t>Balltimore,Maryland,USA</t>
  </si>
  <si>
    <t>UOH1</t>
  </si>
  <si>
    <t>Winton Hills,Cincinnati,Ohio,USA</t>
  </si>
  <si>
    <t>UPA1</t>
  </si>
  <si>
    <t>Philadelphia,Pennsylvania,USA</t>
  </si>
  <si>
    <t>UTN1</t>
  </si>
  <si>
    <t>Nashville,Tennessee,USA</t>
  </si>
  <si>
    <t>UTX4</t>
  </si>
  <si>
    <t>Dallas,Texas,USA</t>
  </si>
  <si>
    <t>UTX5</t>
  </si>
  <si>
    <t>San Antonia,Texas,USA</t>
  </si>
  <si>
    <t>UVA2</t>
  </si>
  <si>
    <t>Chesapeake,Virginia,USA</t>
  </si>
  <si>
    <t>常见磁性货物</t>
  </si>
  <si>
    <t>1、根据IATA902国际航空协议（International Air Transponrt Association)要求，距被测货物表面2.1m处的任意磁场强度应小于0.159A/m(200T)才可作普货运输。</t>
  </si>
  <si>
    <t>2、凡是货物中含有磁性材料的货物均会在空间产生磁场，需进行磁性货物的安全检测，以保证飞行安全。</t>
  </si>
  <si>
    <t>3、下面所列物品是我们经常遇到的一些需要进行磁性安全检测的物品名称，由于产品制造材料和工艺的不同，不可能罗列所有货物的名称，是否符合航空运输协议要求，以实验检测结果为准。</t>
  </si>
  <si>
    <t>一、材料类</t>
  </si>
  <si>
    <t>磁钢</t>
  </si>
  <si>
    <t>铝镍钴磁钢</t>
  </si>
  <si>
    <t>钐钴磁钢</t>
  </si>
  <si>
    <t>钕铁硼</t>
  </si>
  <si>
    <t>铁氧体磁钢</t>
  </si>
  <si>
    <t>磁体（磁芯）</t>
  </si>
  <si>
    <t>磁铁</t>
  </si>
  <si>
    <t>磁石</t>
  </si>
  <si>
    <t>永磁体</t>
  </si>
  <si>
    <t>稀土永磁体</t>
  </si>
  <si>
    <t>磁环</t>
  </si>
  <si>
    <t>磁棒</t>
  </si>
  <si>
    <t>铁芯</t>
  </si>
  <si>
    <t>二、音响器材类</t>
  </si>
  <si>
    <t>扬声器</t>
  </si>
  <si>
    <t>扬声器配件</t>
  </si>
  <si>
    <t>受诺器</t>
  </si>
  <si>
    <t>蜂鸣器</t>
  </si>
  <si>
    <t>音响</t>
  </si>
  <si>
    <t>喇叭</t>
  </si>
  <si>
    <t>喇叭箱</t>
  </si>
  <si>
    <t>收音机</t>
  </si>
  <si>
    <t>多媒体音箱</t>
  </si>
  <si>
    <t>音响组合</t>
  </si>
  <si>
    <t>麦克风</t>
  </si>
  <si>
    <t>讯响器</t>
  </si>
  <si>
    <t>业务用音箱</t>
  </si>
  <si>
    <t>耳机</t>
  </si>
  <si>
    <t>话筒</t>
  </si>
  <si>
    <t>功放</t>
  </si>
  <si>
    <t>对讲机</t>
  </si>
  <si>
    <t>手机</t>
  </si>
  <si>
    <t>移动电话</t>
  </si>
  <si>
    <t>录音机</t>
  </si>
  <si>
    <t>电话机</t>
  </si>
  <si>
    <t>三、电机类</t>
  </si>
  <si>
    <t>微电机</t>
  </si>
  <si>
    <t>直流电机</t>
  </si>
  <si>
    <t>微型振动器</t>
  </si>
  <si>
    <t>步进电机</t>
  </si>
  <si>
    <t>伺服马达</t>
  </si>
  <si>
    <t>电机</t>
  </si>
  <si>
    <t>电视机</t>
  </si>
  <si>
    <t>直线马达</t>
  </si>
  <si>
    <t>扁平马达</t>
  </si>
  <si>
    <t>电动机</t>
  </si>
  <si>
    <t>风扇</t>
  </si>
  <si>
    <t>冰箱</t>
  </si>
  <si>
    <t>电磁阀</t>
  </si>
  <si>
    <t>发动机</t>
  </si>
  <si>
    <t>发电机</t>
  </si>
  <si>
    <t>电吹风</t>
  </si>
  <si>
    <t>机动车</t>
  </si>
  <si>
    <t>吸尘器</t>
  </si>
  <si>
    <t>搅拌机</t>
  </si>
  <si>
    <t>泵</t>
  </si>
  <si>
    <t>电动小家电</t>
  </si>
  <si>
    <t>电动车</t>
  </si>
  <si>
    <t>电动健身器</t>
  </si>
  <si>
    <t>CD播放器</t>
  </si>
  <si>
    <t>液晶电视</t>
  </si>
  <si>
    <t>电饭锅</t>
  </si>
  <si>
    <t>电水壶</t>
  </si>
  <si>
    <t>雨刮电机</t>
  </si>
  <si>
    <t>雕刻机</t>
  </si>
  <si>
    <t>定子</t>
  </si>
  <si>
    <t>离心机</t>
  </si>
  <si>
    <t>空压机</t>
  </si>
  <si>
    <t>缝纫机</t>
  </si>
  <si>
    <t>按摩器</t>
  </si>
  <si>
    <t>空调</t>
  </si>
  <si>
    <t>风机</t>
  </si>
  <si>
    <t>转子</t>
  </si>
  <si>
    <t>四、其他磁性货物</t>
  </si>
  <si>
    <t>报警器配件</t>
  </si>
  <si>
    <t>防盗器配件</t>
  </si>
  <si>
    <t>升降机配件</t>
  </si>
  <si>
    <t>冰箱贴</t>
  </si>
  <si>
    <t>警报器</t>
  </si>
  <si>
    <t>指南针</t>
  </si>
  <si>
    <t>万用表</t>
  </si>
  <si>
    <t>激光磁头</t>
  </si>
  <si>
    <t>机芯光头</t>
  </si>
  <si>
    <t>磁保健品</t>
  </si>
  <si>
    <t>磁石加工品</t>
  </si>
  <si>
    <t>翻译机</t>
  </si>
  <si>
    <t>电子字典</t>
  </si>
  <si>
    <t>门铃</t>
  </si>
  <si>
    <t>电度表</t>
  </si>
  <si>
    <t>含指南针的手表</t>
  </si>
  <si>
    <t>电脑机组件</t>
  </si>
  <si>
    <t>称</t>
  </si>
  <si>
    <t>传感器</t>
  </si>
  <si>
    <t>传声器</t>
  </si>
  <si>
    <t>五、有可能戴磁性的货物名称（部分）</t>
  </si>
  <si>
    <t>塑料夹</t>
  </si>
  <si>
    <t>家庭影院</t>
  </si>
  <si>
    <t>手电筒</t>
  </si>
  <si>
    <t>测距仪</t>
  </si>
  <si>
    <t>防盗标签</t>
  </si>
  <si>
    <t>玩具</t>
  </si>
  <si>
    <t>闪光灯</t>
  </si>
  <si>
    <t>DVD</t>
  </si>
  <si>
    <t>电子配件</t>
  </si>
  <si>
    <t>注：以上仅列出部分品名，其他使用磁性材料的空运物品也需要进行检测。收运手机，有锂电池，有鉴定按锂电池收运，无须磁检，无电池，包涵说明，需磁检，电池盒手机单独包装运输（独立品名），需鉴定和磁检。</t>
  </si>
  <si>
    <t>美森限时达</t>
  </si>
  <si>
    <t>准时达EXX</t>
  </si>
  <si>
    <t>美森定时达</t>
  </si>
  <si>
    <t>卡派EXX</t>
  </si>
  <si>
    <t>COSCO普船</t>
  </si>
  <si>
    <t>盐田COSCO卡派</t>
  </si>
  <si>
    <t>盐田COSCO卡派直送</t>
  </si>
  <si>
    <t>普船COSCO超大件</t>
  </si>
  <si>
    <t>美国空派-带电</t>
  </si>
  <si>
    <t>美国空派-超大件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</si>
</sst>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USD]\ #,##0.00_);[Red]\([$USD]\ #,##0.00\)"/>
    <numFmt numFmtId="177" formatCode="[$-F800]dddd\,\ mmmm\ dd\,\ yyyy"/>
    <numFmt numFmtId="178" formatCode="_-[$€]\ * #,##0.00_-;_-[$€]\ * #,##0.00\-;_-[$€]\ * &quot;-&quot;??_-;_-@_-"/>
    <numFmt numFmtId="179" formatCode="_-[$£-809]* #,##0.00_-;\-[$£-809]* #,##0.00_-;_-[$£-809]* &quot;-&quot;??_-;_-@_-"/>
    <numFmt numFmtId="180" formatCode="0_);[Red]\(0\)"/>
    <numFmt numFmtId="181" formatCode="000000"/>
    <numFmt numFmtId="182" formatCode="0.00_);[Red]\(0.00\)"/>
    <numFmt numFmtId="183" formatCode="0.0_ "/>
    <numFmt numFmtId="184" formatCode="0&quot; &quot;"/>
    <numFmt numFmtId="185" formatCode="yyyy/m/d;@"/>
  </numFmts>
  <fonts count="129">
    <font>
      <sz val="11"/>
      <name val="宋体"/>
      <charset val="134"/>
    </font>
    <font>
      <sz val="11"/>
      <color rgb="FF000000"/>
      <name val="宋体"/>
      <charset val="134"/>
    </font>
    <font>
      <b/>
      <sz val="18"/>
      <color rgb="FF000000"/>
      <name val="宋体"/>
      <charset val="134"/>
    </font>
    <font>
      <b/>
      <sz val="12"/>
      <color rgb="FF000000"/>
      <name val="宋体"/>
      <charset val="134"/>
    </font>
    <font>
      <b/>
      <sz val="11"/>
      <color rgb="FF000000"/>
      <name val="宋体"/>
      <charset val="134"/>
    </font>
    <font>
      <b/>
      <sz val="14"/>
      <name val="微软雅黑"/>
      <charset val="134"/>
    </font>
    <font>
      <b/>
      <sz val="9"/>
      <color indexed="9"/>
      <name val="微软雅黑"/>
      <charset val="134"/>
    </font>
    <font>
      <b/>
      <sz val="16"/>
      <name val="微软雅黑"/>
      <charset val="134"/>
    </font>
    <font>
      <b/>
      <sz val="12"/>
      <color rgb="FF000000"/>
      <name val="微软雅黑"/>
      <charset val="134"/>
    </font>
    <font>
      <sz val="9"/>
      <color rgb="FF000000"/>
      <name val="微软雅黑"/>
      <charset val="134"/>
    </font>
    <font>
      <sz val="9"/>
      <color rgb="FFFF0000"/>
      <name val="微软雅黑"/>
      <charset val="134"/>
    </font>
    <font>
      <sz val="9"/>
      <color indexed="8"/>
      <name val="微软雅黑"/>
      <charset val="134"/>
    </font>
    <font>
      <sz val="11"/>
      <color rgb="FF000000"/>
      <name val="微软雅黑"/>
      <charset val="134"/>
    </font>
    <font>
      <sz val="22"/>
      <color rgb="FF000000"/>
      <name val="微软雅黑"/>
      <charset val="134"/>
    </font>
    <font>
      <sz val="12"/>
      <name val="Arial"/>
      <charset val="134"/>
    </font>
    <font>
      <sz val="11"/>
      <color indexed="8"/>
      <name val="Arial"/>
      <charset val="134"/>
    </font>
    <font>
      <b/>
      <sz val="14"/>
      <color rgb="FF000000"/>
      <name val="微软雅黑"/>
      <charset val="134"/>
    </font>
    <font>
      <b/>
      <sz val="18"/>
      <color rgb="FFFFFFFF"/>
      <name val="微软雅黑"/>
      <charset val="134"/>
    </font>
    <font>
      <b/>
      <sz val="16"/>
      <color rgb="FF00B050"/>
      <name val="微软雅黑"/>
      <charset val="134"/>
    </font>
    <font>
      <sz val="10"/>
      <color indexed="8"/>
      <name val="微软雅黑"/>
      <charset val="134"/>
    </font>
    <font>
      <sz val="12"/>
      <color rgb="FF000000"/>
      <name val="Arial"/>
      <charset val="134"/>
    </font>
    <font>
      <sz val="12"/>
      <color rgb="FF000000"/>
      <name val="微软雅黑"/>
      <charset val="134"/>
    </font>
    <font>
      <sz val="12"/>
      <color rgb="FF000000"/>
      <name val="Microsoft YaHei"/>
      <charset val="134"/>
    </font>
    <font>
      <sz val="12"/>
      <color theme="1"/>
      <name val="Microsoft YaHei"/>
      <charset val="134"/>
    </font>
    <font>
      <b/>
      <sz val="14"/>
      <color rgb="FF000000"/>
      <name val="Microsoft YaHei"/>
      <charset val="134"/>
    </font>
    <font>
      <sz val="14"/>
      <color rgb="FF000000"/>
      <name val="Microsoft YaHei"/>
      <charset val="134"/>
    </font>
    <font>
      <sz val="12"/>
      <color rgb="FFFF0000"/>
      <name val="Microsoft YaHei"/>
      <charset val="134"/>
    </font>
    <font>
      <b/>
      <i/>
      <sz val="16"/>
      <color rgb="FFFF0000"/>
      <name val="微软雅黑"/>
      <charset val="134"/>
    </font>
    <font>
      <b/>
      <sz val="22"/>
      <color theme="0"/>
      <name val="Microsoft YaHei"/>
      <charset val="134"/>
    </font>
    <font>
      <b/>
      <sz val="18"/>
      <color theme="0"/>
      <name val="Microsoft YaHei"/>
      <charset val="134"/>
    </font>
    <font>
      <b/>
      <sz val="12"/>
      <color rgb="FF000000"/>
      <name val="Microsoft YaHei"/>
      <charset val="134"/>
    </font>
    <font>
      <sz val="12"/>
      <color theme="1"/>
      <name val="微软雅黑"/>
      <charset val="134"/>
    </font>
    <font>
      <sz val="12"/>
      <color theme="1"/>
      <name val="Arial"/>
      <charset val="134"/>
    </font>
    <font>
      <sz val="12"/>
      <name val="Arial Unicode MS"/>
      <charset val="134"/>
    </font>
    <font>
      <sz val="12"/>
      <name val="微软雅黑"/>
      <charset val="134"/>
    </font>
    <font>
      <sz val="12"/>
      <color indexed="8"/>
      <name val="微软雅黑"/>
      <charset val="134"/>
    </font>
    <font>
      <sz val="12"/>
      <color theme="1"/>
      <name val="宋体"/>
      <charset val="134"/>
      <scheme val="minor"/>
    </font>
    <font>
      <sz val="12"/>
      <color theme="1"/>
      <name val="宋体"/>
      <charset val="134"/>
    </font>
    <font>
      <sz val="12"/>
      <name val="宋体"/>
      <charset val="134"/>
    </font>
    <font>
      <sz val="12"/>
      <color indexed="8"/>
      <name val="宋体"/>
      <charset val="134"/>
    </font>
    <font>
      <b/>
      <sz val="14"/>
      <color theme="1"/>
      <name val="宋体"/>
      <charset val="134"/>
    </font>
    <font>
      <sz val="10"/>
      <color theme="1"/>
      <name val="宋体"/>
      <charset val="134"/>
    </font>
    <font>
      <sz val="10"/>
      <name val="宋体"/>
      <charset val="134"/>
    </font>
    <font>
      <sz val="14"/>
      <color rgb="FF000000"/>
      <name val="宋体"/>
      <charset val="134"/>
      <scheme val="minor"/>
    </font>
    <font>
      <sz val="12"/>
      <color theme="1"/>
      <name val="Times New Roman"/>
      <charset val="134"/>
    </font>
    <font>
      <sz val="12"/>
      <name val="Times New Roman"/>
      <charset val="134"/>
    </font>
    <font>
      <b/>
      <sz val="16"/>
      <color theme="0"/>
      <name val="Times New Roman"/>
      <charset val="134"/>
    </font>
    <font>
      <b/>
      <sz val="12"/>
      <color theme="0"/>
      <name val="微软雅黑"/>
      <charset val="134"/>
    </font>
    <font>
      <b/>
      <sz val="12"/>
      <name val="Times New Roman"/>
      <charset val="134"/>
    </font>
    <font>
      <b/>
      <sz val="12"/>
      <color theme="1"/>
      <name val="Times New Roman"/>
      <charset val="134"/>
    </font>
    <font>
      <sz val="12"/>
      <color rgb="FF000000"/>
      <name val="Times New Roman"/>
      <charset val="134"/>
    </font>
    <font>
      <b/>
      <sz val="12"/>
      <color theme="0"/>
      <name val="Times New Roman"/>
      <charset val="134"/>
    </font>
    <font>
      <sz val="11"/>
      <color theme="1"/>
      <name val="微软雅黑"/>
      <charset val="134"/>
    </font>
    <font>
      <sz val="11"/>
      <name val="微软雅黑"/>
      <charset val="134"/>
    </font>
    <font>
      <sz val="20"/>
      <name val="微软雅黑"/>
      <charset val="134"/>
    </font>
    <font>
      <sz val="20"/>
      <color rgb="FFFF0000"/>
      <name val="微软雅黑"/>
      <charset val="134"/>
    </font>
    <font>
      <sz val="16"/>
      <name val="微软雅黑"/>
      <charset val="134"/>
    </font>
    <font>
      <b/>
      <sz val="12"/>
      <name val="微软雅黑"/>
      <charset val="134"/>
    </font>
    <font>
      <b/>
      <sz val="14"/>
      <color theme="1"/>
      <name val="微软雅黑"/>
      <charset val="134"/>
    </font>
    <font>
      <sz val="10"/>
      <color rgb="FF000000"/>
      <name val="微软雅黑"/>
      <charset val="134"/>
    </font>
    <font>
      <sz val="14"/>
      <color rgb="FF000000"/>
      <name val="微软雅黑"/>
      <charset val="134"/>
    </font>
    <font>
      <sz val="14"/>
      <color indexed="8"/>
      <name val="微软雅黑"/>
      <charset val="134"/>
    </font>
    <font>
      <sz val="18"/>
      <color rgb="FF000000"/>
      <name val="微软雅黑"/>
      <charset val="134"/>
    </font>
    <font>
      <b/>
      <sz val="16"/>
      <color rgb="FFFF0000"/>
      <name val="微软雅黑"/>
      <charset val="134"/>
    </font>
    <font>
      <b/>
      <sz val="16"/>
      <color theme="0"/>
      <name val="微软雅黑"/>
      <charset val="134"/>
    </font>
    <font>
      <b/>
      <sz val="11"/>
      <name val="微软雅黑"/>
      <charset val="134"/>
    </font>
    <font>
      <b/>
      <sz val="14"/>
      <color rgb="FFFF0000"/>
      <name val="微软雅黑"/>
      <charset val="134"/>
    </font>
    <font>
      <b/>
      <sz val="11"/>
      <color rgb="FF343537"/>
      <name val="微软雅黑"/>
      <charset val="134"/>
    </font>
    <font>
      <b/>
      <sz val="20"/>
      <color rgb="FFFF0000"/>
      <name val="微软雅黑"/>
      <charset val="134"/>
    </font>
    <font>
      <sz val="18"/>
      <name val="微软雅黑"/>
      <charset val="134"/>
    </font>
    <font>
      <b/>
      <sz val="36"/>
      <name val="微软雅黑"/>
      <charset val="134"/>
    </font>
    <font>
      <sz val="22"/>
      <name val="微软雅黑"/>
      <charset val="134"/>
    </font>
    <font>
      <sz val="12"/>
      <color rgb="FF343537"/>
      <name val="微软雅黑"/>
      <charset val="134"/>
    </font>
    <font>
      <sz val="11"/>
      <color rgb="FF343537"/>
      <name val="微软雅黑"/>
      <charset val="134"/>
    </font>
    <font>
      <b/>
      <sz val="14"/>
      <color rgb="FF343537"/>
      <name val="微软雅黑"/>
      <charset val="134"/>
    </font>
    <font>
      <sz val="14"/>
      <color rgb="FF343537"/>
      <name val="微软雅黑"/>
      <charset val="134"/>
    </font>
    <font>
      <sz val="11"/>
      <color rgb="FFFF0000"/>
      <name val="微软雅黑"/>
      <charset val="134"/>
    </font>
    <font>
      <b/>
      <sz val="16"/>
      <color rgb="FFFFFFFF"/>
      <name val="微软雅黑"/>
      <charset val="134"/>
    </font>
    <font>
      <b/>
      <sz val="18"/>
      <color rgb="FFFF0000"/>
      <name val="微软雅黑"/>
      <charset val="134"/>
    </font>
    <font>
      <sz val="22"/>
      <color rgb="FFFF0000"/>
      <name val="微软雅黑"/>
      <charset val="134"/>
    </font>
    <font>
      <sz val="14"/>
      <name val="微软雅黑"/>
      <charset val="134"/>
    </font>
    <font>
      <b/>
      <sz val="18"/>
      <name val="微软雅黑"/>
      <charset val="134"/>
    </font>
    <font>
      <b/>
      <sz val="20"/>
      <name val="微软雅黑"/>
      <charset val="134"/>
    </font>
    <font>
      <b/>
      <sz val="24"/>
      <name val="宋体"/>
      <charset val="134"/>
    </font>
    <font>
      <b/>
      <sz val="16"/>
      <name val="宋体"/>
      <charset val="134"/>
    </font>
    <font>
      <b/>
      <sz val="12"/>
      <name val="宋体"/>
      <charset val="134"/>
    </font>
    <font>
      <b/>
      <sz val="11"/>
      <name val="宋体"/>
      <charset val="134"/>
    </font>
    <font>
      <b/>
      <sz val="11"/>
      <color theme="0"/>
      <name val="微软雅黑"/>
      <charset val="134"/>
    </font>
    <font>
      <b/>
      <sz val="18"/>
      <color rgb="FF000000"/>
      <name val="微软雅黑"/>
      <charset val="134"/>
    </font>
    <font>
      <b/>
      <sz val="14"/>
      <color rgb="FFFFFFFF"/>
      <name val="微软雅黑"/>
      <charset val="134"/>
    </font>
    <font>
      <u/>
      <sz val="12"/>
      <name val="微软雅黑"/>
      <charset val="134"/>
    </font>
    <font>
      <u/>
      <sz val="12"/>
      <name val="Arial"/>
      <charset val="134"/>
    </font>
    <font>
      <b/>
      <sz val="12"/>
      <name val="Arial"/>
      <charset val="134"/>
    </font>
    <font>
      <sz val="16"/>
      <color rgb="FFFF0000"/>
      <name val="宋体"/>
      <charset val="134"/>
    </font>
    <font>
      <sz val="11"/>
      <color theme="1"/>
      <name val="宋体"/>
      <charset val="134"/>
      <scheme val="minor"/>
    </font>
    <font>
      <u/>
      <sz val="11"/>
      <color rgb="FF0000FF"/>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0"/>
      <name val="微软雅黑"/>
      <charset val="134"/>
    </font>
    <font>
      <sz val="11"/>
      <color theme="1"/>
      <name val="宋体"/>
      <charset val="134"/>
    </font>
    <font>
      <sz val="11"/>
      <name val=""/>
      <charset val="134"/>
    </font>
    <font>
      <b/>
      <sz val="14"/>
      <color theme="0"/>
      <name val="微软雅黑"/>
      <charset val="134"/>
    </font>
    <font>
      <sz val="12"/>
      <color indexed="10"/>
      <name val="Microsoft YaHei"/>
      <charset val="134"/>
    </font>
    <font>
      <b/>
      <sz val="12"/>
      <color indexed="10"/>
      <name val="Microsoft YaHei"/>
      <charset val="134"/>
    </font>
    <font>
      <b/>
      <sz val="10"/>
      <color rgb="FFFF0000"/>
      <name val="微软雅黑"/>
      <charset val="134"/>
    </font>
    <font>
      <sz val="12"/>
      <color rgb="FF00B050"/>
      <name val="Microsoft YaHei"/>
      <charset val="134"/>
    </font>
    <font>
      <b/>
      <sz val="12"/>
      <color indexed="8"/>
      <name val="Microsoft YaHei"/>
      <charset val="134"/>
    </font>
    <font>
      <b/>
      <sz val="18"/>
      <color indexed="9"/>
      <name val="Microsoft YaHei"/>
      <charset val="134"/>
    </font>
    <font>
      <b/>
      <sz val="12"/>
      <color rgb="FFFF0000"/>
      <name val="微软雅黑"/>
      <charset val="134"/>
    </font>
    <font>
      <sz val="14"/>
      <color rgb="FFFF0000"/>
      <name val="Microsoft YaHei"/>
      <charset val="134"/>
    </font>
    <font>
      <sz val="14"/>
      <color rgb="FF00B050"/>
      <name val="Microsoft YaHei"/>
      <charset val="134"/>
    </font>
    <font>
      <b/>
      <sz val="16"/>
      <color rgb="FFFF0000"/>
      <name val="Microsoft YaHei"/>
      <charset val="134"/>
    </font>
  </fonts>
  <fills count="44">
    <fill>
      <patternFill patternType="none"/>
    </fill>
    <fill>
      <patternFill patternType="gray125"/>
    </fill>
    <fill>
      <patternFill patternType="solid">
        <fgColor rgb="FFFFFFFF"/>
        <bgColor indexed="64"/>
      </patternFill>
    </fill>
    <fill>
      <patternFill patternType="solid">
        <fgColor rgb="FF00B0F0"/>
        <bgColor indexed="64"/>
      </patternFill>
    </fill>
    <fill>
      <patternFill patternType="solid">
        <fgColor rgb="FFFFFF00"/>
        <bgColor indexed="64"/>
      </patternFill>
    </fill>
    <fill>
      <patternFill patternType="solid">
        <fgColor rgb="FFFF0000"/>
        <bgColor indexed="64"/>
      </patternFill>
    </fill>
    <fill>
      <patternFill patternType="solid">
        <fgColor rgb="FFBFBFBF"/>
        <bgColor indexed="64"/>
      </patternFill>
    </fill>
    <fill>
      <patternFill patternType="solid">
        <fgColor rgb="FFFFC000"/>
        <bgColor indexed="64"/>
      </patternFill>
    </fill>
    <fill>
      <patternFill patternType="solid">
        <fgColor theme="4" tint="0.599993896298105"/>
        <bgColor indexed="64"/>
      </patternFill>
    </fill>
    <fill>
      <patternFill patternType="solid">
        <fgColor theme="0"/>
        <bgColor indexed="64"/>
      </patternFill>
    </fill>
    <fill>
      <patternFill patternType="solid">
        <fgColor rgb="FF00B0F0"/>
        <bgColor theme="8"/>
      </patternFill>
    </fill>
    <fill>
      <patternFill patternType="solid">
        <fgColor rgb="FFFFFFFF"/>
        <bgColor rgb="FFFFFFFF"/>
      </patternFill>
    </fill>
    <fill>
      <patternFill patternType="solid">
        <fgColor theme="3" tint="0.799981688894314"/>
        <bgColor indexed="64"/>
      </patternFill>
    </fill>
    <fill>
      <patternFill patternType="solid">
        <fgColor rgb="FF4874C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medium">
        <color auto="1"/>
      </right>
      <top style="thin">
        <color auto="1"/>
      </top>
      <bottom style="thin">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hair">
        <color auto="1"/>
      </bottom>
      <diagonal/>
    </border>
    <border>
      <left style="medium">
        <color auto="1"/>
      </left>
      <right style="medium">
        <color auto="1"/>
      </right>
      <top style="thin">
        <color auto="1"/>
      </top>
      <bottom/>
      <diagonal/>
    </border>
    <border>
      <left style="medium">
        <color auto="1"/>
      </left>
      <right style="medium">
        <color auto="1"/>
      </right>
      <top/>
      <bottom style="medium">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style="hair">
        <color auto="1"/>
      </right>
      <top/>
      <bottom/>
      <diagonal/>
    </border>
    <border>
      <left style="hair">
        <color auto="1"/>
      </left>
      <right style="hair">
        <color auto="1"/>
      </right>
      <top/>
      <bottom/>
      <diagonal/>
    </border>
    <border>
      <left style="hair">
        <color auto="1"/>
      </left>
      <right style="medium">
        <color auto="1"/>
      </right>
      <top/>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hair">
        <color auto="1"/>
      </left>
      <right/>
      <top/>
      <bottom/>
      <diagonal/>
    </border>
    <border>
      <left/>
      <right style="medium">
        <color auto="1"/>
      </right>
      <top/>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auto="1"/>
      </left>
      <right style="thin">
        <color auto="1"/>
      </right>
      <top style="thin">
        <color auto="1"/>
      </top>
      <bottom/>
      <diagonal/>
    </border>
    <border>
      <left style="medium">
        <color auto="1"/>
      </left>
      <right style="thin">
        <color auto="1"/>
      </right>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8">
    <xf numFmtId="176" fontId="0" fillId="0" borderId="0">
      <alignment vertical="center"/>
    </xf>
    <xf numFmtId="43" fontId="94" fillId="0" borderId="0" applyFont="0" applyFill="0" applyBorder="0" applyAlignment="0" applyProtection="0">
      <alignment vertical="center"/>
    </xf>
    <xf numFmtId="44" fontId="94" fillId="0" borderId="0" applyFont="0" applyFill="0" applyBorder="0" applyAlignment="0" applyProtection="0">
      <alignment vertical="center"/>
    </xf>
    <xf numFmtId="9" fontId="94" fillId="0" borderId="0" applyFont="0" applyFill="0" applyBorder="0" applyAlignment="0" applyProtection="0">
      <alignment vertical="center"/>
    </xf>
    <xf numFmtId="41" fontId="94" fillId="0" borderId="0" applyFont="0" applyFill="0" applyBorder="0" applyAlignment="0" applyProtection="0">
      <alignment vertical="center"/>
    </xf>
    <xf numFmtId="42" fontId="94" fillId="0" borderId="0" applyFont="0" applyFill="0" applyBorder="0" applyAlignment="0" applyProtection="0">
      <alignment vertical="center"/>
    </xf>
    <xf numFmtId="176" fontId="95" fillId="0" borderId="0">
      <alignment vertical="top"/>
      <protection locked="0"/>
    </xf>
    <xf numFmtId="0" fontId="96" fillId="0" borderId="0" applyNumberFormat="0" applyFill="0" applyBorder="0" applyAlignment="0" applyProtection="0">
      <alignment vertical="center"/>
    </xf>
    <xf numFmtId="0" fontId="94" fillId="14" borderId="69" applyNumberFormat="0" applyFont="0" applyAlignment="0" applyProtection="0">
      <alignment vertical="center"/>
    </xf>
    <xf numFmtId="0" fontId="97"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9" fillId="0" borderId="0" applyNumberFormat="0" applyFill="0" applyBorder="0" applyAlignment="0" applyProtection="0">
      <alignment vertical="center"/>
    </xf>
    <xf numFmtId="0" fontId="100" fillId="0" borderId="70" applyNumberFormat="0" applyFill="0" applyAlignment="0" applyProtection="0">
      <alignment vertical="center"/>
    </xf>
    <xf numFmtId="0" fontId="101" fillId="0" borderId="70" applyNumberFormat="0" applyFill="0" applyAlignment="0" applyProtection="0">
      <alignment vertical="center"/>
    </xf>
    <xf numFmtId="0" fontId="102" fillId="0" borderId="71" applyNumberFormat="0" applyFill="0" applyAlignment="0" applyProtection="0">
      <alignment vertical="center"/>
    </xf>
    <xf numFmtId="0" fontId="102" fillId="0" borderId="0" applyNumberFormat="0" applyFill="0" applyBorder="0" applyAlignment="0" applyProtection="0">
      <alignment vertical="center"/>
    </xf>
    <xf numFmtId="0" fontId="103" fillId="15" borderId="72" applyNumberFormat="0" applyAlignment="0" applyProtection="0">
      <alignment vertical="center"/>
    </xf>
    <xf numFmtId="0" fontId="104" fillId="16" borderId="73" applyNumberFormat="0" applyAlignment="0" applyProtection="0">
      <alignment vertical="center"/>
    </xf>
    <xf numFmtId="0" fontId="105" fillId="16" borderId="72" applyNumberFormat="0" applyAlignment="0" applyProtection="0">
      <alignment vertical="center"/>
    </xf>
    <xf numFmtId="0" fontId="106" fillId="17" borderId="74" applyNumberFormat="0" applyAlignment="0" applyProtection="0">
      <alignment vertical="center"/>
    </xf>
    <xf numFmtId="0" fontId="107" fillId="0" borderId="75" applyNumberFormat="0" applyFill="0" applyAlignment="0" applyProtection="0">
      <alignment vertical="center"/>
    </xf>
    <xf numFmtId="0" fontId="108" fillId="0" borderId="76" applyNumberFormat="0" applyFill="0" applyAlignment="0" applyProtection="0">
      <alignment vertical="center"/>
    </xf>
    <xf numFmtId="0" fontId="109" fillId="18" borderId="0" applyNumberFormat="0" applyBorder="0" applyAlignment="0" applyProtection="0">
      <alignment vertical="center"/>
    </xf>
    <xf numFmtId="0" fontId="110" fillId="19" borderId="0" applyNumberFormat="0" applyBorder="0" applyAlignment="0" applyProtection="0">
      <alignment vertical="center"/>
    </xf>
    <xf numFmtId="0" fontId="111" fillId="20" borderId="0" applyNumberFormat="0" applyBorder="0" applyAlignment="0" applyProtection="0">
      <alignment vertical="center"/>
    </xf>
    <xf numFmtId="0" fontId="112" fillId="21" borderId="0" applyNumberFormat="0" applyBorder="0" applyAlignment="0" applyProtection="0">
      <alignment vertical="center"/>
    </xf>
    <xf numFmtId="0" fontId="113" fillId="22" borderId="0" applyNumberFormat="0" applyBorder="0" applyAlignment="0" applyProtection="0">
      <alignment vertical="center"/>
    </xf>
    <xf numFmtId="0" fontId="113" fillId="8" borderId="0" applyNumberFormat="0" applyBorder="0" applyAlignment="0" applyProtection="0">
      <alignment vertical="center"/>
    </xf>
    <xf numFmtId="0" fontId="112" fillId="23" borderId="0" applyNumberFormat="0" applyBorder="0" applyAlignment="0" applyProtection="0">
      <alignment vertical="center"/>
    </xf>
    <xf numFmtId="0" fontId="112" fillId="24" borderId="0" applyNumberFormat="0" applyBorder="0" applyAlignment="0" applyProtection="0">
      <alignment vertical="center"/>
    </xf>
    <xf numFmtId="0" fontId="113" fillId="25" borderId="0" applyNumberFormat="0" applyBorder="0" applyAlignment="0" applyProtection="0">
      <alignment vertical="center"/>
    </xf>
    <xf numFmtId="0" fontId="113" fillId="26" borderId="0" applyNumberFormat="0" applyBorder="0" applyAlignment="0" applyProtection="0">
      <alignment vertical="center"/>
    </xf>
    <xf numFmtId="0" fontId="112" fillId="27" borderId="0" applyNumberFormat="0" applyBorder="0" applyAlignment="0" applyProtection="0">
      <alignment vertical="center"/>
    </xf>
    <xf numFmtId="0" fontId="112" fillId="28" borderId="0" applyNumberFormat="0" applyBorder="0" applyAlignment="0" applyProtection="0">
      <alignment vertical="center"/>
    </xf>
    <xf numFmtId="0" fontId="113" fillId="29" borderId="0" applyNumberFormat="0" applyBorder="0" applyAlignment="0" applyProtection="0">
      <alignment vertical="center"/>
    </xf>
    <xf numFmtId="0" fontId="113" fillId="30" borderId="0" applyNumberFormat="0" applyBorder="0" applyAlignment="0" applyProtection="0">
      <alignment vertical="center"/>
    </xf>
    <xf numFmtId="0" fontId="112" fillId="31" borderId="0" applyNumberFormat="0" applyBorder="0" applyAlignment="0" applyProtection="0">
      <alignment vertical="center"/>
    </xf>
    <xf numFmtId="0" fontId="112" fillId="32" borderId="0" applyNumberFormat="0" applyBorder="0" applyAlignment="0" applyProtection="0">
      <alignment vertical="center"/>
    </xf>
    <xf numFmtId="0" fontId="113" fillId="33" borderId="0" applyNumberFormat="0" applyBorder="0" applyAlignment="0" applyProtection="0">
      <alignment vertical="center"/>
    </xf>
    <xf numFmtId="0" fontId="113" fillId="34" borderId="0" applyNumberFormat="0" applyBorder="0" applyAlignment="0" applyProtection="0">
      <alignment vertical="center"/>
    </xf>
    <xf numFmtId="0" fontId="112" fillId="35" borderId="0" applyNumberFormat="0" applyBorder="0" applyAlignment="0" applyProtection="0">
      <alignment vertical="center"/>
    </xf>
    <xf numFmtId="0" fontId="112" fillId="36" borderId="0" applyNumberFormat="0" applyBorder="0" applyAlignment="0" applyProtection="0">
      <alignment vertical="center"/>
    </xf>
    <xf numFmtId="0" fontId="113" fillId="37" borderId="0" applyNumberFormat="0" applyBorder="0" applyAlignment="0" applyProtection="0">
      <alignment vertical="center"/>
    </xf>
    <xf numFmtId="0" fontId="113" fillId="38" borderId="0" applyNumberFormat="0" applyBorder="0" applyAlignment="0" applyProtection="0">
      <alignment vertical="center"/>
    </xf>
    <xf numFmtId="0" fontId="112" fillId="39" borderId="0" applyNumberFormat="0" applyBorder="0" applyAlignment="0" applyProtection="0">
      <alignment vertical="center"/>
    </xf>
    <xf numFmtId="0" fontId="112" fillId="40" borderId="0" applyNumberFormat="0" applyBorder="0" applyAlignment="0" applyProtection="0">
      <alignment vertical="center"/>
    </xf>
    <xf numFmtId="0" fontId="113" fillId="41" borderId="0" applyNumberFormat="0" applyBorder="0" applyAlignment="0" applyProtection="0">
      <alignment vertical="center"/>
    </xf>
    <xf numFmtId="0" fontId="113" fillId="42" borderId="0" applyNumberFormat="0" applyBorder="0" applyAlignment="0" applyProtection="0">
      <alignment vertical="center"/>
    </xf>
    <xf numFmtId="0" fontId="112" fillId="43" borderId="0" applyNumberFormat="0" applyBorder="0" applyAlignment="0" applyProtection="0">
      <alignment vertical="center"/>
    </xf>
    <xf numFmtId="176" fontId="114" fillId="0" borderId="0">
      <protection locked="0"/>
    </xf>
    <xf numFmtId="0" fontId="38" fillId="0" borderId="0">
      <alignment vertical="center"/>
    </xf>
    <xf numFmtId="177" fontId="38" fillId="0" borderId="0">
      <alignment vertical="center"/>
    </xf>
    <xf numFmtId="178" fontId="38" fillId="0" borderId="0"/>
    <xf numFmtId="0" fontId="38" fillId="0" borderId="0">
      <alignment vertical="center"/>
    </xf>
    <xf numFmtId="176" fontId="94" fillId="0" borderId="0">
      <alignment vertical="center"/>
    </xf>
    <xf numFmtId="0" fontId="1" fillId="0" borderId="0">
      <protection locked="0"/>
    </xf>
    <xf numFmtId="0" fontId="38" fillId="0" borderId="0">
      <protection locked="0"/>
    </xf>
    <xf numFmtId="176" fontId="38" fillId="0" borderId="0">
      <protection locked="0"/>
    </xf>
    <xf numFmtId="0" fontId="1" fillId="0" borderId="0">
      <protection locked="0"/>
    </xf>
    <xf numFmtId="0" fontId="115" fillId="0" borderId="0"/>
    <xf numFmtId="176" fontId="38" fillId="0" borderId="0">
      <protection locked="0"/>
    </xf>
    <xf numFmtId="0" fontId="116" fillId="0" borderId="0">
      <alignment vertical="center"/>
    </xf>
    <xf numFmtId="178" fontId="38" fillId="0" borderId="0">
      <alignment vertical="center"/>
    </xf>
    <xf numFmtId="176" fontId="38" fillId="0" borderId="0">
      <protection locked="0"/>
    </xf>
    <xf numFmtId="0" fontId="95" fillId="0" borderId="0">
      <alignment vertical="top"/>
      <protection locked="0"/>
    </xf>
    <xf numFmtId="178" fontId="38" fillId="0" borderId="0"/>
    <xf numFmtId="176" fontId="117" fillId="0" borderId="0">
      <protection locked="0"/>
    </xf>
    <xf numFmtId="179" fontId="1" fillId="0" borderId="0" applyBorder="0">
      <alignment vertical="top"/>
      <protection locked="0"/>
    </xf>
  </cellStyleXfs>
  <cellXfs count="382">
    <xf numFmtId="176" fontId="0" fillId="0" borderId="0" xfId="0">
      <alignment vertical="center"/>
    </xf>
    <xf numFmtId="176" fontId="1" fillId="0" borderId="0" xfId="0" applyFont="1" applyAlignment="1">
      <alignment vertical="center" wrapText="1"/>
    </xf>
    <xf numFmtId="176" fontId="1" fillId="2" borderId="0" xfId="0" applyFont="1" applyFill="1">
      <alignment vertical="center"/>
    </xf>
    <xf numFmtId="176" fontId="2" fillId="2" borderId="0" xfId="0" applyFont="1" applyFill="1">
      <alignment vertical="center"/>
    </xf>
    <xf numFmtId="176" fontId="3" fillId="3" borderId="0" xfId="0" applyFont="1" applyFill="1">
      <alignment vertical="center"/>
    </xf>
    <xf numFmtId="176" fontId="1" fillId="3" borderId="0" xfId="0" applyFont="1" applyFill="1">
      <alignment vertical="center"/>
    </xf>
    <xf numFmtId="176" fontId="1" fillId="2" borderId="1" xfId="0" applyFont="1" applyFill="1" applyBorder="1">
      <alignment vertical="center"/>
    </xf>
    <xf numFmtId="176" fontId="4" fillId="3" borderId="0" xfId="0" applyFont="1" applyFill="1">
      <alignment vertical="center"/>
    </xf>
    <xf numFmtId="176" fontId="1" fillId="2" borderId="2" xfId="0" applyFont="1" applyFill="1" applyBorder="1" applyAlignment="1">
      <alignment vertical="center" wrapText="1"/>
    </xf>
    <xf numFmtId="180" fontId="1" fillId="2" borderId="0" xfId="0" applyNumberFormat="1" applyFont="1" applyFill="1" applyAlignment="1">
      <alignment horizontal="center" vertical="center"/>
    </xf>
    <xf numFmtId="180" fontId="1" fillId="2" borderId="0" xfId="0" applyNumberFormat="1" applyFont="1" applyFill="1">
      <alignment vertical="center"/>
    </xf>
    <xf numFmtId="180" fontId="5" fillId="2" borderId="0" xfId="0" applyNumberFormat="1" applyFont="1" applyFill="1" applyAlignment="1">
      <alignment horizontal="left" vertical="center"/>
    </xf>
    <xf numFmtId="180" fontId="6" fillId="2" borderId="0" xfId="0" applyNumberFormat="1" applyFont="1" applyFill="1" applyAlignment="1">
      <alignment horizontal="center" vertical="center"/>
    </xf>
    <xf numFmtId="180" fontId="7" fillId="2" borderId="0" xfId="0" applyNumberFormat="1" applyFont="1" applyFill="1" applyAlignment="1">
      <alignment horizontal="center" vertical="center"/>
    </xf>
    <xf numFmtId="180" fontId="8" fillId="2" borderId="1" xfId="0" applyNumberFormat="1" applyFont="1" applyFill="1" applyBorder="1" applyAlignment="1">
      <alignment horizontal="center" vertical="center"/>
    </xf>
    <xf numFmtId="180" fontId="9" fillId="2" borderId="1" xfId="0" applyNumberFormat="1" applyFont="1" applyFill="1" applyBorder="1" applyAlignment="1">
      <alignment horizontal="center" vertical="center"/>
    </xf>
    <xf numFmtId="180" fontId="9" fillId="2" borderId="1" xfId="0" applyNumberFormat="1" applyFont="1" applyFill="1" applyBorder="1">
      <alignment vertical="center"/>
    </xf>
    <xf numFmtId="180" fontId="9" fillId="2" borderId="1" xfId="0" applyNumberFormat="1" applyFont="1" applyFill="1" applyBorder="1" applyAlignment="1">
      <alignment horizontal="center" vertical="center" wrapText="1"/>
    </xf>
    <xf numFmtId="180" fontId="9" fillId="2" borderId="1" xfId="0" applyNumberFormat="1" applyFont="1" applyFill="1" applyBorder="1" applyAlignment="1">
      <alignment horizontal="left" vertical="center" wrapText="1"/>
    </xf>
    <xf numFmtId="180" fontId="9" fillId="2" borderId="1" xfId="0" applyNumberFormat="1" applyFont="1" applyFill="1" applyBorder="1" applyAlignment="1">
      <alignment horizontal="center" vertical="top" wrapText="1"/>
    </xf>
    <xf numFmtId="180" fontId="9" fillId="2" borderId="1" xfId="0" applyNumberFormat="1" applyFont="1" applyFill="1" applyBorder="1" applyAlignment="1">
      <alignment horizontal="left" vertical="top" wrapText="1"/>
    </xf>
    <xf numFmtId="180" fontId="10" fillId="4" borderId="1" xfId="0" applyNumberFormat="1" applyFont="1" applyFill="1" applyBorder="1" applyAlignment="1">
      <alignment horizontal="center" vertical="center"/>
    </xf>
    <xf numFmtId="180" fontId="10" fillId="4" borderId="1" xfId="0" applyNumberFormat="1" applyFont="1" applyFill="1" applyBorder="1">
      <alignment vertical="center"/>
    </xf>
    <xf numFmtId="180" fontId="11" fillId="2" borderId="1" xfId="0" applyNumberFormat="1" applyFont="1" applyFill="1" applyBorder="1" applyAlignment="1">
      <alignment horizontal="center" vertical="center"/>
    </xf>
    <xf numFmtId="180" fontId="11" fillId="2" borderId="1" xfId="0" applyNumberFormat="1" applyFont="1" applyFill="1" applyBorder="1" applyAlignment="1">
      <alignment horizontal="center" vertical="center" wrapText="1"/>
    </xf>
    <xf numFmtId="176" fontId="12" fillId="2" borderId="0" xfId="0" applyFont="1" applyFill="1" applyAlignment="1">
      <alignment horizontal="center" vertical="center" wrapText="1"/>
    </xf>
    <xf numFmtId="176" fontId="13" fillId="2" borderId="0" xfId="0" applyFont="1" applyFill="1" applyAlignment="1">
      <alignment horizontal="center" vertical="center" wrapText="1"/>
    </xf>
    <xf numFmtId="176" fontId="12" fillId="3" borderId="1" xfId="0" applyFont="1" applyFill="1" applyBorder="1" applyAlignment="1">
      <alignment horizontal="center" vertical="center" wrapText="1"/>
    </xf>
    <xf numFmtId="176" fontId="12" fillId="2" borderId="1" xfId="0" applyFont="1" applyFill="1" applyBorder="1" applyAlignment="1">
      <alignment horizontal="center" vertical="center" wrapText="1"/>
    </xf>
    <xf numFmtId="10" fontId="14" fillId="2" borderId="1" xfId="0" applyNumberFormat="1" applyFont="1" applyFill="1" applyBorder="1" applyAlignment="1">
      <alignment horizontal="center" vertical="center"/>
    </xf>
    <xf numFmtId="176" fontId="12" fillId="2" borderId="3" xfId="0" applyFont="1" applyFill="1" applyBorder="1" applyAlignment="1">
      <alignment horizontal="center" vertical="center" wrapText="1"/>
    </xf>
    <xf numFmtId="10" fontId="14" fillId="2" borderId="3" xfId="0" applyNumberFormat="1" applyFont="1" applyFill="1" applyBorder="1" applyAlignment="1">
      <alignment horizontal="center" vertical="center"/>
    </xf>
    <xf numFmtId="176" fontId="12" fillId="3" borderId="4" xfId="0" applyFont="1" applyFill="1" applyBorder="1" applyAlignment="1">
      <alignment horizontal="center" vertical="center" wrapText="1"/>
    </xf>
    <xf numFmtId="176" fontId="12" fillId="3" borderId="5" xfId="0" applyFont="1" applyFill="1" applyBorder="1" applyAlignment="1">
      <alignment horizontal="center" vertical="center" wrapText="1"/>
    </xf>
    <xf numFmtId="176" fontId="12" fillId="3" borderId="6" xfId="0" applyFont="1" applyFill="1" applyBorder="1" applyAlignment="1">
      <alignment horizontal="center" vertical="center" wrapText="1"/>
    </xf>
    <xf numFmtId="176" fontId="12" fillId="2" borderId="7" xfId="0" applyFont="1" applyFill="1" applyBorder="1" applyAlignment="1">
      <alignment horizontal="center" vertical="center" wrapText="1"/>
    </xf>
    <xf numFmtId="10" fontId="14" fillId="2" borderId="7" xfId="0" applyNumberFormat="1" applyFont="1" applyFill="1" applyBorder="1" applyAlignment="1">
      <alignment horizontal="center" vertical="center"/>
    </xf>
    <xf numFmtId="10" fontId="15" fillId="2" borderId="1" xfId="0" applyNumberFormat="1" applyFont="1" applyFill="1" applyBorder="1" applyAlignment="1">
      <alignment horizontal="center" vertical="center"/>
    </xf>
    <xf numFmtId="10" fontId="15" fillId="2" borderId="3" xfId="0" applyNumberFormat="1" applyFont="1" applyFill="1" applyBorder="1" applyAlignment="1">
      <alignment horizontal="center" vertical="center"/>
    </xf>
    <xf numFmtId="10" fontId="15" fillId="2" borderId="7" xfId="0" applyNumberFormat="1" applyFont="1" applyFill="1" applyBorder="1" applyAlignment="1">
      <alignment horizontal="center" vertical="center"/>
    </xf>
    <xf numFmtId="176" fontId="1" fillId="0" borderId="0" xfId="0" applyFont="1">
      <alignment vertical="center"/>
    </xf>
    <xf numFmtId="176" fontId="1" fillId="0" borderId="0" xfId="0" applyFont="1" applyAlignment="1">
      <alignment horizontal="center" vertical="center"/>
    </xf>
    <xf numFmtId="176" fontId="16" fillId="4" borderId="0" xfId="0" applyFont="1" applyFill="1" applyAlignment="1">
      <alignment horizontal="center" vertical="center" wrapText="1"/>
    </xf>
    <xf numFmtId="176" fontId="17" fillId="5" borderId="8" xfId="0" applyFont="1" applyFill="1" applyBorder="1" applyAlignment="1">
      <alignment horizontal="center" vertical="center" wrapText="1"/>
    </xf>
    <xf numFmtId="176" fontId="17" fillId="5" borderId="9" xfId="0" applyFont="1" applyFill="1" applyBorder="1" applyAlignment="1">
      <alignment horizontal="center" vertical="center" wrapText="1"/>
    </xf>
    <xf numFmtId="176" fontId="17" fillId="5" borderId="10" xfId="0" applyFont="1" applyFill="1" applyBorder="1" applyAlignment="1">
      <alignment horizontal="center" vertical="center" wrapText="1"/>
    </xf>
    <xf numFmtId="176" fontId="18" fillId="0" borderId="0" xfId="6" applyFont="1" applyAlignment="1" applyProtection="1">
      <alignment vertical="center"/>
    </xf>
    <xf numFmtId="176" fontId="19" fillId="4" borderId="1" xfId="0" applyFont="1" applyFill="1" applyBorder="1" applyAlignment="1">
      <alignment horizontal="left" vertical="center" wrapText="1"/>
    </xf>
    <xf numFmtId="176" fontId="19" fillId="4" borderId="0" xfId="0" applyFont="1" applyFill="1" applyAlignment="1">
      <alignment horizontal="left" vertical="center" wrapText="1"/>
    </xf>
    <xf numFmtId="176" fontId="17" fillId="5" borderId="11" xfId="0" applyFont="1" applyFill="1" applyBorder="1" applyAlignment="1">
      <alignment horizontal="center" vertical="center" wrapText="1"/>
    </xf>
    <xf numFmtId="176" fontId="17" fillId="5" borderId="12" xfId="0" applyFont="1" applyFill="1" applyBorder="1" applyAlignment="1">
      <alignment horizontal="center" vertical="center" wrapText="1"/>
    </xf>
    <xf numFmtId="176" fontId="17" fillId="5" borderId="13" xfId="0" applyFont="1" applyFill="1" applyBorder="1" applyAlignment="1">
      <alignment horizontal="center" vertical="center" wrapText="1"/>
    </xf>
    <xf numFmtId="176" fontId="19" fillId="4" borderId="14" xfId="0" applyFont="1" applyFill="1" applyBorder="1" applyAlignment="1">
      <alignment horizontal="left" vertical="center"/>
    </xf>
    <xf numFmtId="176" fontId="19" fillId="4" borderId="15" xfId="0" applyFont="1" applyFill="1" applyBorder="1" applyAlignment="1">
      <alignment horizontal="left" vertical="center"/>
    </xf>
    <xf numFmtId="176" fontId="19" fillId="4" borderId="15" xfId="0" applyFont="1" applyFill="1" applyBorder="1" applyAlignment="1">
      <alignment horizontal="left" vertical="center" wrapText="1"/>
    </xf>
    <xf numFmtId="176" fontId="19" fillId="4" borderId="16" xfId="0" applyFont="1" applyFill="1" applyBorder="1" applyAlignment="1">
      <alignment horizontal="left" vertical="center" wrapText="1"/>
    </xf>
    <xf numFmtId="176" fontId="19" fillId="4" borderId="17" xfId="0" applyFont="1" applyFill="1" applyBorder="1" applyAlignment="1">
      <alignment horizontal="left" vertical="center"/>
    </xf>
    <xf numFmtId="176" fontId="19" fillId="4" borderId="1" xfId="0" applyFont="1" applyFill="1" applyBorder="1" applyAlignment="1">
      <alignment horizontal="left" vertical="center"/>
    </xf>
    <xf numFmtId="176" fontId="19" fillId="4" borderId="18" xfId="0" applyFont="1" applyFill="1" applyBorder="1" applyAlignment="1">
      <alignment horizontal="left" vertical="center"/>
    </xf>
    <xf numFmtId="176" fontId="19" fillId="4" borderId="19" xfId="0" applyFont="1" applyFill="1" applyBorder="1" applyAlignment="1">
      <alignment horizontal="left" vertical="center"/>
    </xf>
    <xf numFmtId="176" fontId="19" fillId="4" borderId="20" xfId="0" applyFont="1" applyFill="1" applyBorder="1" applyAlignment="1">
      <alignment horizontal="left" vertical="center"/>
    </xf>
    <xf numFmtId="176" fontId="19" fillId="4" borderId="21" xfId="0" applyFont="1" applyFill="1" applyBorder="1" applyAlignment="1">
      <alignment horizontal="left" vertical="center"/>
    </xf>
    <xf numFmtId="0" fontId="20" fillId="0" borderId="0" xfId="55" applyFont="1" applyAlignment="1" applyProtection="1">
      <alignment vertical="center"/>
    </xf>
    <xf numFmtId="49" fontId="21" fillId="0" borderId="0" xfId="0" applyNumberFormat="1" applyFont="1" applyAlignment="1"/>
    <xf numFmtId="0" fontId="21" fillId="0" borderId="0" xfId="0" applyNumberFormat="1" applyFont="1" applyAlignment="1"/>
    <xf numFmtId="49" fontId="22" fillId="6" borderId="1" xfId="0" applyNumberFormat="1" applyFont="1" applyFill="1" applyBorder="1" applyAlignment="1">
      <alignment horizontal="left" vertical="center" wrapText="1"/>
    </xf>
    <xf numFmtId="0" fontId="22" fillId="0" borderId="1" xfId="0" applyNumberFormat="1" applyFont="1" applyBorder="1" applyAlignment="1">
      <alignment horizontal="center" vertical="center" wrapText="1"/>
    </xf>
    <xf numFmtId="0" fontId="22" fillId="6" borderId="1" xfId="0" applyNumberFormat="1" applyFont="1" applyFill="1" applyBorder="1" applyAlignment="1">
      <alignment horizontal="left" vertical="center" wrapText="1"/>
    </xf>
    <xf numFmtId="0" fontId="23" fillId="0" borderId="1" xfId="0" applyNumberFormat="1" applyFont="1" applyBorder="1" applyAlignment="1">
      <alignment horizontal="center" vertical="center" wrapText="1"/>
    </xf>
    <xf numFmtId="0" fontId="24" fillId="0" borderId="22" xfId="0" applyNumberFormat="1" applyFont="1" applyBorder="1" applyAlignment="1">
      <alignment horizontal="left" vertical="center" wrapText="1"/>
    </xf>
    <xf numFmtId="0" fontId="25" fillId="0" borderId="2" xfId="0" applyNumberFormat="1" applyFont="1" applyBorder="1" applyAlignment="1">
      <alignment horizontal="left" vertical="center" wrapText="1"/>
    </xf>
    <xf numFmtId="0" fontId="25" fillId="0" borderId="23" xfId="0" applyNumberFormat="1" applyFont="1" applyBorder="1" applyAlignment="1">
      <alignment horizontal="left" vertical="center" wrapText="1"/>
    </xf>
    <xf numFmtId="0" fontId="26" fillId="0" borderId="1" xfId="0" applyNumberFormat="1" applyFont="1" applyBorder="1" applyAlignment="1">
      <alignment horizontal="center" vertical="center" wrapText="1"/>
    </xf>
    <xf numFmtId="0" fontId="27" fillId="7" borderId="1" xfId="0" applyNumberFormat="1" applyFont="1" applyFill="1" applyBorder="1" applyAlignment="1">
      <alignment horizontal="center" vertical="center" wrapText="1"/>
    </xf>
    <xf numFmtId="0" fontId="25" fillId="0" borderId="24" xfId="0" applyNumberFormat="1" applyFont="1" applyBorder="1" applyAlignment="1">
      <alignment horizontal="left" vertical="center" wrapText="1"/>
    </xf>
    <xf numFmtId="0" fontId="25" fillId="0" borderId="0" xfId="0" applyNumberFormat="1" applyFont="1" applyAlignment="1">
      <alignment horizontal="left" vertical="center" wrapText="1"/>
    </xf>
    <xf numFmtId="0" fontId="25" fillId="0" borderId="25" xfId="0" applyNumberFormat="1" applyFont="1" applyBorder="1" applyAlignment="1">
      <alignment horizontal="left" vertical="center" wrapText="1"/>
    </xf>
    <xf numFmtId="0" fontId="22" fillId="6" borderId="3" xfId="0" applyNumberFormat="1" applyFont="1" applyFill="1" applyBorder="1" applyAlignment="1">
      <alignment horizontal="left" vertical="center" wrapText="1"/>
    </xf>
    <xf numFmtId="0" fontId="22" fillId="0" borderId="3" xfId="0" applyNumberFormat="1" applyFont="1" applyBorder="1" applyAlignment="1">
      <alignment horizontal="center" vertical="center" wrapText="1"/>
    </xf>
    <xf numFmtId="0" fontId="28" fillId="5" borderId="1" xfId="0" applyNumberFormat="1" applyFont="1" applyFill="1" applyBorder="1" applyAlignment="1">
      <alignment horizontal="center" vertical="center" wrapText="1"/>
    </xf>
    <xf numFmtId="0" fontId="29" fillId="5" borderId="1" xfId="0" applyNumberFormat="1" applyFont="1" applyFill="1" applyBorder="1" applyAlignment="1">
      <alignment horizontal="center" vertical="center" wrapText="1"/>
    </xf>
    <xf numFmtId="0" fontId="22" fillId="0" borderId="6" xfId="0" applyNumberFormat="1" applyFont="1" applyBorder="1" applyAlignment="1">
      <alignment horizontal="center" vertical="center" wrapText="1"/>
    </xf>
    <xf numFmtId="0" fontId="30" fillId="0" borderId="2" xfId="0" applyNumberFormat="1" applyFont="1" applyBorder="1" applyAlignment="1">
      <alignment horizontal="center" vertical="center" wrapText="1"/>
    </xf>
    <xf numFmtId="0" fontId="30" fillId="0" borderId="23" xfId="0" applyNumberFormat="1" applyFont="1" applyBorder="1" applyAlignment="1">
      <alignment horizontal="center" vertical="center" wrapText="1"/>
    </xf>
    <xf numFmtId="0" fontId="30" fillId="0" borderId="26" xfId="0" applyNumberFormat="1" applyFont="1" applyBorder="1" applyAlignment="1">
      <alignment horizontal="center" vertical="center" wrapText="1"/>
    </xf>
    <xf numFmtId="0" fontId="30" fillId="0" borderId="27" xfId="0" applyNumberFormat="1" applyFont="1" applyBorder="1" applyAlignment="1">
      <alignment horizontal="center" vertical="center" wrapText="1"/>
    </xf>
    <xf numFmtId="49" fontId="30" fillId="4" borderId="1" xfId="0" applyNumberFormat="1" applyFont="1" applyFill="1" applyBorder="1" applyAlignment="1">
      <alignment horizontal="center" vertical="center" wrapText="1"/>
    </xf>
    <xf numFmtId="0" fontId="30" fillId="4" borderId="1" xfId="0" applyNumberFormat="1" applyFont="1" applyFill="1" applyBorder="1" applyAlignment="1">
      <alignment horizontal="center" vertical="center" wrapText="1"/>
    </xf>
    <xf numFmtId="0" fontId="30" fillId="8" borderId="6" xfId="0" applyNumberFormat="1" applyFont="1" applyFill="1" applyBorder="1" applyAlignment="1">
      <alignment horizontal="center" vertical="center" wrapText="1"/>
    </xf>
    <xf numFmtId="0" fontId="30" fillId="8" borderId="1" xfId="0" applyNumberFormat="1" applyFont="1" applyFill="1" applyBorder="1" applyAlignment="1">
      <alignment horizontal="center" vertical="center" wrapText="1"/>
    </xf>
    <xf numFmtId="49" fontId="31" fillId="0" borderId="7" xfId="0" applyNumberFormat="1" applyFont="1" applyBorder="1" applyAlignment="1">
      <alignment horizontal="center" vertical="center"/>
    </xf>
    <xf numFmtId="0" fontId="32" fillId="0" borderId="7" xfId="0" applyNumberFormat="1" applyFont="1" applyBorder="1" applyAlignment="1">
      <alignment horizontal="center" vertical="center"/>
    </xf>
    <xf numFmtId="49" fontId="33" fillId="0" borderId="7" xfId="0" applyNumberFormat="1" applyFont="1" applyBorder="1" applyAlignment="1">
      <alignment horizontal="center" vertical="center" wrapText="1"/>
    </xf>
    <xf numFmtId="0" fontId="14" fillId="0" borderId="7" xfId="0" applyNumberFormat="1" applyFont="1" applyBorder="1" applyAlignment="1">
      <alignment horizontal="center" vertical="center" wrapText="1"/>
    </xf>
    <xf numFmtId="181" fontId="34" fillId="9" borderId="7" xfId="50" applyNumberFormat="1" applyFont="1" applyFill="1" applyBorder="1" applyAlignment="1">
      <alignment horizontal="center" vertical="center" wrapText="1"/>
    </xf>
    <xf numFmtId="0" fontId="31" fillId="0" borderId="7" xfId="0" applyNumberFormat="1" applyFont="1" applyBorder="1" applyAlignment="1">
      <alignment horizontal="center" vertical="center"/>
    </xf>
    <xf numFmtId="0" fontId="31" fillId="0" borderId="7" xfId="0" applyNumberFormat="1" applyFont="1" applyBorder="1" applyAlignment="1">
      <alignment horizontal="center" vertical="center" wrapText="1"/>
    </xf>
    <xf numFmtId="0" fontId="34" fillId="0" borderId="7" xfId="0" applyNumberFormat="1" applyFont="1" applyBorder="1" applyAlignment="1">
      <alignment horizontal="center" vertical="center" wrapText="1"/>
    </xf>
    <xf numFmtId="0" fontId="35" fillId="0" borderId="7" xfId="54" applyNumberFormat="1" applyFont="1" applyBorder="1" applyAlignment="1">
      <alignment horizontal="center" vertical="center" wrapText="1" shrinkToFit="1"/>
    </xf>
    <xf numFmtId="0" fontId="21" fillId="0" borderId="1" xfId="0" applyNumberFormat="1" applyFont="1" applyBorder="1" applyAlignment="1"/>
    <xf numFmtId="0" fontId="20" fillId="0" borderId="1" xfId="55" applyFont="1" applyBorder="1" applyAlignment="1" applyProtection="1">
      <alignment vertical="center"/>
    </xf>
    <xf numFmtId="0" fontId="36" fillId="0" borderId="0" xfId="0" applyNumberFormat="1" applyFont="1">
      <alignment vertical="center"/>
    </xf>
    <xf numFmtId="49" fontId="37" fillId="0" borderId="1" xfId="0" applyNumberFormat="1" applyFont="1" applyBorder="1" applyAlignment="1">
      <alignment horizontal="center" vertical="center"/>
    </xf>
    <xf numFmtId="0" fontId="37" fillId="0" borderId="1" xfId="0" applyNumberFormat="1" applyFont="1" applyBorder="1" applyAlignment="1">
      <alignment horizontal="center" vertical="center"/>
    </xf>
    <xf numFmtId="0" fontId="38" fillId="0" borderId="1" xfId="0" applyNumberFormat="1" applyFont="1" applyBorder="1" applyAlignment="1">
      <alignment horizontal="center" vertical="center"/>
    </xf>
    <xf numFmtId="0" fontId="38" fillId="0" borderId="1" xfId="53" applyBorder="1" applyAlignment="1">
      <alignment horizontal="center" vertical="center" wrapText="1"/>
    </xf>
    <xf numFmtId="0" fontId="39" fillId="0" borderId="1" xfId="0" applyNumberFormat="1" applyFont="1" applyBorder="1" applyAlignment="1">
      <alignment horizontal="center" vertical="center" wrapText="1"/>
    </xf>
    <xf numFmtId="0" fontId="31" fillId="0" borderId="1" xfId="0" applyNumberFormat="1" applyFont="1" applyBorder="1" applyAlignment="1">
      <alignment horizontal="center" vertical="center"/>
    </xf>
    <xf numFmtId="0" fontId="37" fillId="0" borderId="3" xfId="0" applyNumberFormat="1" applyFont="1" applyBorder="1" applyAlignment="1">
      <alignment horizontal="center" vertical="center"/>
    </xf>
    <xf numFmtId="49" fontId="21" fillId="0" borderId="1" xfId="0" applyNumberFormat="1" applyFont="1" applyBorder="1" applyAlignment="1"/>
    <xf numFmtId="176" fontId="0" fillId="9" borderId="0" xfId="0" applyFill="1">
      <alignment vertical="center"/>
    </xf>
    <xf numFmtId="176" fontId="0" fillId="9" borderId="0" xfId="0" applyFill="1" applyAlignment="1">
      <alignment horizontal="center" vertical="center"/>
    </xf>
    <xf numFmtId="0" fontId="40" fillId="9" borderId="1" xfId="0" applyNumberFormat="1" applyFont="1" applyFill="1" applyBorder="1" applyAlignment="1">
      <alignment horizontal="center" vertical="center"/>
    </xf>
    <xf numFmtId="0" fontId="41" fillId="9" borderId="1" xfId="0" applyNumberFormat="1" applyFont="1" applyFill="1" applyBorder="1" applyAlignment="1">
      <alignment horizontal="center" vertical="center"/>
    </xf>
    <xf numFmtId="0" fontId="41" fillId="9" borderId="1" xfId="0" applyNumberFormat="1" applyFont="1" applyFill="1" applyBorder="1" applyAlignment="1">
      <alignment horizontal="left" vertical="center" wrapText="1"/>
    </xf>
    <xf numFmtId="0" fontId="42" fillId="9" borderId="1" xfId="0" applyNumberFormat="1" applyFont="1" applyFill="1" applyBorder="1" applyAlignment="1">
      <alignment horizontal="left" vertical="center" wrapText="1"/>
    </xf>
    <xf numFmtId="0" fontId="41" fillId="9" borderId="3" xfId="0" applyNumberFormat="1" applyFont="1" applyFill="1" applyBorder="1" applyAlignment="1">
      <alignment horizontal="center" vertical="center"/>
    </xf>
    <xf numFmtId="0" fontId="41" fillId="9" borderId="1" xfId="0" applyNumberFormat="1" applyFont="1" applyFill="1" applyBorder="1" applyAlignment="1">
      <alignment horizontal="left" vertical="center"/>
    </xf>
    <xf numFmtId="0" fontId="41" fillId="9" borderId="28" xfId="0" applyNumberFormat="1" applyFont="1" applyFill="1" applyBorder="1" applyAlignment="1">
      <alignment horizontal="center" vertical="center"/>
    </xf>
    <xf numFmtId="0" fontId="41" fillId="9" borderId="3" xfId="0" applyNumberFormat="1" applyFont="1" applyFill="1" applyBorder="1" applyAlignment="1">
      <alignment horizontal="center" vertical="center" wrapText="1"/>
    </xf>
    <xf numFmtId="0" fontId="41" fillId="9" borderId="3" xfId="0" applyNumberFormat="1" applyFont="1" applyFill="1" applyBorder="1" applyAlignment="1">
      <alignment horizontal="left" vertical="center"/>
    </xf>
    <xf numFmtId="0" fontId="41" fillId="9" borderId="28" xfId="0" applyNumberFormat="1" applyFont="1" applyFill="1" applyBorder="1" applyAlignment="1">
      <alignment horizontal="center" vertical="center" wrapText="1"/>
    </xf>
    <xf numFmtId="0" fontId="41" fillId="9" borderId="7" xfId="0" applyNumberFormat="1" applyFont="1" applyFill="1" applyBorder="1" applyAlignment="1">
      <alignment horizontal="center" vertical="center"/>
    </xf>
    <xf numFmtId="0" fontId="43" fillId="9" borderId="1" xfId="0" applyNumberFormat="1" applyFont="1" applyFill="1" applyBorder="1" applyAlignment="1">
      <alignment vertical="center" wrapText="1"/>
    </xf>
    <xf numFmtId="0" fontId="43" fillId="9" borderId="1" xfId="0" applyNumberFormat="1" applyFont="1" applyFill="1" applyBorder="1" applyAlignment="1">
      <alignment horizontal="center" vertical="center" wrapText="1"/>
    </xf>
    <xf numFmtId="0" fontId="44" fillId="0" borderId="0" xfId="0" applyNumberFormat="1" applyFont="1" applyAlignment="1">
      <alignment horizontal="center"/>
    </xf>
    <xf numFmtId="0" fontId="45" fillId="0" borderId="0" xfId="0" applyNumberFormat="1" applyFont="1">
      <alignment vertical="center"/>
    </xf>
    <xf numFmtId="0" fontId="46" fillId="3" borderId="29" xfId="0" applyNumberFormat="1" applyFont="1" applyFill="1" applyBorder="1" applyAlignment="1">
      <alignment horizontal="center"/>
    </xf>
    <xf numFmtId="182" fontId="46" fillId="3" borderId="30" xfId="0" applyNumberFormat="1" applyFont="1" applyFill="1" applyBorder="1" applyAlignment="1">
      <alignment horizontal="center"/>
    </xf>
    <xf numFmtId="182" fontId="46" fillId="3" borderId="31" xfId="0" applyNumberFormat="1" applyFont="1" applyFill="1" applyBorder="1" applyAlignment="1">
      <alignment horizontal="center"/>
    </xf>
    <xf numFmtId="0" fontId="47" fillId="3" borderId="32" xfId="51" applyNumberFormat="1" applyFont="1" applyFill="1" applyBorder="1">
      <alignment vertical="center"/>
    </xf>
    <xf numFmtId="0" fontId="48" fillId="0" borderId="33" xfId="0" applyNumberFormat="1" applyFont="1" applyBorder="1" applyAlignment="1">
      <alignment horizontal="center" vertical="center"/>
    </xf>
    <xf numFmtId="182" fontId="45" fillId="9" borderId="33" xfId="0" applyNumberFormat="1" applyFont="1" applyFill="1" applyBorder="1" applyAlignment="1">
      <alignment horizontal="center"/>
    </xf>
    <xf numFmtId="182" fontId="44" fillId="0" borderId="34" xfId="0" applyNumberFormat="1" applyFont="1" applyBorder="1" applyAlignment="1">
      <alignment horizontal="center"/>
    </xf>
    <xf numFmtId="0" fontId="44" fillId="9" borderId="32" xfId="0" applyNumberFormat="1" applyFont="1" applyFill="1" applyBorder="1">
      <alignment vertical="center"/>
    </xf>
    <xf numFmtId="0" fontId="44" fillId="9" borderId="35" xfId="0" applyNumberFormat="1" applyFont="1" applyFill="1" applyBorder="1" applyAlignment="1">
      <alignment horizontal="center" vertical="center"/>
    </xf>
    <xf numFmtId="0" fontId="31" fillId="9" borderId="32" xfId="0" applyNumberFormat="1" applyFont="1" applyFill="1" applyBorder="1">
      <alignment vertical="center"/>
    </xf>
    <xf numFmtId="0" fontId="44" fillId="9" borderId="35" xfId="0" applyNumberFormat="1" applyFont="1" applyFill="1" applyBorder="1" applyAlignment="1">
      <alignment horizontal="center" vertical="center" wrapText="1"/>
    </xf>
    <xf numFmtId="0" fontId="31" fillId="9" borderId="36" xfId="0" applyNumberFormat="1" applyFont="1" applyFill="1" applyBorder="1" applyAlignment="1">
      <alignment horizontal="center" vertical="center" wrapText="1"/>
    </xf>
    <xf numFmtId="0" fontId="31" fillId="9" borderId="37" xfId="0" applyNumberFormat="1" applyFont="1" applyFill="1" applyBorder="1" applyAlignment="1">
      <alignment horizontal="center" vertical="center" wrapText="1"/>
    </xf>
    <xf numFmtId="0" fontId="44" fillId="9" borderId="38" xfId="0" applyNumberFormat="1" applyFont="1" applyFill="1" applyBorder="1" applyAlignment="1">
      <alignment horizontal="center" vertical="center" wrapText="1"/>
    </xf>
    <xf numFmtId="182" fontId="45" fillId="9" borderId="39" xfId="0" applyNumberFormat="1" applyFont="1" applyFill="1" applyBorder="1" applyAlignment="1">
      <alignment horizontal="center"/>
    </xf>
    <xf numFmtId="182" fontId="44" fillId="0" borderId="40" xfId="0" applyNumberFormat="1" applyFont="1" applyBorder="1" applyAlignment="1">
      <alignment horizontal="center"/>
    </xf>
    <xf numFmtId="0" fontId="49" fillId="9" borderId="41" xfId="0" applyNumberFormat="1" applyFont="1" applyFill="1" applyBorder="1" applyAlignment="1">
      <alignment horizontal="center"/>
    </xf>
    <xf numFmtId="182" fontId="49" fillId="9" borderId="42" xfId="0" applyNumberFormat="1" applyFont="1" applyFill="1" applyBorder="1" applyAlignment="1">
      <alignment horizontal="center"/>
    </xf>
    <xf numFmtId="182" fontId="49" fillId="9" borderId="43" xfId="0" applyNumberFormat="1" applyFont="1" applyFill="1" applyBorder="1" applyAlignment="1">
      <alignment horizontal="center"/>
    </xf>
    <xf numFmtId="0" fontId="48" fillId="0" borderId="44" xfId="0" applyNumberFormat="1" applyFont="1" applyBorder="1" applyAlignment="1">
      <alignment horizontal="center" vertical="center"/>
    </xf>
    <xf numFmtId="182" fontId="45" fillId="9" borderId="44" xfId="0" applyNumberFormat="1" applyFont="1" applyFill="1" applyBorder="1" applyAlignment="1">
      <alignment horizontal="center"/>
    </xf>
    <xf numFmtId="182" fontId="44" fillId="0" borderId="45" xfId="0" applyNumberFormat="1" applyFont="1" applyBorder="1" applyAlignment="1">
      <alignment horizontal="center"/>
    </xf>
    <xf numFmtId="182" fontId="44" fillId="9" borderId="33" xfId="0" applyNumberFormat="1" applyFont="1" applyFill="1" applyBorder="1" applyAlignment="1">
      <alignment horizontal="center"/>
    </xf>
    <xf numFmtId="182" fontId="44" fillId="0" borderId="33" xfId="0" applyNumberFormat="1" applyFont="1" applyBorder="1" applyAlignment="1">
      <alignment horizontal="center"/>
    </xf>
    <xf numFmtId="0" fontId="44" fillId="9" borderId="38" xfId="0" applyNumberFormat="1" applyFont="1" applyFill="1" applyBorder="1" applyAlignment="1">
      <alignment horizontal="center" vertical="center"/>
    </xf>
    <xf numFmtId="182" fontId="44" fillId="9" borderId="39" xfId="0" applyNumberFormat="1" applyFont="1" applyFill="1" applyBorder="1" applyAlignment="1">
      <alignment horizontal="center" vertical="center"/>
    </xf>
    <xf numFmtId="182" fontId="44" fillId="9" borderId="40" xfId="0" applyNumberFormat="1" applyFont="1" applyFill="1" applyBorder="1" applyAlignment="1">
      <alignment horizontal="center" vertical="center"/>
    </xf>
    <xf numFmtId="0" fontId="50" fillId="0" borderId="0" xfId="0" applyNumberFormat="1" applyFont="1" applyAlignment="1">
      <alignment horizontal="center" vertical="center"/>
    </xf>
    <xf numFmtId="0" fontId="44" fillId="0" borderId="0" xfId="0" applyNumberFormat="1" applyFont="1">
      <alignment vertical="center"/>
    </xf>
    <xf numFmtId="0" fontId="44" fillId="0" borderId="0" xfId="0" applyNumberFormat="1" applyFont="1" applyAlignment="1">
      <alignment horizontal="left" vertical="center"/>
    </xf>
    <xf numFmtId="0" fontId="51" fillId="10" borderId="46" xfId="0" applyNumberFormat="1" applyFont="1" applyFill="1" applyBorder="1" applyAlignment="1">
      <alignment horizontal="center" vertical="center"/>
    </xf>
    <xf numFmtId="0" fontId="51" fillId="10" borderId="2" xfId="0" applyNumberFormat="1" applyFont="1" applyFill="1" applyBorder="1" applyAlignment="1">
      <alignment horizontal="center" vertical="center"/>
    </xf>
    <xf numFmtId="0" fontId="51" fillId="10" borderId="47" xfId="0" applyNumberFormat="1" applyFont="1" applyFill="1" applyBorder="1" applyAlignment="1">
      <alignment horizontal="center" vertical="center"/>
    </xf>
    <xf numFmtId="0" fontId="47" fillId="3" borderId="48" xfId="0" applyNumberFormat="1" applyFont="1" applyFill="1" applyBorder="1" applyAlignment="1">
      <alignment horizontal="left" vertical="center"/>
    </xf>
    <xf numFmtId="0" fontId="48" fillId="0" borderId="33" xfId="0" applyNumberFormat="1" applyFont="1" applyBorder="1" applyAlignment="1">
      <alignment horizontal="center"/>
    </xf>
    <xf numFmtId="0" fontId="48" fillId="0" borderId="34" xfId="0" applyNumberFormat="1" applyFont="1" applyBorder="1" applyAlignment="1">
      <alignment horizontal="center" vertical="center"/>
    </xf>
    <xf numFmtId="0" fontId="44" fillId="0" borderId="32" xfId="0" applyNumberFormat="1" applyFont="1" applyBorder="1">
      <alignment vertical="center"/>
    </xf>
    <xf numFmtId="4" fontId="45" fillId="11" borderId="33" xfId="0" applyNumberFormat="1" applyFont="1" applyFill="1" applyBorder="1" applyAlignment="1">
      <alignment horizontal="center" vertical="center"/>
    </xf>
    <xf numFmtId="4" fontId="45" fillId="11" borderId="34" xfId="0" applyNumberFormat="1" applyFont="1" applyFill="1" applyBorder="1" applyAlignment="1">
      <alignment horizontal="center" vertical="center"/>
    </xf>
    <xf numFmtId="0" fontId="31" fillId="0" borderId="32" xfId="0" applyNumberFormat="1" applyFont="1" applyBorder="1">
      <alignment vertical="center"/>
    </xf>
    <xf numFmtId="0" fontId="31" fillId="0" borderId="49" xfId="0" applyNumberFormat="1" applyFont="1" applyBorder="1">
      <alignment vertical="center"/>
    </xf>
    <xf numFmtId="0" fontId="48" fillId="0" borderId="39" xfId="0" applyNumberFormat="1" applyFont="1" applyBorder="1" applyAlignment="1">
      <alignment horizontal="center"/>
    </xf>
    <xf numFmtId="4" fontId="45" fillId="11" borderId="39" xfId="0" applyNumberFormat="1" applyFont="1" applyFill="1" applyBorder="1" applyAlignment="1">
      <alignment horizontal="center" vertical="center"/>
    </xf>
    <xf numFmtId="4" fontId="45" fillId="11" borderId="40" xfId="0" applyNumberFormat="1" applyFont="1" applyFill="1" applyBorder="1" applyAlignment="1">
      <alignment horizontal="center" vertical="center"/>
    </xf>
    <xf numFmtId="0" fontId="48" fillId="0" borderId="50" xfId="0" applyNumberFormat="1" applyFont="1" applyBorder="1" applyAlignment="1">
      <alignment horizontal="center"/>
    </xf>
    <xf numFmtId="0" fontId="48" fillId="0" borderId="0" xfId="0" applyNumberFormat="1" applyFont="1" applyAlignment="1">
      <alignment horizontal="center"/>
    </xf>
    <xf numFmtId="0" fontId="48" fillId="0" borderId="51" xfId="0" applyNumberFormat="1" applyFont="1" applyBorder="1" applyAlignment="1">
      <alignment horizontal="center"/>
    </xf>
    <xf numFmtId="0" fontId="49" fillId="9" borderId="0" xfId="0" applyNumberFormat="1" applyFont="1" applyFill="1" applyAlignment="1">
      <alignment horizontal="center" vertical="center"/>
    </xf>
    <xf numFmtId="0" fontId="48" fillId="0" borderId="44" xfId="0" applyNumberFormat="1" applyFont="1" applyBorder="1" applyAlignment="1">
      <alignment horizontal="center"/>
    </xf>
    <xf numFmtId="0" fontId="48" fillId="0" borderId="45" xfId="0" applyNumberFormat="1" applyFont="1" applyBorder="1" applyAlignment="1">
      <alignment horizontal="center" vertical="center"/>
    </xf>
    <xf numFmtId="0" fontId="48" fillId="9" borderId="0" xfId="0" applyNumberFormat="1" applyFont="1" applyFill="1" applyAlignment="1">
      <alignment horizontal="center"/>
    </xf>
    <xf numFmtId="40" fontId="45" fillId="9" borderId="0" xfId="0" applyNumberFormat="1" applyFont="1" applyFill="1" applyAlignment="1">
      <alignment horizontal="center"/>
    </xf>
    <xf numFmtId="0" fontId="52" fillId="9" borderId="0" xfId="0" applyNumberFormat="1" applyFont="1" applyFill="1" applyAlignment="1"/>
    <xf numFmtId="176" fontId="53" fillId="0" borderId="0" xfId="0" applyFont="1">
      <alignment vertical="center"/>
    </xf>
    <xf numFmtId="176" fontId="54" fillId="9" borderId="0" xfId="0" applyFont="1" applyFill="1" applyAlignment="1">
      <alignment horizontal="left" vertical="center"/>
    </xf>
    <xf numFmtId="176" fontId="53" fillId="9" borderId="0" xfId="0" applyFont="1" applyFill="1">
      <alignment vertical="center"/>
    </xf>
    <xf numFmtId="176" fontId="53" fillId="9" borderId="1" xfId="0" applyFont="1" applyFill="1" applyBorder="1">
      <alignment vertical="center"/>
    </xf>
    <xf numFmtId="176" fontId="54" fillId="9" borderId="3" xfId="0" applyFont="1" applyFill="1" applyBorder="1" applyAlignment="1">
      <alignment horizontal="center" vertical="center" wrapText="1"/>
    </xf>
    <xf numFmtId="176" fontId="54" fillId="9" borderId="3" xfId="0" applyFont="1" applyFill="1" applyBorder="1" applyAlignment="1">
      <alignment horizontal="center" vertical="center"/>
    </xf>
    <xf numFmtId="176" fontId="55" fillId="9" borderId="1" xfId="0" applyFont="1" applyFill="1" applyBorder="1" applyAlignment="1">
      <alignment horizontal="center" vertical="center" wrapText="1"/>
    </xf>
    <xf numFmtId="176" fontId="56" fillId="9" borderId="52" xfId="0" applyFont="1" applyFill="1" applyBorder="1" applyAlignment="1">
      <alignment horizontal="left" vertical="center" wrapText="1"/>
    </xf>
    <xf numFmtId="176" fontId="56" fillId="9" borderId="26" xfId="0" applyFont="1" applyFill="1" applyBorder="1" applyAlignment="1">
      <alignment horizontal="left" vertical="center" wrapText="1"/>
    </xf>
    <xf numFmtId="176" fontId="56" fillId="9" borderId="27" xfId="0" applyFont="1" applyFill="1" applyBorder="1" applyAlignment="1">
      <alignment horizontal="left" vertical="center" wrapText="1"/>
    </xf>
    <xf numFmtId="0" fontId="5" fillId="0" borderId="7" xfId="0" applyNumberFormat="1" applyFont="1" applyBorder="1" applyAlignment="1">
      <alignment horizontal="center" vertical="center"/>
    </xf>
    <xf numFmtId="0" fontId="5" fillId="0" borderId="7" xfId="0" applyNumberFormat="1" applyFont="1" applyBorder="1" applyAlignment="1">
      <alignment horizontal="center" vertical="center" wrapText="1"/>
    </xf>
    <xf numFmtId="178" fontId="57" fillId="0" borderId="7" xfId="62" applyFont="1" applyBorder="1" applyAlignment="1" applyProtection="1">
      <alignment horizontal="center" vertical="center"/>
      <protection locked="0"/>
    </xf>
    <xf numFmtId="0" fontId="58" fillId="0" borderId="7" xfId="0" applyNumberFormat="1" applyFont="1" applyBorder="1" applyAlignment="1">
      <alignment horizontal="center" vertical="center"/>
    </xf>
    <xf numFmtId="183" fontId="59" fillId="2" borderId="53" xfId="0" applyNumberFormat="1" applyFont="1" applyFill="1" applyBorder="1" applyAlignment="1">
      <alignment horizontal="center" vertical="center"/>
    </xf>
    <xf numFmtId="0" fontId="60" fillId="2" borderId="54" xfId="0" applyNumberFormat="1" applyFont="1" applyFill="1" applyBorder="1" applyAlignment="1">
      <alignment horizontal="center" vertical="center" wrapText="1"/>
    </xf>
    <xf numFmtId="184" fontId="61" fillId="0" borderId="1" xfId="0" applyNumberFormat="1" applyFont="1" applyBorder="1" applyAlignment="1">
      <alignment horizontal="center" vertical="center"/>
    </xf>
    <xf numFmtId="176" fontId="8" fillId="2" borderId="53" xfId="0" applyFont="1" applyFill="1" applyBorder="1" applyAlignment="1" applyProtection="1">
      <alignment horizontal="center" vertical="center"/>
      <protection locked="0"/>
    </xf>
    <xf numFmtId="183" fontId="59" fillId="2" borderId="53" xfId="0" applyNumberFormat="1" applyFont="1" applyFill="1" applyBorder="1" applyAlignment="1">
      <alignment horizontal="center" vertical="center" wrapText="1"/>
    </xf>
    <xf numFmtId="183" fontId="62" fillId="2" borderId="53" xfId="0" applyNumberFormat="1" applyFont="1" applyFill="1" applyBorder="1" applyAlignment="1">
      <alignment horizontal="center" vertical="center" wrapText="1"/>
    </xf>
    <xf numFmtId="0" fontId="16" fillId="0" borderId="53" xfId="0" applyNumberFormat="1" applyFont="1" applyBorder="1" applyAlignment="1">
      <alignment horizontal="center" vertical="center"/>
    </xf>
    <xf numFmtId="183" fontId="59" fillId="2" borderId="54" xfId="0" applyNumberFormat="1" applyFont="1" applyFill="1" applyBorder="1" applyAlignment="1">
      <alignment horizontal="center" vertical="center" wrapText="1"/>
    </xf>
    <xf numFmtId="183" fontId="62" fillId="2" borderId="54" xfId="0" applyNumberFormat="1" applyFont="1" applyFill="1" applyBorder="1" applyAlignment="1">
      <alignment horizontal="center" vertical="center" wrapText="1"/>
    </xf>
    <xf numFmtId="183" fontId="59" fillId="2" borderId="54" xfId="0" applyNumberFormat="1" applyFont="1" applyFill="1" applyBorder="1" applyAlignment="1">
      <alignment horizontal="center" vertical="center"/>
    </xf>
    <xf numFmtId="176" fontId="8" fillId="2" borderId="54" xfId="0" applyFont="1" applyFill="1" applyBorder="1" applyAlignment="1" applyProtection="1">
      <alignment horizontal="center" vertical="center"/>
      <protection locked="0"/>
    </xf>
    <xf numFmtId="183" fontId="5" fillId="9" borderId="1" xfId="0" applyNumberFormat="1" applyFont="1" applyFill="1" applyBorder="1" applyAlignment="1">
      <alignment horizontal="left" vertical="center"/>
    </xf>
    <xf numFmtId="176" fontId="63" fillId="9" borderId="1" xfId="0" applyFont="1" applyFill="1" applyBorder="1" applyAlignment="1">
      <alignment horizontal="left" vertical="center" wrapText="1"/>
    </xf>
    <xf numFmtId="0" fontId="64" fillId="3" borderId="7" xfId="59" applyFont="1" applyFill="1" applyBorder="1" applyAlignment="1">
      <alignment horizontal="left" vertical="center" wrapText="1"/>
    </xf>
    <xf numFmtId="176" fontId="53" fillId="9" borderId="1" xfId="0" applyFont="1" applyFill="1" applyBorder="1" applyAlignment="1">
      <alignment horizontal="left" vertical="center" wrapText="1"/>
    </xf>
    <xf numFmtId="176" fontId="64" fillId="3" borderId="1" xfId="0" applyFont="1" applyFill="1" applyBorder="1" applyAlignment="1">
      <alignment horizontal="left" vertical="center" wrapText="1"/>
    </xf>
    <xf numFmtId="176" fontId="65" fillId="9" borderId="4" xfId="0" applyFont="1" applyFill="1" applyBorder="1" applyAlignment="1">
      <alignment horizontal="left" vertical="center" wrapText="1"/>
    </xf>
    <xf numFmtId="176" fontId="65" fillId="9" borderId="5" xfId="0" applyFont="1" applyFill="1" applyBorder="1" applyAlignment="1">
      <alignment horizontal="left" vertical="center" wrapText="1"/>
    </xf>
    <xf numFmtId="176" fontId="65" fillId="9" borderId="6" xfId="0" applyFont="1" applyFill="1" applyBorder="1" applyAlignment="1">
      <alignment horizontal="left" vertical="center" wrapText="1"/>
    </xf>
    <xf numFmtId="176" fontId="65" fillId="9" borderId="1" xfId="0" applyFont="1" applyFill="1" applyBorder="1" applyAlignment="1">
      <alignment horizontal="left" vertical="center" wrapText="1"/>
    </xf>
    <xf numFmtId="0" fontId="64" fillId="3" borderId="1" xfId="59" applyFont="1" applyFill="1" applyBorder="1" applyAlignment="1">
      <alignment horizontal="left" vertical="center" wrapText="1"/>
    </xf>
    <xf numFmtId="0" fontId="66" fillId="4" borderId="1" xfId="59" applyFont="1" applyFill="1" applyBorder="1" applyAlignment="1">
      <alignment horizontal="left" vertical="center" wrapText="1"/>
    </xf>
    <xf numFmtId="0" fontId="64" fillId="3" borderId="1" xfId="0" applyNumberFormat="1" applyFont="1" applyFill="1" applyBorder="1" applyAlignment="1">
      <alignment horizontal="left" vertical="center"/>
    </xf>
    <xf numFmtId="0" fontId="53" fillId="9" borderId="1" xfId="59" applyFont="1" applyFill="1" applyBorder="1" applyAlignment="1">
      <alignment horizontal="left" vertical="center" wrapText="1"/>
    </xf>
    <xf numFmtId="0" fontId="67" fillId="9" borderId="1" xfId="59" applyFont="1" applyFill="1" applyBorder="1" applyAlignment="1">
      <alignment horizontal="left" vertical="center" wrapText="1"/>
    </xf>
    <xf numFmtId="0" fontId="68" fillId="9" borderId="1" xfId="59" applyFont="1" applyFill="1" applyBorder="1" applyAlignment="1">
      <alignment horizontal="left" vertical="center"/>
    </xf>
    <xf numFmtId="176" fontId="69" fillId="9" borderId="0" xfId="0" applyFont="1" applyFill="1">
      <alignment vertical="center"/>
    </xf>
    <xf numFmtId="176" fontId="53" fillId="9" borderId="0" xfId="0" applyFont="1" applyFill="1" applyAlignment="1">
      <alignment horizontal="center" vertical="center"/>
    </xf>
    <xf numFmtId="176" fontId="12" fillId="9" borderId="0" xfId="0" applyFont="1" applyFill="1" applyAlignment="1">
      <alignment horizontal="center" vertical="center"/>
    </xf>
    <xf numFmtId="0" fontId="70" fillId="3" borderId="1" xfId="0" applyNumberFormat="1" applyFont="1" applyFill="1" applyBorder="1" applyAlignment="1">
      <alignment horizontal="center" vertical="center" wrapText="1"/>
    </xf>
    <xf numFmtId="0" fontId="71" fillId="0" borderId="4" xfId="0" applyNumberFormat="1" applyFont="1" applyFill="1" applyBorder="1" applyAlignment="1">
      <alignment horizontal="center" vertical="center" wrapText="1"/>
    </xf>
    <xf numFmtId="0" fontId="71" fillId="0" borderId="5" xfId="0" applyNumberFormat="1" applyFont="1" applyFill="1" applyBorder="1" applyAlignment="1">
      <alignment horizontal="center" vertical="center" wrapText="1"/>
    </xf>
    <xf numFmtId="0" fontId="71" fillId="0" borderId="6" xfId="0" applyNumberFormat="1" applyFont="1" applyFill="1" applyBorder="1" applyAlignment="1">
      <alignment horizontal="center" vertical="center" wrapText="1"/>
    </xf>
    <xf numFmtId="0" fontId="72" fillId="9" borderId="1" xfId="59" applyFont="1" applyFill="1" applyBorder="1" applyAlignment="1">
      <alignment horizontal="center" vertical="center"/>
    </xf>
    <xf numFmtId="0" fontId="5" fillId="9" borderId="4" xfId="59" applyFont="1" applyFill="1" applyBorder="1" applyAlignment="1">
      <alignment horizontal="center" vertical="center" wrapText="1"/>
    </xf>
    <xf numFmtId="0" fontId="5" fillId="9" borderId="5" xfId="59" applyFont="1" applyFill="1" applyBorder="1" applyAlignment="1">
      <alignment horizontal="center" vertical="center" wrapText="1"/>
    </xf>
    <xf numFmtId="0" fontId="73" fillId="9" borderId="1" xfId="59" applyFont="1" applyFill="1" applyBorder="1" applyAlignment="1">
      <alignment horizontal="center" vertical="center"/>
    </xf>
    <xf numFmtId="183" fontId="34" fillId="9" borderId="1" xfId="0" applyNumberFormat="1" applyFont="1" applyFill="1" applyBorder="1" applyAlignment="1">
      <alignment horizontal="center" vertical="center" wrapText="1"/>
    </xf>
    <xf numFmtId="0" fontId="69" fillId="9" borderId="4" xfId="59" applyFont="1" applyFill="1" applyBorder="1" applyAlignment="1">
      <alignment horizontal="center" vertical="center"/>
    </xf>
    <xf numFmtId="0" fontId="69" fillId="9" borderId="6" xfId="59" applyFont="1" applyFill="1" applyBorder="1" applyAlignment="1">
      <alignment horizontal="center" vertical="center"/>
    </xf>
    <xf numFmtId="0" fontId="34" fillId="9" borderId="22" xfId="59" applyFont="1" applyFill="1" applyBorder="1" applyAlignment="1">
      <alignment horizontal="center" vertical="center" wrapText="1"/>
    </xf>
    <xf numFmtId="0" fontId="74" fillId="12" borderId="1" xfId="59" applyFont="1" applyFill="1" applyBorder="1" applyAlignment="1">
      <alignment horizontal="left" vertical="center" wrapText="1"/>
    </xf>
    <xf numFmtId="0" fontId="34" fillId="9" borderId="24" xfId="59" applyFont="1" applyFill="1" applyBorder="1" applyAlignment="1">
      <alignment horizontal="center" vertical="center" wrapText="1"/>
    </xf>
    <xf numFmtId="0" fontId="75" fillId="12" borderId="1" xfId="59" applyFont="1" applyFill="1" applyBorder="1" applyAlignment="1">
      <alignment horizontal="left" vertical="center"/>
    </xf>
    <xf numFmtId="176" fontId="76" fillId="9" borderId="0" xfId="0" applyFont="1" applyFill="1" applyAlignment="1">
      <alignment horizontal="left" vertical="top" wrapText="1"/>
    </xf>
    <xf numFmtId="183" fontId="34" fillId="9" borderId="1" xfId="0" applyNumberFormat="1" applyFont="1" applyFill="1" applyBorder="1" applyAlignment="1">
      <alignment horizontal="center" vertical="center"/>
    </xf>
    <xf numFmtId="0" fontId="34" fillId="9" borderId="52" xfId="59" applyFont="1" applyFill="1" applyBorder="1" applyAlignment="1">
      <alignment horizontal="center" vertical="center" wrapText="1"/>
    </xf>
    <xf numFmtId="0" fontId="56" fillId="9" borderId="3" xfId="59" applyFont="1" applyFill="1" applyBorder="1" applyAlignment="1">
      <alignment horizontal="center" vertical="center" wrapText="1"/>
    </xf>
    <xf numFmtId="0" fontId="34" fillId="9" borderId="2" xfId="59" applyFont="1" applyFill="1" applyBorder="1" applyAlignment="1">
      <alignment horizontal="center" vertical="center" wrapText="1"/>
    </xf>
    <xf numFmtId="0" fontId="56" fillId="9" borderId="22" xfId="59" applyFont="1" applyFill="1" applyBorder="1" applyAlignment="1">
      <alignment vertical="center" wrapText="1"/>
    </xf>
    <xf numFmtId="0" fontId="56" fillId="9" borderId="2" xfId="59" applyFont="1" applyFill="1" applyBorder="1" applyAlignment="1">
      <alignment vertical="center" wrapText="1"/>
    </xf>
    <xf numFmtId="176" fontId="63" fillId="9" borderId="4" xfId="0" applyFont="1" applyFill="1" applyBorder="1" applyAlignment="1">
      <alignment horizontal="left" vertical="center" wrapText="1"/>
    </xf>
    <xf numFmtId="176" fontId="63" fillId="9" borderId="5" xfId="0" applyFont="1" applyFill="1" applyBorder="1" applyAlignment="1">
      <alignment horizontal="left" vertical="center" wrapText="1"/>
    </xf>
    <xf numFmtId="176" fontId="63" fillId="9" borderId="6" xfId="0" applyFont="1" applyFill="1" applyBorder="1" applyAlignment="1">
      <alignment horizontal="left" vertical="center" wrapText="1"/>
    </xf>
    <xf numFmtId="176" fontId="77" fillId="3" borderId="7" xfId="0" applyFont="1" applyFill="1" applyBorder="1" applyAlignment="1">
      <alignment horizontal="center" vertical="center"/>
    </xf>
    <xf numFmtId="176" fontId="65" fillId="0" borderId="1" xfId="0" applyFont="1" applyBorder="1" applyAlignment="1">
      <alignment horizontal="left" vertical="center" wrapText="1"/>
    </xf>
    <xf numFmtId="176" fontId="53" fillId="0" borderId="1" xfId="0" applyFont="1" applyBorder="1" applyAlignment="1">
      <alignment horizontal="left" vertical="center" wrapText="1"/>
    </xf>
    <xf numFmtId="176" fontId="65" fillId="0" borderId="4" xfId="0" applyFont="1" applyBorder="1" applyAlignment="1">
      <alignment horizontal="left" vertical="center" wrapText="1"/>
    </xf>
    <xf numFmtId="176" fontId="65" fillId="0" borderId="5" xfId="0" applyFont="1" applyBorder="1" applyAlignment="1">
      <alignment horizontal="left" vertical="center" wrapText="1"/>
    </xf>
    <xf numFmtId="176" fontId="65" fillId="0" borderId="6" xfId="0" applyFont="1" applyBorder="1" applyAlignment="1">
      <alignment horizontal="left" vertical="center" wrapText="1"/>
    </xf>
    <xf numFmtId="176" fontId="77" fillId="3" borderId="1" xfId="0" applyFont="1" applyFill="1" applyBorder="1" applyAlignment="1">
      <alignment horizontal="left" vertical="center" wrapText="1"/>
    </xf>
    <xf numFmtId="176" fontId="12" fillId="0" borderId="1" xfId="0" applyFont="1" applyBorder="1" applyAlignment="1">
      <alignment horizontal="left" vertical="center" wrapText="1"/>
    </xf>
    <xf numFmtId="176" fontId="77" fillId="3" borderId="1" xfId="0" applyFont="1" applyFill="1" applyBorder="1" applyAlignment="1">
      <alignment horizontal="left" vertical="center"/>
    </xf>
    <xf numFmtId="180" fontId="65" fillId="0" borderId="1" xfId="0" applyNumberFormat="1" applyFont="1" applyBorder="1" applyAlignment="1">
      <alignment horizontal="left" vertical="center" wrapText="1"/>
    </xf>
    <xf numFmtId="176" fontId="21" fillId="0" borderId="1" xfId="0" applyFont="1" applyBorder="1" applyAlignment="1">
      <alignment horizontal="left" vertical="center" wrapText="1"/>
    </xf>
    <xf numFmtId="176" fontId="57" fillId="0" borderId="1" xfId="0" applyFont="1" applyBorder="1" applyAlignment="1">
      <alignment horizontal="left" vertical="center" wrapText="1"/>
    </xf>
    <xf numFmtId="176" fontId="57" fillId="0" borderId="4" xfId="0" applyFont="1" applyBorder="1" applyAlignment="1">
      <alignment horizontal="left" vertical="center" wrapText="1"/>
    </xf>
    <xf numFmtId="176" fontId="57" fillId="0" borderId="5" xfId="0" applyFont="1" applyBorder="1" applyAlignment="1">
      <alignment horizontal="left" vertical="center" wrapText="1"/>
    </xf>
    <xf numFmtId="176" fontId="57" fillId="0" borderId="6" xfId="0" applyFont="1" applyBorder="1" applyAlignment="1">
      <alignment horizontal="left" vertical="center" wrapText="1"/>
    </xf>
    <xf numFmtId="176" fontId="64" fillId="3" borderId="1" xfId="0" applyFont="1" applyFill="1" applyBorder="1" applyAlignment="1">
      <alignment horizontal="left" vertical="center"/>
    </xf>
    <xf numFmtId="176" fontId="60" fillId="4" borderId="1" xfId="0" applyFont="1" applyFill="1" applyBorder="1" applyAlignment="1">
      <alignment horizontal="left" vertical="center" wrapText="1"/>
    </xf>
    <xf numFmtId="176" fontId="53" fillId="4" borderId="1" xfId="0" applyFont="1" applyFill="1" applyBorder="1" applyAlignment="1">
      <alignment horizontal="left" vertical="center" wrapText="1"/>
    </xf>
    <xf numFmtId="176" fontId="66" fillId="4" borderId="1" xfId="0" applyFont="1" applyFill="1" applyBorder="1" applyAlignment="1">
      <alignment horizontal="left" vertical="center" wrapText="1"/>
    </xf>
    <xf numFmtId="176" fontId="60" fillId="4" borderId="1" xfId="0" applyFont="1" applyFill="1" applyBorder="1" applyAlignment="1">
      <alignment horizontal="left" vertical="center"/>
    </xf>
    <xf numFmtId="180" fontId="53" fillId="0" borderId="1" xfId="0" applyNumberFormat="1" applyFont="1" applyBorder="1" applyAlignment="1">
      <alignment horizontal="left" vertical="center" wrapText="1"/>
    </xf>
    <xf numFmtId="176" fontId="78" fillId="0" borderId="1" xfId="0" applyFont="1" applyBorder="1" applyAlignment="1">
      <alignment horizontal="left" vertical="center"/>
    </xf>
    <xf numFmtId="176" fontId="71" fillId="9" borderId="1" xfId="0" applyFont="1" applyFill="1" applyBorder="1" applyAlignment="1">
      <alignment horizontal="center" vertical="center" wrapText="1"/>
    </xf>
    <xf numFmtId="176" fontId="71" fillId="9" borderId="1" xfId="0" applyFont="1" applyFill="1" applyBorder="1" applyAlignment="1">
      <alignment horizontal="center" vertical="center"/>
    </xf>
    <xf numFmtId="176" fontId="79" fillId="9" borderId="4" xfId="0" applyFont="1" applyFill="1" applyBorder="1" applyAlignment="1">
      <alignment horizontal="center" vertical="center" wrapText="1"/>
    </xf>
    <xf numFmtId="176" fontId="71" fillId="9" borderId="5" xfId="0" applyFont="1" applyFill="1" applyBorder="1" applyAlignment="1">
      <alignment horizontal="center" vertical="center" wrapText="1"/>
    </xf>
    <xf numFmtId="176" fontId="71" fillId="9" borderId="6" xfId="0" applyFont="1" applyFill="1" applyBorder="1" applyAlignment="1">
      <alignment horizontal="center" vertical="center" wrapText="1"/>
    </xf>
    <xf numFmtId="0" fontId="7" fillId="0" borderId="1" xfId="0" applyNumberFormat="1" applyFont="1" applyBorder="1" applyAlignment="1">
      <alignment horizontal="center" vertical="center"/>
    </xf>
    <xf numFmtId="0" fontId="7" fillId="0" borderId="1" xfId="0" applyNumberFormat="1" applyFont="1" applyBorder="1" applyAlignment="1">
      <alignment horizontal="center" vertical="center" wrapText="1"/>
    </xf>
    <xf numFmtId="178" fontId="7" fillId="0" borderId="1" xfId="62" applyFont="1" applyBorder="1" applyAlignment="1" applyProtection="1">
      <alignment horizontal="center" vertical="center"/>
      <protection locked="0"/>
    </xf>
    <xf numFmtId="0" fontId="57" fillId="9" borderId="1" xfId="0" applyNumberFormat="1" applyFont="1" applyFill="1" applyBorder="1" applyAlignment="1">
      <alignment horizontal="center" vertical="center" wrapText="1"/>
    </xf>
    <xf numFmtId="180" fontId="80" fillId="0" borderId="1" xfId="0" applyNumberFormat="1" applyFont="1" applyBorder="1" applyAlignment="1">
      <alignment horizontal="center" vertical="center"/>
    </xf>
    <xf numFmtId="180" fontId="80" fillId="4" borderId="1" xfId="0" applyNumberFormat="1" applyFont="1" applyFill="1" applyBorder="1" applyAlignment="1">
      <alignment horizontal="center" vertical="center"/>
    </xf>
    <xf numFmtId="0" fontId="47" fillId="9" borderId="4" xfId="0" applyNumberFormat="1" applyFont="1" applyFill="1" applyBorder="1" applyAlignment="1">
      <alignment horizontal="center" vertical="center"/>
    </xf>
    <xf numFmtId="0" fontId="47" fillId="9" borderId="5" xfId="0" applyNumberFormat="1" applyFont="1" applyFill="1" applyBorder="1" applyAlignment="1">
      <alignment horizontal="center" vertical="center"/>
    </xf>
    <xf numFmtId="0" fontId="57" fillId="9" borderId="5" xfId="0" applyNumberFormat="1" applyFont="1" applyFill="1" applyBorder="1" applyAlignment="1">
      <alignment horizontal="center" vertical="center"/>
    </xf>
    <xf numFmtId="0" fontId="57" fillId="9" borderId="6" xfId="0" applyNumberFormat="1" applyFont="1" applyFill="1" applyBorder="1" applyAlignment="1">
      <alignment horizontal="center" vertical="center"/>
    </xf>
    <xf numFmtId="0" fontId="57" fillId="9" borderId="3" xfId="0" applyNumberFormat="1" applyFont="1" applyFill="1" applyBorder="1" applyAlignment="1">
      <alignment horizontal="center" vertical="center" wrapText="1"/>
    </xf>
    <xf numFmtId="183" fontId="34" fillId="9" borderId="3" xfId="0" applyNumberFormat="1" applyFont="1" applyFill="1" applyBorder="1" applyAlignment="1">
      <alignment horizontal="center" vertical="center" wrapText="1"/>
    </xf>
    <xf numFmtId="176" fontId="81" fillId="9" borderId="1" xfId="0" applyFont="1" applyFill="1" applyBorder="1" applyAlignment="1">
      <alignment horizontal="left" vertical="center" wrapText="1"/>
    </xf>
    <xf numFmtId="176" fontId="81" fillId="9" borderId="1" xfId="0" applyFont="1" applyFill="1" applyBorder="1" applyAlignment="1">
      <alignment horizontal="left" vertical="center"/>
    </xf>
    <xf numFmtId="176" fontId="7" fillId="9" borderId="1" xfId="0" applyFont="1" applyFill="1" applyBorder="1" applyAlignment="1">
      <alignment horizontal="left" vertical="center" wrapText="1"/>
    </xf>
    <xf numFmtId="176" fontId="7" fillId="3" borderId="1" xfId="0" applyFont="1" applyFill="1" applyBorder="1" applyAlignment="1">
      <alignment horizontal="left" vertical="center"/>
    </xf>
    <xf numFmtId="176" fontId="7" fillId="3" borderId="1" xfId="0" applyFont="1" applyFill="1" applyBorder="1" applyAlignment="1">
      <alignment horizontal="left" vertical="center" wrapText="1"/>
    </xf>
    <xf numFmtId="176" fontId="34" fillId="0" borderId="1" xfId="0" applyFont="1" applyBorder="1" applyAlignment="1">
      <alignment horizontal="left" vertical="center" wrapText="1"/>
    </xf>
    <xf numFmtId="176" fontId="60" fillId="4" borderId="1" xfId="0" applyFont="1" applyFill="1" applyBorder="1" applyAlignment="1">
      <alignment vertical="center" wrapText="1"/>
    </xf>
    <xf numFmtId="176" fontId="12" fillId="4" borderId="1" xfId="0" applyFont="1" applyFill="1" applyBorder="1" applyAlignment="1">
      <alignment horizontal="left" vertical="center" wrapText="1"/>
    </xf>
    <xf numFmtId="176" fontId="60" fillId="4" borderId="1" xfId="0" applyFont="1" applyFill="1" applyBorder="1">
      <alignment vertical="center"/>
    </xf>
    <xf numFmtId="176" fontId="68" fillId="0" borderId="1" xfId="0" applyFont="1" applyBorder="1" applyAlignment="1">
      <alignment horizontal="left" vertical="center"/>
    </xf>
    <xf numFmtId="176" fontId="82" fillId="0" borderId="1" xfId="0" applyFont="1" applyBorder="1" applyAlignment="1">
      <alignment horizontal="left" vertical="center"/>
    </xf>
    <xf numFmtId="176" fontId="38" fillId="9" borderId="0" xfId="57" applyFill="1" applyAlignment="1">
      <alignment vertical="center"/>
      <protection locked="0"/>
    </xf>
    <xf numFmtId="176" fontId="83" fillId="9" borderId="0" xfId="57" applyFont="1" applyFill="1" applyAlignment="1">
      <alignment vertical="center"/>
      <protection locked="0"/>
    </xf>
    <xf numFmtId="176" fontId="38" fillId="9" borderId="0" xfId="57" applyFill="1" applyAlignment="1">
      <alignment horizontal="center" vertical="center"/>
      <protection locked="0"/>
    </xf>
    <xf numFmtId="176" fontId="84" fillId="0" borderId="0" xfId="57" applyFont="1" applyAlignment="1">
      <alignment horizontal="left" vertical="center"/>
      <protection locked="0"/>
    </xf>
    <xf numFmtId="176" fontId="84" fillId="0" borderId="0" xfId="57" applyFont="1" applyAlignment="1">
      <alignment horizontal="center" vertical="center"/>
      <protection locked="0"/>
    </xf>
    <xf numFmtId="176" fontId="7" fillId="0" borderId="0" xfId="57" applyFont="1" applyAlignment="1">
      <alignment vertical="center"/>
      <protection locked="0"/>
    </xf>
    <xf numFmtId="176" fontId="85" fillId="0" borderId="0" xfId="57" applyFont="1" applyAlignment="1">
      <alignment vertical="center"/>
      <protection locked="0"/>
    </xf>
    <xf numFmtId="176" fontId="57" fillId="0" borderId="0" xfId="57" applyFont="1" applyAlignment="1">
      <alignment vertical="center"/>
      <protection locked="0"/>
    </xf>
    <xf numFmtId="176" fontId="85" fillId="0" borderId="0" xfId="57" applyFont="1" applyAlignment="1">
      <alignment horizontal="center" vertical="center"/>
      <protection locked="0"/>
    </xf>
    <xf numFmtId="176" fontId="5" fillId="9" borderId="1" xfId="57" applyFont="1" applyFill="1" applyBorder="1" applyAlignment="1">
      <alignment horizontal="center" vertical="center" wrapText="1"/>
      <protection locked="0"/>
    </xf>
    <xf numFmtId="176" fontId="5" fillId="9" borderId="1" xfId="57" applyFont="1" applyFill="1" applyBorder="1" applyAlignment="1">
      <alignment horizontal="center" vertical="center"/>
      <protection locked="0"/>
    </xf>
    <xf numFmtId="0" fontId="85" fillId="9" borderId="1" xfId="56" applyFont="1" applyFill="1" applyBorder="1" applyAlignment="1">
      <alignment horizontal="center" vertical="center"/>
      <protection locked="0"/>
    </xf>
    <xf numFmtId="0" fontId="86" fillId="9" borderId="1" xfId="64" applyFont="1" applyFill="1" applyBorder="1" applyAlignment="1">
      <alignment horizontal="center" vertical="center"/>
      <protection locked="0"/>
    </xf>
    <xf numFmtId="176" fontId="85" fillId="9" borderId="1" xfId="58" applyNumberFormat="1" applyFont="1" applyFill="1" applyBorder="1" applyAlignment="1">
      <alignment horizontal="center" vertical="center"/>
      <protection locked="0"/>
    </xf>
    <xf numFmtId="0" fontId="4" fillId="9" borderId="1" xfId="56" applyFont="1" applyFill="1" applyBorder="1" applyAlignment="1">
      <alignment horizontal="center" vertical="center"/>
      <protection locked="0"/>
    </xf>
    <xf numFmtId="0" fontId="4" fillId="9" borderId="1" xfId="64" applyFont="1" applyFill="1" applyBorder="1" applyAlignment="1">
      <alignment horizontal="center" vertical="center"/>
      <protection locked="0"/>
    </xf>
    <xf numFmtId="176" fontId="85" fillId="9" borderId="1" xfId="57" applyFont="1" applyFill="1" applyBorder="1" applyAlignment="1">
      <alignment horizontal="center" vertical="center"/>
      <protection locked="0"/>
    </xf>
    <xf numFmtId="0" fontId="85" fillId="9" borderId="1" xfId="57" applyNumberFormat="1" applyFont="1" applyFill="1" applyBorder="1" applyAlignment="1">
      <alignment horizontal="center" vertical="center"/>
      <protection locked="0"/>
    </xf>
    <xf numFmtId="0" fontId="53" fillId="9" borderId="0" xfId="0" applyNumberFormat="1" applyFont="1" applyFill="1">
      <alignment vertical="center"/>
    </xf>
    <xf numFmtId="0" fontId="47" fillId="9" borderId="0" xfId="0" applyNumberFormat="1" applyFont="1" applyFill="1">
      <alignment vertical="center"/>
    </xf>
    <xf numFmtId="0" fontId="56" fillId="0" borderId="1" xfId="0" applyNumberFormat="1" applyFont="1" applyBorder="1" applyAlignment="1">
      <alignment horizontal="center" vertical="center" wrapText="1"/>
    </xf>
    <xf numFmtId="0" fontId="87" fillId="13" borderId="1" xfId="0" applyNumberFormat="1" applyFont="1" applyFill="1" applyBorder="1" applyAlignment="1">
      <alignment horizontal="center" vertical="center" wrapText="1"/>
    </xf>
    <xf numFmtId="0" fontId="53" fillId="0" borderId="1" xfId="0" applyNumberFormat="1" applyFont="1" applyBorder="1" applyAlignment="1">
      <alignment horizontal="center" vertical="center" wrapText="1"/>
    </xf>
    <xf numFmtId="0" fontId="76" fillId="0" borderId="22" xfId="0" applyNumberFormat="1" applyFont="1" applyBorder="1" applyAlignment="1">
      <alignment horizontal="center" vertical="center" wrapText="1"/>
    </xf>
    <xf numFmtId="0" fontId="76" fillId="0" borderId="2" xfId="0" applyNumberFormat="1" applyFont="1" applyBorder="1" applyAlignment="1">
      <alignment horizontal="center" vertical="center" wrapText="1"/>
    </xf>
    <xf numFmtId="0" fontId="76" fillId="0" borderId="23" xfId="0" applyNumberFormat="1" applyFont="1" applyBorder="1" applyAlignment="1">
      <alignment horizontal="center" vertical="center" wrapText="1"/>
    </xf>
    <xf numFmtId="0" fontId="76" fillId="0" borderId="24" xfId="0" applyNumberFormat="1" applyFont="1" applyBorder="1" applyAlignment="1">
      <alignment horizontal="center" vertical="center" wrapText="1"/>
    </xf>
    <xf numFmtId="0" fontId="76" fillId="0" borderId="0" xfId="0" applyNumberFormat="1" applyFont="1" applyAlignment="1">
      <alignment horizontal="center" vertical="center" wrapText="1"/>
    </xf>
    <xf numFmtId="0" fontId="76" fillId="0" borderId="25" xfId="0" applyNumberFormat="1" applyFont="1" applyBorder="1" applyAlignment="1">
      <alignment horizontal="center" vertical="center" wrapText="1"/>
    </xf>
    <xf numFmtId="0" fontId="53" fillId="4" borderId="1" xfId="0" applyNumberFormat="1" applyFont="1" applyFill="1" applyBorder="1" applyAlignment="1">
      <alignment horizontal="center" vertical="center" wrapText="1"/>
    </xf>
    <xf numFmtId="0" fontId="76" fillId="0" borderId="52" xfId="0" applyNumberFormat="1" applyFont="1" applyBorder="1" applyAlignment="1">
      <alignment horizontal="center" vertical="center" wrapText="1"/>
    </xf>
    <xf numFmtId="0" fontId="76" fillId="0" borderId="26" xfId="0" applyNumberFormat="1" applyFont="1" applyBorder="1" applyAlignment="1">
      <alignment horizontal="center" vertical="center" wrapText="1"/>
    </xf>
    <xf numFmtId="0" fontId="76" fillId="0" borderId="27" xfId="0" applyNumberFormat="1" applyFont="1" applyBorder="1" applyAlignment="1">
      <alignment horizontal="center" vertical="center" wrapText="1"/>
    </xf>
    <xf numFmtId="176" fontId="76" fillId="0" borderId="0" xfId="0" applyFont="1">
      <alignment vertical="center"/>
    </xf>
    <xf numFmtId="176" fontId="12" fillId="9" borderId="0" xfId="0" applyFont="1" applyFill="1">
      <alignment vertical="center"/>
    </xf>
    <xf numFmtId="185" fontId="12" fillId="9" borderId="0" xfId="0" applyNumberFormat="1" applyFont="1" applyFill="1">
      <alignment vertical="center"/>
    </xf>
    <xf numFmtId="176" fontId="12" fillId="0" borderId="0" xfId="0" applyFont="1">
      <alignment vertical="center"/>
    </xf>
    <xf numFmtId="176" fontId="53" fillId="0" borderId="8" xfId="0" applyFont="1" applyBorder="1">
      <alignment vertical="center"/>
    </xf>
    <xf numFmtId="176" fontId="53" fillId="0" borderId="9" xfId="0" applyFont="1" applyBorder="1">
      <alignment vertical="center"/>
    </xf>
    <xf numFmtId="176" fontId="12" fillId="9" borderId="9" xfId="0" applyFont="1" applyFill="1" applyBorder="1">
      <alignment vertical="center"/>
    </xf>
    <xf numFmtId="185" fontId="12" fillId="9" borderId="10" xfId="0" applyNumberFormat="1" applyFont="1" applyFill="1" applyBorder="1">
      <alignment vertical="center"/>
    </xf>
    <xf numFmtId="176" fontId="81" fillId="0" borderId="17" xfId="0" applyFont="1" applyBorder="1" applyAlignment="1">
      <alignment horizontal="center" vertical="center"/>
    </xf>
    <xf numFmtId="176" fontId="81" fillId="0" borderId="1" xfId="0" applyFont="1" applyBorder="1" applyAlignment="1">
      <alignment horizontal="center" vertical="center"/>
    </xf>
    <xf numFmtId="176" fontId="88" fillId="9" borderId="1" xfId="0" applyFont="1" applyFill="1" applyBorder="1" applyAlignment="1">
      <alignment horizontal="center" vertical="center"/>
    </xf>
    <xf numFmtId="185" fontId="12" fillId="9" borderId="18" xfId="0" applyNumberFormat="1" applyFont="1" applyFill="1" applyBorder="1" applyAlignment="1">
      <alignment horizontal="center" vertical="center"/>
    </xf>
    <xf numFmtId="176" fontId="89" fillId="3" borderId="1" xfId="0" applyFont="1" applyFill="1" applyBorder="1" applyAlignment="1">
      <alignment horizontal="center" vertical="center" wrapText="1"/>
    </xf>
    <xf numFmtId="185" fontId="89" fillId="3" borderId="18" xfId="66" applyNumberFormat="1" applyFont="1" applyFill="1" applyBorder="1" applyAlignment="1">
      <alignment horizontal="center" vertical="center"/>
      <protection locked="0"/>
    </xf>
    <xf numFmtId="176" fontId="57" fillId="0" borderId="55" xfId="0" applyFont="1" applyFill="1" applyBorder="1" applyAlignment="1">
      <alignment horizontal="center" vertical="center" wrapText="1"/>
    </xf>
    <xf numFmtId="176" fontId="57" fillId="0" borderId="3" xfId="0" applyFont="1" applyFill="1" applyBorder="1" applyAlignment="1">
      <alignment horizontal="center" vertical="center"/>
    </xf>
    <xf numFmtId="176" fontId="90" fillId="0" borderId="1" xfId="6" applyFont="1" applyFill="1" applyBorder="1" applyAlignment="1">
      <alignment horizontal="center" vertical="center"/>
      <protection locked="0"/>
    </xf>
    <xf numFmtId="176" fontId="91" fillId="0" borderId="1" xfId="6" applyFont="1" applyFill="1" applyBorder="1" applyAlignment="1" applyProtection="1">
      <alignment horizontal="center" vertical="center"/>
    </xf>
    <xf numFmtId="176" fontId="34" fillId="0" borderId="1" xfId="0" applyFont="1" applyFill="1" applyBorder="1" applyAlignment="1">
      <alignment horizontal="center" vertical="center"/>
    </xf>
    <xf numFmtId="176" fontId="34" fillId="0" borderId="1" xfId="0" applyFont="1" applyFill="1" applyBorder="1" applyAlignment="1">
      <alignment horizontal="left" vertical="center"/>
    </xf>
    <xf numFmtId="185" fontId="14" fillId="0" borderId="18" xfId="66" applyNumberFormat="1" applyFont="1" applyFill="1" applyBorder="1" applyAlignment="1" applyProtection="1">
      <alignment horizontal="center" vertical="center"/>
    </xf>
    <xf numFmtId="176" fontId="92" fillId="0" borderId="56" xfId="0" applyFont="1" applyFill="1" applyBorder="1" applyAlignment="1">
      <alignment horizontal="center" vertical="center" wrapText="1"/>
    </xf>
    <xf numFmtId="176" fontId="92" fillId="0" borderId="28" xfId="0" applyFont="1" applyFill="1" applyBorder="1" applyAlignment="1">
      <alignment horizontal="center" vertical="center"/>
    </xf>
    <xf numFmtId="185" fontId="93" fillId="0" borderId="18" xfId="66" applyNumberFormat="1" applyFont="1" applyFill="1" applyBorder="1" applyAlignment="1" applyProtection="1">
      <alignment horizontal="center" vertical="center"/>
    </xf>
    <xf numFmtId="176" fontId="14" fillId="0" borderId="1" xfId="0" applyFont="1" applyFill="1" applyBorder="1" applyAlignment="1">
      <alignment horizontal="left" vertical="center"/>
    </xf>
    <xf numFmtId="176" fontId="7" fillId="0" borderId="29" xfId="0" applyFont="1" applyBorder="1" applyAlignment="1">
      <alignment horizontal="center" vertical="center"/>
    </xf>
    <xf numFmtId="176" fontId="57" fillId="0" borderId="15" xfId="0" applyFont="1" applyBorder="1" applyAlignment="1">
      <alignment horizontal="center" vertical="center"/>
    </xf>
    <xf numFmtId="176" fontId="80" fillId="0" borderId="57" xfId="6" applyFont="1" applyBorder="1" applyAlignment="1">
      <alignment horizontal="left" vertical="center" wrapText="1"/>
      <protection locked="0"/>
    </xf>
    <xf numFmtId="176" fontId="80" fillId="0" borderId="58" xfId="6" applyFont="1" applyBorder="1" applyAlignment="1">
      <alignment horizontal="left" vertical="center" wrapText="1"/>
      <protection locked="0"/>
    </xf>
    <xf numFmtId="185" fontId="80" fillId="0" borderId="59" xfId="6" applyNumberFormat="1" applyFont="1" applyBorder="1" applyAlignment="1">
      <alignment horizontal="left" vertical="center" wrapText="1"/>
      <protection locked="0"/>
    </xf>
    <xf numFmtId="176" fontId="7" fillId="0" borderId="60" xfId="0" applyFont="1" applyBorder="1" applyAlignment="1">
      <alignment horizontal="center" vertical="center"/>
    </xf>
    <xf numFmtId="176" fontId="57" fillId="0" borderId="20" xfId="0" applyFont="1" applyBorder="1" applyAlignment="1">
      <alignment horizontal="center" vertical="center"/>
    </xf>
    <xf numFmtId="176" fontId="80" fillId="0" borderId="61" xfId="6" applyFont="1" applyBorder="1" applyAlignment="1">
      <alignment horizontal="left" vertical="center" wrapText="1"/>
      <protection locked="0"/>
    </xf>
    <xf numFmtId="176" fontId="5" fillId="0" borderId="62" xfId="6" applyFont="1" applyBorder="1" applyAlignment="1">
      <alignment horizontal="left" vertical="center" wrapText="1"/>
      <protection locked="0"/>
    </xf>
    <xf numFmtId="185" fontId="5" fillId="0" borderId="63" xfId="6" applyNumberFormat="1" applyFont="1" applyBorder="1" applyAlignment="1">
      <alignment horizontal="left" vertical="center" wrapText="1"/>
      <protection locked="0"/>
    </xf>
    <xf numFmtId="176" fontId="5" fillId="0" borderId="64" xfId="63" applyFont="1" applyBorder="1" applyAlignment="1" applyProtection="1">
      <alignment horizontal="left" vertical="center" wrapText="1"/>
    </xf>
    <xf numFmtId="176" fontId="5" fillId="0" borderId="7" xfId="63" applyFont="1" applyBorder="1" applyAlignment="1" applyProtection="1">
      <alignment horizontal="left" vertical="center" wrapText="1"/>
    </xf>
    <xf numFmtId="176" fontId="5" fillId="9" borderId="7" xfId="63" applyFont="1" applyFill="1" applyBorder="1" applyAlignment="1" applyProtection="1">
      <alignment horizontal="left" vertical="center" wrapText="1"/>
    </xf>
    <xf numFmtId="185" fontId="5" fillId="9" borderId="65" xfId="63" applyNumberFormat="1" applyFont="1" applyFill="1" applyBorder="1" applyAlignment="1" applyProtection="1">
      <alignment horizontal="left" vertical="center" wrapText="1"/>
    </xf>
    <xf numFmtId="176" fontId="5" fillId="0" borderId="17" xfId="63" applyFont="1" applyBorder="1" applyAlignment="1" applyProtection="1">
      <alignment horizontal="left" vertical="center"/>
    </xf>
    <xf numFmtId="176" fontId="5" fillId="0" borderId="1" xfId="63" applyFont="1" applyBorder="1" applyAlignment="1" applyProtection="1">
      <alignment horizontal="left" vertical="center"/>
    </xf>
    <xf numFmtId="176" fontId="5" fillId="9" borderId="1" xfId="63" applyFont="1" applyFill="1" applyBorder="1" applyAlignment="1" applyProtection="1">
      <alignment horizontal="left" vertical="center"/>
    </xf>
    <xf numFmtId="185" fontId="5" fillId="9" borderId="18" xfId="63" applyNumberFormat="1" applyFont="1" applyFill="1" applyBorder="1" applyAlignment="1" applyProtection="1">
      <alignment horizontal="left" vertical="center"/>
    </xf>
    <xf numFmtId="176" fontId="5" fillId="0" borderId="66" xfId="63" applyFont="1" applyBorder="1" applyAlignment="1" applyProtection="1">
      <alignment horizontal="left" vertical="center"/>
    </xf>
    <xf numFmtId="176" fontId="5" fillId="0" borderId="5" xfId="63" applyFont="1" applyBorder="1" applyAlignment="1" applyProtection="1">
      <alignment horizontal="left" vertical="center"/>
    </xf>
    <xf numFmtId="176" fontId="5" fillId="9" borderId="5" xfId="63" applyFont="1" applyFill="1" applyBorder="1" applyAlignment="1" applyProtection="1">
      <alignment horizontal="left" vertical="center"/>
    </xf>
    <xf numFmtId="185" fontId="5" fillId="9" borderId="67" xfId="63" applyNumberFormat="1" applyFont="1" applyFill="1" applyBorder="1" applyAlignment="1" applyProtection="1">
      <alignment horizontal="left" vertical="center"/>
    </xf>
    <xf numFmtId="176" fontId="5" fillId="0" borderId="68" xfId="49" applyFont="1" applyBorder="1" applyAlignment="1" applyProtection="1">
      <alignment horizontal="center"/>
    </xf>
    <xf numFmtId="176" fontId="5" fillId="0" borderId="62" xfId="49" applyFont="1" applyBorder="1" applyAlignment="1" applyProtection="1">
      <alignment horizontal="center"/>
    </xf>
    <xf numFmtId="176" fontId="5" fillId="9" borderId="62" xfId="49" applyFont="1" applyFill="1" applyBorder="1" applyAlignment="1" applyProtection="1">
      <alignment horizontal="center"/>
    </xf>
    <xf numFmtId="185" fontId="5" fillId="9" borderId="63" xfId="49" applyNumberFormat="1" applyFont="1" applyFill="1" applyBorder="1" applyAlignment="1" applyProtection="1">
      <alignment horizontal="center"/>
    </xf>
    <xf numFmtId="180" fontId="11" fillId="2" borderId="1" xfId="0" applyNumberFormat="1" applyFont="1" applyFill="1" applyBorder="1" applyAlignment="1" quotePrefix="1">
      <alignment horizontal="center" vertical="center"/>
    </xf>
    <xf numFmtId="180" fontId="10" fillId="4" borderId="1" xfId="0" applyNumberFormat="1" applyFont="1" applyFill="1" applyBorder="1" applyAlignment="1" quotePrefix="1">
      <alignment horizontal="center" vertical="center"/>
    </xf>
    <xf numFmtId="180" fontId="11" fillId="2" borderId="1" xfId="0" applyNumberFormat="1" applyFont="1" applyFill="1" applyBorder="1" applyAlignment="1" quotePrefix="1">
      <alignment horizontal="center" vertical="center" wrapText="1"/>
    </xf>
  </cellXfs>
  <cellStyles count="6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10 3" xfId="49"/>
    <cellStyle name="Normal_货物情况说明" xfId="50"/>
    <cellStyle name="常规 10" xfId="51"/>
    <cellStyle name="常规 10 10" xfId="52"/>
    <cellStyle name="常规 11 2" xfId="53"/>
    <cellStyle name="常规 12" xfId="54"/>
    <cellStyle name="常规 136" xfId="55"/>
    <cellStyle name="常规 149" xfId="56"/>
    <cellStyle name="常规 2" xfId="57"/>
    <cellStyle name="常规 2 19" xfId="58"/>
    <cellStyle name="常规 3" xfId="59"/>
    <cellStyle name="常规 5" xfId="60"/>
    <cellStyle name="常规 6" xfId="61"/>
    <cellStyle name="常规_6.16深圳UPS" xfId="62"/>
    <cellStyle name="常规_远东通讯录12月(客户)" xfId="63"/>
    <cellStyle name="超链接 12 2 2" xfId="64"/>
    <cellStyle name="解释性文本 4" xfId="65"/>
    <cellStyle name="样式 1" xfId="66"/>
    <cellStyle name="注释 11" xfId="67"/>
  </cellStyles>
  <dxfs count="68">
    <dxf>
      <font>
        <b val="1"/>
        <i val="0"/>
        <u val="none"/>
        <sz val="11"/>
        <color theme="0"/>
      </font>
      <fill>
        <patternFill patternType="solid">
          <bgColor rgb="FFC00000"/>
        </patternFill>
      </fill>
      <border>
        <left/>
        <right/>
        <top style="medium">
          <color rgb="FFC70F00"/>
        </top>
        <bottom style="medium">
          <color rgb="FFC70F00"/>
        </bottom>
        <vertical/>
        <horizontal/>
      </border>
    </dxf>
    <dxf>
      <fill>
        <patternFill patternType="none"/>
      </fill>
      <border>
        <left/>
        <right/>
        <top style="medium">
          <color rgb="FFC70F00"/>
        </top>
        <bottom style="medium">
          <color rgb="FFC70F00"/>
        </bottom>
        <vertical/>
        <horizontal style="dotted">
          <color rgb="FFE0E0E0"/>
        </horizontal>
      </border>
    </dxf>
    <dxf>
      <fill>
        <patternFill patternType="solid">
          <bgColor rgb="FFDDEDDE"/>
        </patternFill>
      </fill>
    </dxf>
    <dxf>
      <font>
        <b val="1"/>
        <i val="0"/>
        <u val="none"/>
        <sz val="11"/>
        <color theme="0"/>
      </font>
      <fill>
        <patternFill patternType="solid">
          <bgColor rgb="FF3AA036"/>
        </patternFill>
      </fill>
      <border>
        <left style="medium">
          <color rgb="FF3AA036"/>
        </left>
        <right style="medium">
          <color rgb="FF3AA036"/>
        </right>
        <top style="medium">
          <color rgb="FF3AA036"/>
        </top>
        <bottom/>
        <vertical style="thin">
          <color rgb="FFFFFFFF"/>
        </vertical>
        <horizontal/>
      </border>
    </dxf>
    <dxf>
      <fill>
        <patternFill patternType="none"/>
      </fill>
      <border>
        <left style="medium">
          <color rgb="FF3AA036"/>
        </left>
        <right style="medium">
          <color rgb="FF3AA036"/>
        </right>
        <top style="medium">
          <color rgb="FF3AA036"/>
        </top>
        <bottom style="medium">
          <color rgb="FF3AA036"/>
        </bottom>
        <vertical style="medium">
          <color theme="0"/>
        </vertical>
        <horizontal style="medium">
          <color rgb="FF3AA036"/>
        </horizontal>
      </border>
    </dxf>
    <dxf>
      <font>
        <b val="0"/>
        <i val="0"/>
        <u val="none"/>
        <sz val="11"/>
        <color rgb="FF000000"/>
      </font>
      <fill>
        <patternFill patternType="solid">
          <bgColor rgb="FFFFFFFF"/>
        </patternFill>
      </fill>
    </dxf>
    <dxf>
      <font>
        <b val="0"/>
        <i val="0"/>
        <u val="none"/>
        <sz val="11"/>
        <color rgb="FF000000"/>
      </font>
      <fill>
        <patternFill patternType="solid">
          <bgColor rgb="FFF3F3F3"/>
        </patternFill>
      </fill>
    </dxf>
    <dxf>
      <font>
        <b val="0"/>
        <i val="0"/>
        <u val="none"/>
        <sz val="11"/>
        <color rgb="FFFFFFFF"/>
      </font>
      <fill>
        <patternFill patternType="solid">
          <bgColor rgb="FF7EBC3F"/>
        </patternFill>
      </fill>
      <border>
        <left style="medium">
          <color rgb="FF7EBC3F"/>
        </left>
        <right style="medium">
          <color rgb="FF7EBC3F"/>
        </right>
        <top style="medium">
          <color rgb="FF7EBC3F"/>
        </top>
        <bottom style="medium">
          <color rgb="FF7EBC3F"/>
        </bottom>
        <vertical style="mediumDashed">
          <color rgb="FFFFFFFF"/>
        </vertical>
        <horizontal/>
      </border>
    </dxf>
    <dxf>
      <font>
        <b val="0"/>
        <i val="0"/>
        <u val="none"/>
        <sz val="11"/>
        <color rgb="FF000000"/>
      </font>
      <border>
        <left style="medium">
          <color rgb="FF7EBC3F"/>
        </left>
        <right style="medium">
          <color rgb="FF7EBC3F"/>
        </right>
        <top style="medium">
          <color rgb="FF7EBC3F"/>
        </top>
        <bottom style="medium">
          <color rgb="FF7EBC3F"/>
        </bottom>
        <vertical style="mediumDashed">
          <color rgb="FF7EBC3F"/>
        </vertical>
        <horizontal style="mediumDashed">
          <color rgb="FF7EBC3F"/>
        </horizontal>
      </border>
    </dxf>
    <dxf>
      <fill>
        <patternFill patternType="solid">
          <bgColor rgb="FFF1F9EC"/>
        </patternFill>
      </fill>
    </dxf>
    <dxf>
      <fill>
        <patternFill patternType="solid">
          <bgColor rgb="FFF1F9EC"/>
        </patternFill>
      </fill>
    </dxf>
    <dxf>
      <font>
        <b val="1"/>
        <i val="0"/>
        <u val="none"/>
        <sz val="11"/>
        <color rgb="FF08090C"/>
      </font>
      <fill>
        <patternFill patternType="solid">
          <bgColor rgb="FFE3F2D9"/>
        </patternFill>
      </fill>
    </dxf>
    <dxf>
      <font>
        <b val="1"/>
        <i val="0"/>
        <u val="none"/>
        <sz val="11"/>
        <color auto="1"/>
      </font>
      <fill>
        <patternFill patternType="solid">
          <bgColor rgb="FFE3F2D9"/>
        </patternFill>
      </fill>
    </dxf>
    <dxf>
      <font>
        <b val="1"/>
        <i val="0"/>
        <u val="none"/>
        <sz val="11"/>
        <color rgb="FF75BD42"/>
      </font>
      <fill>
        <patternFill patternType="none"/>
      </fill>
      <border>
        <left/>
        <right/>
        <top style="thin">
          <color rgb="FF75BD42"/>
        </top>
        <bottom style="thin">
          <color rgb="FF75BD42"/>
        </bottom>
        <vertical/>
        <horizontal/>
      </border>
    </dxf>
    <dxf>
      <font>
        <b val="1"/>
        <i val="0"/>
        <u val="none"/>
        <sz val="11"/>
        <color rgb="FFFFFFFF"/>
      </font>
      <fill>
        <patternFill patternType="solid">
          <bgColor rgb="FF75BD42"/>
        </patternFill>
      </fill>
      <border>
        <left/>
        <right/>
        <top/>
        <bottom/>
        <vertical/>
        <horizontal/>
      </border>
    </dxf>
    <dxf>
      <font>
        <b val="0"/>
        <i val="0"/>
        <u val="none"/>
        <sz val="11"/>
        <color rgb="FF08090C"/>
      </font>
      <border>
        <left/>
        <right/>
        <top style="thin">
          <color rgb="FF75BD42"/>
        </top>
        <bottom style="thin">
          <color rgb="FF75BD42"/>
        </bottom>
        <vertical/>
        <horizontal style="thin">
          <color rgb="FFC9E4B4"/>
        </horizontal>
      </border>
    </dxf>
    <dxf>
      <fill>
        <patternFill patternType="solid">
          <bgColor theme="0"/>
        </patternFill>
      </fill>
      <border>
        <left/>
        <right/>
        <top style="thin">
          <color rgb="FF000000"/>
        </top>
        <bottom style="thin">
          <color rgb="FF000000"/>
        </bottom>
        <vertical/>
        <horizontal/>
      </border>
    </dxf>
    <dxf>
      <fill>
        <patternFill patternType="solid">
          <bgColor theme="0"/>
        </patternFill>
      </fill>
      <border>
        <left/>
        <right/>
        <top style="thin">
          <color rgb="FF000000"/>
        </top>
        <bottom style="thin">
          <color rgb="FF000000"/>
        </bottom>
        <vertical/>
        <horizontal/>
      </border>
    </dxf>
    <dxf>
      <fill>
        <patternFill patternType="solid">
          <bgColor rgb="FFE6E6E6"/>
        </patternFill>
      </fill>
      <border>
        <left/>
        <right/>
        <top style="thin">
          <color rgb="FF000000"/>
        </top>
        <bottom style="thin">
          <color rgb="FF000000"/>
        </bottom>
        <vertical/>
        <horizontal/>
      </border>
    </dxf>
    <dxf>
      <fill>
        <patternFill patternType="solid">
          <bgColor rgb="FFE6E6E6"/>
        </patternFill>
      </fill>
    </dxf>
    <dxf>
      <font>
        <b val="1"/>
        <i val="0"/>
        <u val="none"/>
        <sz val="11"/>
        <color rgb="FF08090C"/>
      </font>
      <fill>
        <patternFill patternType="solid">
          <bgColor rgb="FFCCCCCC"/>
        </patternFill>
      </fill>
      <border>
        <left/>
        <right/>
        <top style="thin">
          <color rgb="FF000000"/>
        </top>
        <bottom style="thin">
          <color rgb="FF000000"/>
        </bottom>
        <vertical/>
        <horizontal/>
      </border>
    </dxf>
    <dxf>
      <font>
        <b val="1"/>
        <i val="0"/>
        <u val="none"/>
        <sz val="11"/>
        <color rgb="FF08090C"/>
      </font>
      <fill>
        <patternFill patternType="solid">
          <bgColor rgb="FFCCCCCC"/>
        </patternFill>
      </fill>
      <border>
        <left/>
        <right/>
        <top style="thin">
          <color rgb="FF000000"/>
        </top>
        <bottom style="thin">
          <color rgb="FF000000"/>
        </bottom>
        <vertical/>
        <horizontal/>
      </border>
    </dxf>
    <dxf>
      <font>
        <b val="1"/>
        <i val="0"/>
        <u val="none"/>
        <sz val="11"/>
        <color rgb="FF000000"/>
      </font>
      <border>
        <left/>
        <right/>
        <top style="thin">
          <color rgb="FF000000"/>
        </top>
        <bottom style="thin">
          <color rgb="FF000000"/>
        </bottom>
        <vertical/>
        <horizontal/>
      </border>
    </dxf>
    <dxf>
      <font>
        <b val="1"/>
        <i val="0"/>
        <u val="none"/>
        <sz val="11"/>
        <color theme="0"/>
      </font>
      <fill>
        <patternFill patternType="solid">
          <bgColor rgb="FF000000"/>
        </patternFill>
      </fill>
      <border>
        <left/>
        <right/>
        <top/>
        <bottom/>
        <vertical/>
        <horizontal/>
      </border>
    </dxf>
    <dxf>
      <font>
        <b val="0"/>
        <i val="0"/>
        <u val="none"/>
        <sz val="11"/>
        <color rgb="FF08090C"/>
      </font>
      <border>
        <left/>
        <right/>
        <top style="thin">
          <color rgb="FF000000"/>
        </top>
        <bottom style="thin">
          <color rgb="FF000000"/>
        </bottom>
        <vertical/>
        <horizontal/>
      </border>
    </dxf>
    <dxf>
      <font>
        <b val="1"/>
        <i val="0"/>
        <u val="none"/>
        <sz val="11"/>
        <color theme="0"/>
      </font>
      <fill>
        <patternFill patternType="solid">
          <bgColor rgb="FF08090C"/>
        </patternFill>
      </fill>
      <border>
        <left style="medium">
          <color rgb="FF08090C"/>
        </left>
        <right style="medium">
          <color rgb="FF08090C"/>
        </right>
        <top style="medium">
          <color rgb="FF08090C"/>
        </top>
        <bottom style="medium">
          <color rgb="FF08090C"/>
        </bottom>
        <vertical/>
        <horizontal/>
      </border>
    </dxf>
    <dxf>
      <fill>
        <patternFill patternType="none"/>
      </fill>
      <border>
        <left/>
        <right/>
        <top/>
        <bottom style="medium">
          <color rgb="FF08090C"/>
        </bottom>
        <vertical/>
        <horizontal style="medium">
          <color rgb="FFE0E0E0"/>
        </horizontal>
      </border>
    </dxf>
    <dxf>
      <font>
        <b val="1"/>
        <i val="0"/>
        <u val="none"/>
        <sz val="11"/>
        <color theme="0"/>
      </font>
      <fill>
        <patternFill patternType="solid">
          <bgColor rgb="FF21A9B8"/>
        </patternFill>
      </fill>
      <border>
        <left style="medium">
          <color rgb="FF21A9B8"/>
        </left>
        <right style="medium">
          <color rgb="FF21A9B8"/>
        </right>
        <top style="medium">
          <color rgb="FF21A9B8"/>
        </top>
        <bottom style="medium">
          <color rgb="FF21A9B8"/>
        </bottom>
        <vertical/>
        <horizontal/>
      </border>
    </dxf>
    <dxf>
      <fill>
        <patternFill patternType="none"/>
      </fill>
      <border>
        <left/>
        <right/>
        <top style="medium">
          <color rgb="FF21A9B8"/>
        </top>
        <bottom style="medium">
          <color rgb="FF21A9B8"/>
        </bottom>
        <vertical/>
        <horizontal style="medium">
          <color rgb="FFE0E0E0"/>
        </horizontal>
      </border>
    </dxf>
    <dxf>
      <font>
        <b val="0"/>
        <i val="0"/>
        <u val="none"/>
        <sz val="11"/>
        <color rgb="FF2A9B3A"/>
      </font>
      <fill>
        <patternFill patternType="solid">
          <bgColor rgb="FFDEF5DE"/>
        </patternFill>
      </fill>
    </dxf>
    <dxf>
      <font>
        <b val="1"/>
        <i val="0"/>
        <u val="none"/>
        <sz val="11"/>
        <color theme="0"/>
      </font>
      <fill>
        <patternFill patternType="solid">
          <bgColor rgb="FF2A9B3A"/>
        </patternFill>
      </fill>
      <border>
        <left style="medium">
          <color rgb="FF2A9B3A"/>
        </left>
        <right style="medium">
          <color rgb="FF2A9B3A"/>
        </right>
        <top style="medium">
          <color rgb="FF2A9B3A"/>
        </top>
        <bottom style="medium">
          <color rgb="FF2A9B3A"/>
        </bottom>
        <vertical/>
        <horizontal/>
      </border>
    </dxf>
    <dxf>
      <font>
        <b val="0"/>
        <i val="0"/>
        <u val="none"/>
        <sz val="11"/>
        <color rgb="FF2A9B3A"/>
      </font>
      <fill>
        <patternFill patternType="none"/>
      </fill>
      <border>
        <left/>
        <right/>
        <top/>
        <bottom style="medium">
          <color rgb="FF2A9B3A"/>
        </bottom>
        <vertical style="dashed">
          <color rgb="FF2A9B3A"/>
        </vertical>
        <horizontal style="dashed">
          <color rgb="FF2A9B3A"/>
        </horizontal>
      </border>
    </dxf>
    <dxf>
      <font>
        <b val="1"/>
        <i val="0"/>
        <u val="none"/>
        <sz val="11"/>
        <color rgb="FF5A5A5A"/>
      </font>
      <border>
        <left/>
        <right/>
        <top style="medium">
          <color rgb="FF5A5A5A"/>
        </top>
        <bottom style="medium">
          <color rgb="FF5A5A5A"/>
        </bottom>
        <vertical/>
        <horizontal/>
      </border>
    </dxf>
    <dxf>
      <font>
        <b val="1"/>
        <i val="0"/>
        <u val="none"/>
        <sz val="11"/>
        <color theme="0"/>
      </font>
      <fill>
        <patternFill patternType="solid">
          <bgColor rgb="FF5A5A5A"/>
        </patternFill>
      </fill>
      <border>
        <left style="medium">
          <color rgb="FF5A5A5A"/>
        </left>
        <right style="medium">
          <color rgb="FF5A5A5A"/>
        </right>
        <top style="medium">
          <color rgb="FF5A5A5A"/>
        </top>
        <bottom style="medium">
          <color rgb="FF5A5A5A"/>
        </bottom>
        <vertical/>
        <horizontal/>
      </border>
    </dxf>
    <dxf>
      <fill>
        <patternFill patternType="none"/>
      </fill>
      <border>
        <left style="thin">
          <color rgb="FFFFFFFF"/>
        </left>
        <right style="thin">
          <color rgb="FFFFFFFF"/>
        </right>
        <top/>
        <bottom style="medium">
          <color rgb="FF5A5A5A"/>
        </bottom>
        <vertical/>
        <horizontal style="medium">
          <color rgb="FFE0E0E0"/>
        </horizontal>
      </border>
    </dxf>
    <dxf>
      <fill>
        <patternFill patternType="solid">
          <bgColor rgb="FFF4EAFF"/>
        </patternFill>
      </fill>
    </dxf>
    <dxf>
      <font>
        <b val="1"/>
        <i val="0"/>
        <u val="none"/>
        <sz val="11"/>
        <color rgb="FF9142E1"/>
      </font>
      <fill>
        <patternFill patternType="solid">
          <bgColor rgb="FFF4EAFF"/>
        </patternFill>
      </fill>
      <border>
        <left/>
        <right/>
        <top style="dashed">
          <color rgb="FF9142E1"/>
        </top>
        <bottom style="medium">
          <color rgb="FF9142E1"/>
        </bottom>
        <vertical/>
        <horizontal/>
      </border>
    </dxf>
    <dxf>
      <font>
        <b val="1"/>
        <i val="0"/>
        <u val="none"/>
        <sz val="11"/>
        <color theme="0"/>
      </font>
      <fill>
        <patternFill patternType="solid">
          <bgColor rgb="FF9142E1"/>
        </patternFill>
      </fill>
      <border>
        <left style="medium">
          <color rgb="FF9142E1"/>
        </left>
        <right style="medium">
          <color rgb="FF9142E1"/>
        </right>
        <top style="medium">
          <color rgb="FF9142E1"/>
        </top>
        <bottom style="medium">
          <color rgb="FF9142E1"/>
        </bottom>
        <vertical/>
        <horizontal/>
      </border>
    </dxf>
    <dxf>
      <fill>
        <patternFill patternType="none"/>
      </fill>
      <border>
        <left/>
        <right/>
        <top style="medium">
          <color rgb="FF9142E1"/>
        </top>
        <bottom style="medium">
          <color rgb="FF9142E1"/>
        </bottom>
        <vertical style="dashed">
          <color rgb="FF9142E1"/>
        </vertical>
        <horizontal style="dashed">
          <color rgb="FF9142E1"/>
        </horizontal>
      </border>
    </dxf>
    <dxf>
      <font>
        <b val="0"/>
        <i val="0"/>
        <u val="none"/>
        <sz val="11"/>
        <color rgb="FFFFFFFF"/>
      </font>
      <fill>
        <patternFill patternType="solid">
          <bgColor rgb="FF5799D1"/>
        </patternFill>
      </fill>
    </dxf>
    <dxf>
      <font>
        <b val="1"/>
        <i val="0"/>
        <u val="none"/>
        <sz val="11"/>
        <color rgb="FFFFFFFF"/>
      </font>
      <fill>
        <patternFill patternType="solid">
          <bgColor rgb="FF5799D1"/>
        </patternFill>
      </fill>
    </dxf>
    <dxf>
      <border>
        <left style="medium">
          <color rgb="FFE8E8E8"/>
        </left>
        <right style="medium">
          <color rgb="FFE8E8E8"/>
        </right>
        <top style="medium">
          <color rgb="FFE8E8E8"/>
        </top>
        <bottom style="medium">
          <color rgb="FFE8E8E8"/>
        </bottom>
        <vertical style="medium">
          <color rgb="FFE8E8E8"/>
        </vertical>
        <horizontal style="medium">
          <color rgb="FFE8E8E8"/>
        </horizontal>
      </border>
    </dxf>
    <dxf>
      <fill>
        <patternFill patternType="solid">
          <bgColor rgb="FF90B7E3"/>
        </patternFill>
      </fill>
    </dxf>
    <dxf>
      <font>
        <b val="0"/>
        <i val="0"/>
        <u val="none"/>
        <sz val="11"/>
        <color rgb="FFFFFFFF"/>
      </font>
      <fill>
        <patternFill patternType="solid">
          <bgColor rgb="FF2E6CB5"/>
        </patternFill>
      </fill>
    </dxf>
    <dxf>
      <font>
        <b val="0"/>
        <i val="0"/>
        <u val="none"/>
        <sz val="11"/>
        <color rgb="FF000000"/>
      </font>
      <fill>
        <patternFill patternType="solid">
          <bgColor rgb="FFFFFFFF"/>
        </patternFill>
      </fill>
      <border>
        <left/>
        <right/>
        <top style="medium">
          <color rgb="FF2E6CB5"/>
        </top>
        <bottom style="medium">
          <color rgb="FF2E6CB5"/>
        </bottom>
        <vertical/>
        <horizontal style="medium">
          <color rgb="FF2E6CB5"/>
        </horizontal>
      </border>
    </dxf>
    <dxf>
      <border>
        <left style="thin">
          <color rgb="FF4874CB"/>
        </left>
        <right style="thin">
          <color rgb="FFB5C6EA"/>
        </right>
        <top style="thin">
          <color rgb="FF4874CB"/>
        </top>
        <bottom style="thin">
          <color rgb="FFB5C6EA"/>
        </bottom>
        <vertical/>
        <horizontal/>
      </border>
    </dxf>
    <dxf>
      <fill>
        <patternFill patternType="solid">
          <bgColor rgb="FFEBF0FA"/>
        </patternFill>
      </fill>
    </dxf>
    <dxf>
      <fill>
        <patternFill patternType="solid">
          <bgColor rgb="FFEBF0FA"/>
        </patternFill>
      </fill>
    </dxf>
    <dxf>
      <font>
        <b val="1"/>
        <i val="0"/>
        <u val="none"/>
        <sz val="11"/>
        <color rgb="FF08090C"/>
      </font>
      <fill>
        <patternFill patternType="solid">
          <bgColor rgb="FFD9E1F4"/>
        </patternFill>
      </fill>
    </dxf>
    <dxf>
      <font>
        <b val="1"/>
        <i val="0"/>
        <u val="none"/>
        <sz val="11"/>
        <color rgb="FFFFFFFF"/>
      </font>
      <fill>
        <patternFill patternType="solid">
          <bgColor rgb="FF4874CB"/>
        </patternFill>
      </fill>
    </dxf>
    <dxf>
      <font>
        <b val="1"/>
        <i val="0"/>
        <u val="none"/>
        <sz val="11"/>
        <color rgb="FF4874CB"/>
      </font>
      <fill>
        <patternFill patternType="none"/>
      </fill>
      <border>
        <left style="thin">
          <color rgb="FF4874CB"/>
        </left>
        <right style="thin">
          <color rgb="FF4874CB"/>
        </right>
        <top style="thin">
          <color rgb="FF4874CB"/>
        </top>
        <bottom style="thin">
          <color rgb="FF4874CB"/>
        </bottom>
        <vertical/>
        <horizontal/>
      </border>
    </dxf>
    <dxf>
      <font>
        <b val="1"/>
        <i val="0"/>
        <u val="none"/>
        <sz val="11"/>
        <color rgb="FFFFFFFF"/>
      </font>
      <fill>
        <patternFill patternType="solid">
          <bgColor rgb="FF4874CB"/>
        </patternFill>
      </fill>
      <border>
        <left style="thin">
          <color rgb="FF4874CB"/>
        </left>
        <right style="thin">
          <color rgb="FF4874CB"/>
        </right>
        <top style="thin">
          <color rgb="FF4874CB"/>
        </top>
        <bottom style="thin">
          <color rgb="FF4874CB"/>
        </bottom>
        <vertical style="thin">
          <color rgb="FFB5C6EA"/>
        </vertical>
        <horizontal/>
      </border>
    </dxf>
    <dxf>
      <font>
        <b val="0"/>
        <i val="0"/>
        <u val="none"/>
        <sz val="11"/>
        <color rgb="FF08090C"/>
      </font>
      <border>
        <left style="thin">
          <color rgb="FF4874CB"/>
        </left>
        <right style="thin">
          <color rgb="FF4874CB"/>
        </right>
        <top style="thin">
          <color rgb="FF4874CB"/>
        </top>
        <bottom style="thin">
          <color rgb="FF4874CB"/>
        </bottom>
        <vertical style="thin">
          <color rgb="FFB5C6EA"/>
        </vertical>
        <horizontal style="thin">
          <color rgb="FFB5C6EA"/>
        </horizontal>
      </border>
    </dxf>
    <dxf>
      <fill>
        <patternFill patternType="solid">
          <bgColor rgb="FFFFEDF1"/>
        </patternFill>
      </fill>
    </dxf>
    <dxf>
      <font>
        <b val="1"/>
        <i val="0"/>
        <u val="none"/>
        <sz val="11"/>
        <color theme="0"/>
      </font>
      <fill>
        <patternFill patternType="solid">
          <bgColor rgb="FFF35D65"/>
        </patternFill>
      </fill>
      <border>
        <left style="medium">
          <color rgb="FFF35D65"/>
        </left>
        <right style="medium">
          <color rgb="FFF35D65"/>
        </right>
        <top style="medium">
          <color rgb="FFF35D65"/>
        </top>
        <bottom/>
        <vertical/>
        <horizontal/>
      </border>
    </dxf>
    <dxf>
      <fill>
        <patternFill patternType="none"/>
      </fill>
      <border>
        <left style="medium">
          <color rgb="FFF35D65"/>
        </left>
        <right style="medium">
          <color rgb="FFF35D65"/>
        </right>
        <top style="medium">
          <color rgb="FFF35D65"/>
        </top>
        <bottom style="medium">
          <color rgb="FFF35D65"/>
        </bottom>
        <vertical/>
        <horizontal/>
      </border>
    </dxf>
    <dxf>
      <font>
        <b val="0"/>
        <i val="0"/>
        <u val="none"/>
        <sz val="11"/>
        <color rgb="FFF08484"/>
      </font>
      <fill>
        <patternFill patternType="solid">
          <bgColor rgb="FFFEF3F3"/>
        </patternFill>
      </fill>
      <border>
        <left/>
        <right/>
        <top style="dashed">
          <color rgb="FFF08484"/>
        </top>
        <bottom style="medium">
          <color rgb="FFF08484"/>
        </bottom>
        <vertical/>
        <horizontal/>
      </border>
    </dxf>
    <dxf>
      <fill>
        <patternFill patternType="none"/>
      </fill>
      <border>
        <left/>
        <right/>
        <top style="dashed">
          <color rgb="FFF08484"/>
        </top>
        <bottom style="dashed">
          <color rgb="FFF08484"/>
        </bottom>
        <vertical/>
        <horizontal/>
      </border>
    </dxf>
    <dxf>
      <font>
        <b val="1"/>
        <i val="0"/>
        <u val="none"/>
        <sz val="11"/>
        <color rgb="FF000000"/>
      </font>
      <fill>
        <patternFill patternType="solid">
          <bgColor rgb="FFFEF3F3"/>
        </patternFill>
      </fill>
      <border>
        <left/>
        <right/>
        <top/>
        <bottom style="medium">
          <color rgb="FFF08484"/>
        </bottom>
        <vertical/>
        <horizontal style="dashed">
          <color rgb="FFF08484"/>
        </horizontal>
      </border>
    </dxf>
    <dxf>
      <font>
        <b val="1"/>
        <i val="0"/>
        <u val="none"/>
        <sz val="11"/>
        <color theme="0"/>
      </font>
      <fill>
        <patternFill patternType="solid">
          <bgColor rgb="FFF08484"/>
        </patternFill>
      </fill>
      <border>
        <left/>
        <right/>
        <top style="medium">
          <color rgb="FFF08484"/>
        </top>
        <bottom/>
        <vertical/>
        <horizontal/>
      </border>
    </dxf>
    <dxf>
      <fill>
        <patternFill patternType="none"/>
      </fill>
      <border>
        <left/>
        <right/>
        <top style="medium">
          <color rgb="FFF08484"/>
        </top>
        <bottom style="medium">
          <color rgb="FFF08484"/>
        </bottom>
        <vertical/>
        <horizontal/>
      </border>
    </dxf>
    <dxf>
      <fill>
        <patternFill patternType="solid">
          <bgColor rgb="FFEBF0FA"/>
        </patternFill>
      </fill>
    </dxf>
    <dxf>
      <fill>
        <patternFill patternType="solid">
          <bgColor rgb="FFEBF0FA"/>
        </patternFill>
      </fill>
    </dxf>
    <dxf>
      <font>
        <b val="1"/>
        <i val="0"/>
        <u val="none"/>
        <sz val="11"/>
        <color rgb="FF08090C"/>
      </font>
      <fill>
        <patternFill patternType="solid">
          <bgColor rgb="FFD9E1F4"/>
        </patternFill>
      </fill>
    </dxf>
    <dxf>
      <font>
        <b val="1"/>
        <i val="0"/>
        <u val="none"/>
        <sz val="11"/>
        <color rgb="FF08090C"/>
      </font>
      <fill>
        <patternFill patternType="solid">
          <bgColor rgb="FFD9E1F4"/>
        </patternFill>
      </fill>
    </dxf>
    <dxf>
      <font>
        <b val="1"/>
        <i val="0"/>
        <u val="none"/>
        <sz val="11"/>
        <color rgb="FFFFFFFF"/>
      </font>
      <fill>
        <patternFill patternType="solid">
          <bgColor rgb="FF4874CB"/>
        </patternFill>
      </fill>
      <border>
        <left/>
        <right/>
        <top style="thin">
          <color rgb="FF4874CB"/>
        </top>
        <bottom style="thin">
          <color rgb="FF4874CB"/>
        </bottom>
        <vertical/>
        <horizontal/>
      </border>
    </dxf>
    <dxf>
      <font>
        <b val="1"/>
        <i val="0"/>
        <u val="none"/>
        <sz val="11"/>
        <color rgb="FFFFFFFF"/>
      </font>
      <fill>
        <patternFill patternType="solid">
          <bgColor rgb="FF4874CB"/>
        </patternFill>
      </fill>
      <border>
        <left/>
        <right/>
        <top style="thin">
          <color rgb="FF4874CB"/>
        </top>
        <bottom style="thin">
          <color rgb="FF4874CB"/>
        </bottom>
        <vertical/>
        <horizontal/>
      </border>
    </dxf>
    <dxf>
      <font>
        <b val="0"/>
        <i val="0"/>
        <u val="none"/>
        <sz val="11"/>
        <color rgb="FF08090C"/>
      </font>
      <border>
        <left/>
        <right/>
        <top style="thin">
          <color rgb="FF4874CB"/>
        </top>
        <bottom style="thin">
          <color rgb="FF4874CB"/>
        </bottom>
        <vertical/>
        <horizontal/>
      </border>
    </dxf>
  </dxfs>
  <tableStyles count="16" defaultTableStyle="TableStyleMedium2" defaultPivotStyle="PivotStyleLight16">
    <tableStyle name="红色深色系三线式表格样式" count="2" xr9:uid="{BC39A1E5-0419-4B47-A3B5-524606AF3748}">
      <tableStyleElement type="wholeTable" dxfId="1"/>
      <tableStyleElement type="headerRow" dxfId="0"/>
    </tableStyle>
    <tableStyle name="绿色深色系标题行镶边行表格样式" count="3" xr9:uid="{B928B9FD-F700-4F22-8A14-BAF8B6B81A55}">
      <tableStyleElement type="wholeTable" dxfId="4"/>
      <tableStyleElement type="headerRow" dxfId="3"/>
      <tableStyleElement type="secondRowStripe" dxfId="2"/>
    </tableStyle>
    <tableStyle name="商务绿标题行虚线表格样式" count="4" xr9:uid="{2F0D7594-3673-4F83-A117-464FA230E728}">
      <tableStyleElement type="wholeTable" dxfId="8"/>
      <tableStyleElement type="headerRow" dxfId="7"/>
      <tableStyleElement type="firstRowStripe" dxfId="6"/>
      <tableStyleElement type="secondRowStripe" dxfId="5"/>
    </tableStyle>
    <tableStyle name="39_绿色中色系标题行汇总行表格样式" count="7" xr9:uid="{C3FA8447-8107-4755-8762-7FA25EEAFCB1}">
      <tableStyleElement type="wholeTable" dxfId="15"/>
      <tableStyleElement type="headerRow" dxfId="14"/>
      <tableStyleElement type="totalRow" dxfId="13"/>
      <tableStyleElement type="firstColumn" dxfId="12"/>
      <tableStyleElement type="lastColumn" dxfId="11"/>
      <tableStyleElement type="secondRowStripe" dxfId="10"/>
      <tableStyleElement type="firstColumnStripe" dxfId="9"/>
    </tableStyle>
    <tableStyle name="27_黑色中色系标题行镶边行表格样式" count="9" xr9:uid="{73308AF0-A712-4701-B481-118FBDCB16B4}">
      <tableStyleElement type="wholeTable" dxfId="24"/>
      <tableStyleElement type="headerRow" dxfId="23"/>
      <tableStyleElement type="totalRow" dxfId="22"/>
      <tableStyleElement type="firstColumn" dxfId="21"/>
      <tableStyleElement type="lastColumn" dxfId="20"/>
      <tableStyleElement type="secondRowStripe" dxfId="19"/>
      <tableStyleElement type="firstColumnStripe" dxfId="18"/>
      <tableStyleElement type="firstTotalCell" dxfId="17"/>
      <tableStyleElement type="lastTotalCell" dxfId="16"/>
    </tableStyle>
    <tableStyle name="黑色深色系标题行表格样式" count="2" xr9:uid="{3A38B338-5938-4D39-BBFC-89AADD0CD1FA}">
      <tableStyleElement type="wholeTable" dxfId="26"/>
      <tableStyleElement type="headerRow" dxfId="25"/>
    </tableStyle>
    <tableStyle name="青色深色系标题行表格样式" count="2" xr9:uid="{A3B85E02-1960-4160-A948-5C674B03E3D5}">
      <tableStyleElement type="wholeTable" dxfId="28"/>
      <tableStyleElement type="headerRow" dxfId="27"/>
    </tableStyle>
    <tableStyle name="绿色深色系标题行尾列表格样式" count="3" xr9:uid="{53F5334F-DACA-47E5-B7B0-2365B7A5CFDA}">
      <tableStyleElement type="wholeTable" dxfId="31"/>
      <tableStyleElement type="headerRow" dxfId="30"/>
      <tableStyleElement type="lastColumn" dxfId="29"/>
    </tableStyle>
    <tableStyle name="黑色中色系标题行汇总行表格样式" count="3" xr9:uid="{9EE3AC93-44C2-4389-8C83-DF61A96B867B}">
      <tableStyleElement type="wholeTable" dxfId="34"/>
      <tableStyleElement type="headerRow" dxfId="33"/>
      <tableStyleElement type="totalRow" dxfId="32"/>
    </tableStyle>
    <tableStyle name="紫色中色系标题行镶边行汇总行" count="4" xr9:uid="{67F29E7B-E9AF-442B-A5EA-66A6C9282BA8}">
      <tableStyleElement type="wholeTable" dxfId="38"/>
      <tableStyleElement type="headerRow" dxfId="37"/>
      <tableStyleElement type="totalRow" dxfId="36"/>
      <tableStyleElement type="firstRowStripe" dxfId="35"/>
    </tableStyle>
    <tableStyle name="蓝色中色系首尾呼应表格样式" count="3" xr9:uid="{370D129B-7228-45EA-8D43-65E8B25E4E59}">
      <tableStyleElement type="wholeTable" dxfId="41"/>
      <tableStyleElement type="headerRow" dxfId="40"/>
      <tableStyleElement type="totalRow" dxfId="39"/>
    </tableStyle>
    <tableStyle name="蓝色行列表格样式" count="3" xr9:uid="{A069EE95-9D8F-44B7-85D8-89AB9CB82952}">
      <tableStyleElement type="wholeTable" dxfId="44"/>
      <tableStyleElement type="headerRow" dxfId="43"/>
      <tableStyleElement type="firstColumn" dxfId="42"/>
    </tableStyle>
    <tableStyle name="31_蓝色中色系标题行镶边行表格样式" count="8" xr9:uid="{7D85A15D-D9DC-4208-AD3E-49F4D5E13F69}">
      <tableStyleElement type="wholeTable" dxfId="52"/>
      <tableStyleElement type="headerRow" dxfId="51"/>
      <tableStyleElement type="totalRow" dxfId="50"/>
      <tableStyleElement type="firstColumn" dxfId="49"/>
      <tableStyleElement type="lastColumn" dxfId="48"/>
      <tableStyleElement type="secondRowStripe" dxfId="47"/>
      <tableStyleElement type="firstColumnStripe" dxfId="46"/>
      <tableStyleElement type="firstHeaderCell" dxfId="45"/>
    </tableStyle>
    <tableStyle name="红色中色系标题行镶边行表格样式" count="3" xr9:uid="{08B904B7-E43E-4A84-A9E9-4E75F9842A98}">
      <tableStyleElement type="wholeTable" dxfId="55"/>
      <tableStyleElement type="headerRow" dxfId="54"/>
      <tableStyleElement type="secondRowStripe" dxfId="53"/>
    </tableStyle>
    <tableStyle name="红色浅色系标题行首列填充表格样式" count="5" xr9:uid="{D6CFC489-AE23-442F-9821-42B0B6650B89}">
      <tableStyleElement type="wholeTable" dxfId="60"/>
      <tableStyleElement type="headerRow" dxfId="59"/>
      <tableStyleElement type="firstColumn" dxfId="58"/>
      <tableStyleElement type="secondRowStripe" dxfId="57"/>
      <tableStyleElement type="firstTotalCell" dxfId="56"/>
    </tableStyle>
    <tableStyle name="37_蓝色中色系标题行镶边行汇总行表格样式" count="7" xr9:uid="{F5C929C4-F269-4759-AFCA-407887F84C9B}">
      <tableStyleElement type="wholeTable" dxfId="67"/>
      <tableStyleElement type="headerRow" dxfId="66"/>
      <tableStyleElement type="totalRow" dxfId="65"/>
      <tableStyleElement type="firstColumn" dxfId="64"/>
      <tableStyleElement type="lastColumn" dxfId="63"/>
      <tableStyleElement type="secondRowStripe" dxfId="62"/>
      <tableStyleElement type="firstColumnStripe" dxfId="61"/>
    </tableStyle>
  </tableStyles>
  <colors>
    <indexedColors>
      <rgbColor rgb="00000000"/>
      <rgbColor rgb="00FFFFFF"/>
      <rgbColor rgb="00FF0000"/>
      <rgbColor rgb="0000FF00"/>
      <rgbColor rgb="000000FF"/>
      <rgbColor rgb="00FFFF00"/>
      <rgbColor rgb="00FF00FF"/>
      <rgbColor rgb="0000FFFF"/>
      <rgbColor rgb="00000000"/>
      <rgbColor rgb="00FFFFFF"/>
      <rgbColor rgb="0000B050"/>
      <rgbColor rgb="00AAAAAA"/>
      <rgbColor rgb="00FF0000"/>
      <rgbColor rgb="000000FF"/>
      <rgbColor rgb="00FFFF00"/>
      <rgbColor rgb="0000B0F0"/>
      <rgbColor rgb="00FF2600"/>
      <rgbColor rgb="0078C0D4"/>
      <rgbColor rgb="001F497D"/>
      <rgbColor rgb="000000D4"/>
      <rgbColor rgb="00DD0806"/>
      <rgbColor rgb="00FCF305"/>
      <rgbColor rgb="00A5A5A5"/>
      <rgbColor rgb="003F3F3F"/>
      <rgbColor rgb="0000CCFF"/>
      <rgbColor rgb="00C0C0C0"/>
      <rgbColor rgb="00F20884"/>
      <rgbColor rgb="00DFA7A6"/>
      <rgbColor rgb="00C2D69B"/>
      <rgbColor rgb="00B2B1A8"/>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00FFD9"/>
      <color rgb="0092D050"/>
      <color rgb="00FFFFCB"/>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tyles" Target="styles.xml"/><Relationship Id="rId22" Type="http://schemas.openxmlformats.org/officeDocument/2006/relationships/sharedStrings" Target="sharedStrings.xml"/><Relationship Id="rId21" Type="http://schemas.openxmlformats.org/officeDocument/2006/relationships/theme" Target="theme/theme1.xml"/><Relationship Id="rId20" Type="http://schemas.openxmlformats.org/officeDocument/2006/relationships/externalLink" Target="externalLinks/externalLink1.xml"/><Relationship Id="rId2" Type="http://schemas.openxmlformats.org/officeDocument/2006/relationships/worksheet" Target="worksheets/sheet2.xml"/><Relationship Id="rId19" Type="http://schemas.openxmlformats.org/officeDocument/2006/relationships/customXml" Target="../customXml/item4.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4" Type="http://schemas.openxmlformats.org/officeDocument/2006/relationships/image" Target="../media/image3.svg"/><Relationship Id="rId3" Type="http://schemas.openxmlformats.org/officeDocument/2006/relationships/image" Target="../media/image2.png"/><Relationship Id="rId2" Type="http://schemas.openxmlformats.org/officeDocument/2006/relationships/hyperlink" Target="#&#39318;&#39029;&#20215;&#26684;&#30446;&#24405;!A1"/><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4" Type="http://schemas.openxmlformats.org/officeDocument/2006/relationships/image" Target="../media/image3.svg"/><Relationship Id="rId3" Type="http://schemas.openxmlformats.org/officeDocument/2006/relationships/image" Target="../media/image2.png"/><Relationship Id="rId2" Type="http://schemas.openxmlformats.org/officeDocument/2006/relationships/hyperlink" Target="#&#39318;&#39029;&#20215;&#26684;&#30446;&#24405;!A1"/><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6" Type="http://schemas.openxmlformats.org/officeDocument/2006/relationships/image" Target="../media/image5.jpeg"/><Relationship Id="rId5" Type="http://schemas.openxmlformats.org/officeDocument/2006/relationships/image" Target="../media/image3.svg"/><Relationship Id="rId4" Type="http://schemas.openxmlformats.org/officeDocument/2006/relationships/image" Target="../media/image2.png"/><Relationship Id="rId3" Type="http://schemas.openxmlformats.org/officeDocument/2006/relationships/hyperlink" Target="#&#39318;&#39029;&#20215;&#26684;&#30446;&#24405;!A1"/><Relationship Id="rId2" Type="http://schemas.openxmlformats.org/officeDocument/2006/relationships/image" Target="../media/image4.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4" Type="http://schemas.openxmlformats.org/officeDocument/2006/relationships/image" Target="../media/image3.svg"/><Relationship Id="rId3" Type="http://schemas.openxmlformats.org/officeDocument/2006/relationships/image" Target="../media/image2.png"/><Relationship Id="rId2" Type="http://schemas.openxmlformats.org/officeDocument/2006/relationships/hyperlink" Target="#&#39318;&#39029;&#20215;&#26684;&#30446;&#24405;!A1"/><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8480</xdr:colOff>
      <xdr:row>0</xdr:row>
      <xdr:rowOff>23179</xdr:rowOff>
    </xdr:from>
    <xdr:to>
      <xdr:col>6</xdr:col>
      <xdr:colOff>0</xdr:colOff>
      <xdr:row>1</xdr:row>
      <xdr:rowOff>12687</xdr:rowOff>
    </xdr:to>
    <xdr:pic>
      <xdr:nvPicPr>
        <xdr:cNvPr id="2" name="Picture 1" descr="D:\Program Files\Tencent\QQEIM\Users\2355805828\Image\C2C\YZD}CFI_UKDMOO[H8$_0WR4.png"/>
        <xdr:cNvPicPr/>
      </xdr:nvPicPr>
      <xdr:blipFill>
        <a:blip r:embed="rId1"/>
        <a:srcRect/>
        <a:stretch>
          <a:fillRect/>
        </a:stretch>
      </xdr:blipFill>
      <xdr:spPr>
        <a:xfrm>
          <a:off x="8255" y="22860"/>
          <a:ext cx="12877165" cy="836930"/>
        </a:xfrm>
        <a:prstGeom prst="rect">
          <a:avLst/>
        </a:prstGeom>
        <a:noFill/>
        <a:ln>
          <a:noFill/>
        </a:ln>
        <a:effectLst/>
      </xdr:spPr>
    </xdr:pic>
    <xdr:clientData/>
  </xdr:twoCellAnchor>
  <xdr:twoCellAnchor>
    <xdr:from>
      <xdr:col>0</xdr:col>
      <xdr:colOff>0</xdr:colOff>
      <xdr:row>19</xdr:row>
      <xdr:rowOff>0</xdr:rowOff>
    </xdr:from>
    <xdr:to>
      <xdr:col>0</xdr:col>
      <xdr:colOff>76328</xdr:colOff>
      <xdr:row>19</xdr:row>
      <xdr:rowOff>151308</xdr:rowOff>
    </xdr:to>
    <xdr:sp>
      <xdr:nvSpPr>
        <xdr:cNvPr id="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3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3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3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3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3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3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3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3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3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3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4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4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4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4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4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4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4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4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4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4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5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5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5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5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5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5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5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5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5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5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6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6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6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6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6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6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6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6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6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6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7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7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7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7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7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7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7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7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7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7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8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8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8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8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8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8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8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8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8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8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9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9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9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9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9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9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9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9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9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9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0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0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0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0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0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0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0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0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0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0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1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1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1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1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1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1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1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1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1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1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2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2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2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2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2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2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2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2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2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2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3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3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3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3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3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3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3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3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3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3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4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4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4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4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4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4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4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4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4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4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5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5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5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5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5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5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5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5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5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5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6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6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6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6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6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6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6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6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6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6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7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7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7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7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7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7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7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7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7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7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8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8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8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8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8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8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8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8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8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8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9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9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9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9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9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9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9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9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9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19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0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0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0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0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0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0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0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0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0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0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1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1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1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1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1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1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1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1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1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1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2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2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2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2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2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2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2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2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2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2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3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3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3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3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3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3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3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3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3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3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4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4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4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4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4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4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4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4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4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4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5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5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5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5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5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5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5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5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5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5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6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6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6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6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6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6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6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6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6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6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7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7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7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7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7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7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7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7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7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7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8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8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8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8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84"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85"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86"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87"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88"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89"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90"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91"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92"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0</xdr:col>
      <xdr:colOff>0</xdr:colOff>
      <xdr:row>19</xdr:row>
      <xdr:rowOff>0</xdr:rowOff>
    </xdr:from>
    <xdr:to>
      <xdr:col>0</xdr:col>
      <xdr:colOff>76328</xdr:colOff>
      <xdr:row>19</xdr:row>
      <xdr:rowOff>151308</xdr:rowOff>
    </xdr:to>
    <xdr:sp>
      <xdr:nvSpPr>
        <xdr:cNvPr id="293" name="rect"/>
        <xdr:cNvSpPr/>
      </xdr:nvSpPr>
      <xdr:spPr>
        <a:xfrm>
          <a:off x="0" y="9652000"/>
          <a:ext cx="76200" cy="151130"/>
        </a:xfrm>
        <a:prstGeom prst="rect">
          <a:avLst/>
        </a:prstGeom>
        <a:no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5</xdr:col>
      <xdr:colOff>1144905</xdr:colOff>
      <xdr:row>0</xdr:row>
      <xdr:rowOff>78105</xdr:rowOff>
    </xdr:from>
    <xdr:ext cx="3736340" cy="890905"/>
    <xdr:sp>
      <xdr:nvSpPr>
        <xdr:cNvPr id="3" name="矩形 2"/>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4"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2" name="矩形 1"/>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5"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6" name="矩形 5"/>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7"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8" name="矩形 7"/>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9"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10" name="矩形 9"/>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11"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12" name="矩形 11"/>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13"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32" name="矩形 31"/>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33"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34" name="矩形 33"/>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35"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36" name="矩形 35"/>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37"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38" name="矩形 37"/>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39"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40" name="矩形 39"/>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41"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42" name="矩形 41"/>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43"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17" name="矩形 16"/>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18"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19" name="矩形 18"/>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20"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21" name="矩形 20"/>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22"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23" name="矩形 22"/>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24"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25" name="矩形 24"/>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26"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27" name="矩形 26"/>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28"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47" name="矩形 46"/>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48"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49" name="矩形 48"/>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50"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51" name="矩形 50"/>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52"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53" name="矩形 52"/>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54"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55" name="矩形 54"/>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56"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57" name="矩形 56"/>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58"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14" name="矩形 13"/>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15"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16" name="矩形 15"/>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29"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30" name="矩形 29"/>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31"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44" name="矩形 43"/>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45"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46" name="矩形 45"/>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59"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60" name="矩形 59"/>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61"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62" name="矩形 61"/>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63"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64" name="矩形 63"/>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65"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66" name="矩形 65"/>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67"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68" name="矩形 67"/>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69"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70" name="矩形 69"/>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71"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72" name="矩形 71"/>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73"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74" name="矩形 73"/>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75"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76" name="矩形 75"/>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77"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78" name="矩形 77"/>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79"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80" name="矩形 79"/>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81"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82" name="矩形 81"/>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83"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84" name="矩形 83"/>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85"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86" name="矩形 85"/>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87"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88" name="矩形 87"/>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89"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90" name="矩形 89"/>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91"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92" name="矩形 91"/>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93"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94" name="矩形 93"/>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95"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oneCellAnchor>
    <xdr:from>
      <xdr:col>5</xdr:col>
      <xdr:colOff>1144905</xdr:colOff>
      <xdr:row>0</xdr:row>
      <xdr:rowOff>78105</xdr:rowOff>
    </xdr:from>
    <xdr:ext cx="3736340" cy="890905"/>
    <xdr:sp>
      <xdr:nvSpPr>
        <xdr:cNvPr id="96" name="矩形 95"/>
        <xdr:cNvSpPr/>
      </xdr:nvSpPr>
      <xdr:spPr>
        <a:xfrm>
          <a:off x="8875395" y="78105"/>
          <a:ext cx="3736340" cy="8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4800" b="1">
            <a:ln w="9525">
              <a:solidFill>
                <a:schemeClr val="bg1"/>
              </a:solidFill>
              <a:prstDash val="solid"/>
            </a:ln>
            <a:solidFill>
              <a:schemeClr val="accent1">
                <a:lumMod val="40000"/>
                <a:lumOff val="60000"/>
                <a:alpha val="0"/>
              </a:schemeClr>
            </a:solidFill>
            <a:effectLst>
              <a:outerShdw blurRad="12700" dist="38100" dir="2700000" algn="tl" rotWithShape="0">
                <a:schemeClr val="bg1">
                  <a:lumMod val="50000"/>
                </a:schemeClr>
              </a:outerShdw>
            </a:effectLst>
          </a:endParaRPr>
        </a:p>
      </xdr:txBody>
    </xdr:sp>
    <xdr:clientData/>
  </xdr:oneCellAnchor>
  <xdr:twoCellAnchor>
    <xdr:from>
      <xdr:col>0</xdr:col>
      <xdr:colOff>9525</xdr:colOff>
      <xdr:row>0</xdr:row>
      <xdr:rowOff>9525</xdr:rowOff>
    </xdr:from>
    <xdr:to>
      <xdr:col>7</xdr:col>
      <xdr:colOff>1551940</xdr:colOff>
      <xdr:row>0</xdr:row>
      <xdr:rowOff>1045845</xdr:rowOff>
    </xdr:to>
    <xdr:pic>
      <xdr:nvPicPr>
        <xdr:cNvPr id="97" name="Picture 1" descr="D:\Program Files\Tencent\QQEIM\Users\2355805828\Image\C2C\YZD}CFI_UKDMOO[H8$_0WR4.png"/>
        <xdr:cNvPicPr/>
      </xdr:nvPicPr>
      <xdr:blipFill>
        <a:blip r:embed="rId1"/>
        <a:srcRect/>
        <a:stretch>
          <a:fillRect/>
        </a:stretch>
      </xdr:blipFill>
      <xdr:spPr>
        <a:xfrm>
          <a:off x="9525" y="9525"/>
          <a:ext cx="11113770" cy="549275"/>
        </a:xfrm>
        <a:prstGeom prst="rect">
          <a:avLst/>
        </a:prstGeom>
        <a:noFill/>
        <a:ln>
          <a:noFill/>
        </a:ln>
        <a:effec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7</xdr:col>
      <xdr:colOff>0</xdr:colOff>
      <xdr:row>0</xdr:row>
      <xdr:rowOff>759469</xdr:rowOff>
    </xdr:to>
    <xdr:pic>
      <xdr:nvPicPr>
        <xdr:cNvPr id="2" name="Picture 1" descr="D:\Program Files\Tencent\QQEIM\Users\2355805828\Image\C2C\YZD}CFI_UKDMOO[H8$_0WR4.png"/>
        <xdr:cNvPicPr/>
      </xdr:nvPicPr>
      <xdr:blipFill>
        <a:blip r:embed="rId1"/>
        <a:srcRect/>
        <a:stretch>
          <a:fillRect/>
        </a:stretch>
      </xdr:blipFill>
      <xdr:spPr>
        <a:xfrm>
          <a:off x="0" y="0"/>
          <a:ext cx="9086850" cy="759460"/>
        </a:xfrm>
        <a:prstGeom prst="rect">
          <a:avLst/>
        </a:prstGeom>
        <a:noFill/>
        <a:ln>
          <a:noFill/>
        </a:ln>
        <a:effectLst/>
      </xdr:spPr>
    </xdr:pic>
    <xdr:clientData/>
  </xdr:twoCellAnchor>
  <xdr:twoCellAnchor>
    <xdr:from>
      <xdr:col>4</xdr:col>
      <xdr:colOff>998855</xdr:colOff>
      <xdr:row>2</xdr:row>
      <xdr:rowOff>256540</xdr:rowOff>
    </xdr:from>
    <xdr:to>
      <xdr:col>7</xdr:col>
      <xdr:colOff>0</xdr:colOff>
      <xdr:row>5</xdr:row>
      <xdr:rowOff>0</xdr:rowOff>
    </xdr:to>
    <xdr:sp>
      <xdr:nvSpPr>
        <xdr:cNvPr id="3" name="roundRect"/>
        <xdr:cNvSpPr/>
      </xdr:nvSpPr>
      <xdr:spPr>
        <a:xfrm>
          <a:off x="5356860" y="1306830"/>
          <a:ext cx="3729990" cy="662940"/>
        </a:xfrm>
        <a:prstGeom prst="roundRect">
          <a:avLst/>
        </a:prstGeom>
        <a:solidFill>
          <a:srgbClr val="FFFF00"/>
        </a:solidFill>
        <a:ln w="9525" cap="flat" cmpd="sng">
          <a:solidFill>
            <a:srgbClr val="375D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600" b="1">
              <a:solidFill>
                <a:srgbClr val="FF0000"/>
              </a:solidFill>
              <a:latin typeface="微软雅黑" panose="020B0503020204020204" charset="-122"/>
              <a:ea typeface="微软雅黑" panose="020B0503020204020204" charset="-122"/>
            </a:rPr>
            <a:t>投诉热线：18320939685 （微信同号）</a:t>
          </a:r>
          <a:endParaRPr lang="en-US" altLang="zh-CN" sz="1600" b="1">
            <a:solidFill>
              <a:srgbClr val="FF0000"/>
            </a:solidFill>
            <a:latin typeface="微软雅黑" panose="020B0503020204020204" charset="-122"/>
            <a:ea typeface="微软雅黑" panose="020B0503020204020204" charset="-122"/>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0</xdr:row>
      <xdr:rowOff>9525</xdr:rowOff>
    </xdr:from>
    <xdr:to>
      <xdr:col>7</xdr:col>
      <xdr:colOff>2733675</xdr:colOff>
      <xdr:row>1</xdr:row>
      <xdr:rowOff>6350</xdr:rowOff>
    </xdr:to>
    <xdr:pic>
      <xdr:nvPicPr>
        <xdr:cNvPr id="2" name="Picture 1" descr="D:\Program Files\Tencent\QQEIM\Users\2355805828\Image\C2C\YZD}CFI_UKDMOO[H8$_0WR4.png"/>
        <xdr:cNvPicPr/>
      </xdr:nvPicPr>
      <xdr:blipFill>
        <a:blip r:embed="rId1"/>
        <a:srcRect/>
        <a:stretch>
          <a:fillRect/>
        </a:stretch>
      </xdr:blipFill>
      <xdr:spPr>
        <a:xfrm>
          <a:off x="9525" y="9525"/>
          <a:ext cx="15723870" cy="606425"/>
        </a:xfrm>
        <a:prstGeom prst="rect">
          <a:avLst/>
        </a:prstGeom>
        <a:noFill/>
        <a:ln>
          <a:noFill/>
        </a:ln>
        <a:effectLst/>
      </xdr:spPr>
    </xdr:pic>
    <xdr:clientData/>
  </xdr:twoCellAnchor>
  <xdr:twoCellAnchor>
    <xdr:from>
      <xdr:col>0</xdr:col>
      <xdr:colOff>76200</xdr:colOff>
      <xdr:row>1</xdr:row>
      <xdr:rowOff>86360</xdr:rowOff>
    </xdr:from>
    <xdr:to>
      <xdr:col>1</xdr:col>
      <xdr:colOff>142240</xdr:colOff>
      <xdr:row>1</xdr:row>
      <xdr:rowOff>447675</xdr:rowOff>
    </xdr:to>
    <xdr:sp>
      <xdr:nvSpPr>
        <xdr:cNvPr id="3" name="文本框 2"/>
        <xdr:cNvSpPr txBox="1"/>
      </xdr:nvSpPr>
      <xdr:spPr>
        <a:xfrm>
          <a:off x="76200" y="695960"/>
          <a:ext cx="3106420" cy="36131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800">
              <a:sym typeface="+mn-ea"/>
            </a:rPr>
            <a:t>2026-4-3</a:t>
          </a:r>
          <a:endParaRPr lang="en-US" altLang="zh-CN" sz="1800"/>
        </a:p>
      </xdr:txBody>
    </xdr:sp>
    <xdr:clientData/>
  </xdr:twoCellAnchor>
  <xdr:twoCellAnchor editAs="oneCell">
    <xdr:from>
      <xdr:col>8</xdr:col>
      <xdr:colOff>0</xdr:colOff>
      <xdr:row>1</xdr:row>
      <xdr:rowOff>0</xdr:rowOff>
    </xdr:from>
    <xdr:to>
      <xdr:col>8</xdr:col>
      <xdr:colOff>819785</xdr:colOff>
      <xdr:row>1</xdr:row>
      <xdr:rowOff>829310</xdr:rowOff>
    </xdr:to>
    <xdr:pic>
      <xdr:nvPicPr>
        <xdr:cNvPr id="11" name="图片 10" descr="32313630313238373b32313630313137333b65368d2757305740">
          <a:hlinkClick xmlns:r="http://schemas.openxmlformats.org/officeDocument/2006/relationships" r:id="rId2"/>
        </xdr:cNvPr>
        <xdr:cNvPicPr>
          <a:picLocks noChangeAspect="1"/>
        </xdr:cNvPicPr>
      </xdr:nvPicPr>
      <xdr:blipFill>
        <a:blip r:embed="rId3">
          <a:extLst>
            <a:ext uri="{96DAC541-7B7A-43D3-8B79-37D633B846F1}">
              <asvg:svgBlip xmlns:asvg="http://schemas.microsoft.com/office/drawing/2016/SVG/main" r:embed="rId4"/>
            </a:ext>
          </a:extLst>
        </a:blip>
        <a:stretch>
          <a:fillRect/>
        </a:stretch>
      </xdr:blipFill>
      <xdr:spPr>
        <a:xfrm>
          <a:off x="15733395" y="609600"/>
          <a:ext cx="819785" cy="829310"/>
        </a:xfrm>
        <a:prstGeom prst="rect">
          <a:avLst/>
        </a:prstGeom>
      </xdr:spPr>
    </xdr:pic>
    <xdr:clientData/>
  </xdr:twoCellAnchor>
  <xdr:oneCellAnchor>
    <xdr:from>
      <xdr:col>7</xdr:col>
      <xdr:colOff>1242695</xdr:colOff>
      <xdr:row>9</xdr:row>
      <xdr:rowOff>430530</xdr:rowOff>
    </xdr:from>
    <xdr:ext cx="309880" cy="363855"/>
    <xdr:sp>
      <xdr:nvSpPr>
        <xdr:cNvPr id="4" name="矩形 3"/>
        <xdr:cNvSpPr/>
      </xdr:nvSpPr>
      <xdr:spPr>
        <a:xfrm>
          <a:off x="14273530" y="5447030"/>
          <a:ext cx="309880" cy="363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p>
          <a:pPr algn="ctr"/>
          <a:endParaRPr lang="zh-CN" altLang="en-US" sz="1600" b="1">
            <a:solidFill>
              <a:srgbClr val="FF0000"/>
            </a:solidFill>
            <a:effectLst>
              <a:outerShdw blurRad="38100" dist="25400" dir="5400000" algn="ctr" rotWithShape="0">
                <a:srgbClr val="6E747A">
                  <a:alpha val="43000"/>
                </a:srgbClr>
              </a:outerShdw>
            </a:effectLst>
            <a:latin typeface="微软雅黑" panose="020B0503020204020204" charset="-122"/>
            <a:ea typeface="微软雅黑" panose="020B0503020204020204" charset="-122"/>
            <a:cs typeface="微软雅黑" panose="020B0503020204020204" charset="-122"/>
          </a:endParaRPr>
        </a:p>
      </xdr:txBody>
    </xdr:sp>
    <xdr:clientData/>
  </xdr:oneCellAnchor>
  <xdr:oneCellAnchor>
    <xdr:from>
      <xdr:col>7</xdr:col>
      <xdr:colOff>1242695</xdr:colOff>
      <xdr:row>9</xdr:row>
      <xdr:rowOff>430530</xdr:rowOff>
    </xdr:from>
    <xdr:ext cx="309880" cy="363855"/>
    <xdr:sp>
      <xdr:nvSpPr>
        <xdr:cNvPr id="15" name="矩形 14"/>
        <xdr:cNvSpPr/>
      </xdr:nvSpPr>
      <xdr:spPr>
        <a:xfrm>
          <a:off x="14273530" y="5447030"/>
          <a:ext cx="309880" cy="363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1600" b="1">
            <a:solidFill>
              <a:srgbClr val="FF0000"/>
            </a:solidFill>
            <a:effectLst>
              <a:outerShdw blurRad="38100" dist="25400" dir="5400000" algn="ctr" rotWithShape="0">
                <a:srgbClr val="6E747A">
                  <a:alpha val="43000"/>
                </a:srgbClr>
              </a:outerShdw>
            </a:effectLst>
            <a:latin typeface="微软雅黑" panose="020B0503020204020204" charset="-122"/>
            <a:ea typeface="微软雅黑" panose="020B0503020204020204" charset="-122"/>
            <a:cs typeface="微软雅黑" panose="020B0503020204020204" charset="-122"/>
          </a:endParaRPr>
        </a:p>
      </xdr:txBody>
    </xdr:sp>
    <xdr:clientData/>
  </xdr:oneCellAnchor>
  <xdr:oneCellAnchor>
    <xdr:from>
      <xdr:col>7</xdr:col>
      <xdr:colOff>1242695</xdr:colOff>
      <xdr:row>5</xdr:row>
      <xdr:rowOff>430530</xdr:rowOff>
    </xdr:from>
    <xdr:ext cx="309880" cy="363855"/>
    <xdr:sp>
      <xdr:nvSpPr>
        <xdr:cNvPr id="5" name="矩形 4"/>
        <xdr:cNvSpPr/>
      </xdr:nvSpPr>
      <xdr:spPr>
        <a:xfrm>
          <a:off x="14273530" y="3580130"/>
          <a:ext cx="309880" cy="363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1600" b="1">
            <a:solidFill>
              <a:srgbClr val="FF0000"/>
            </a:solidFill>
            <a:effectLst>
              <a:outerShdw blurRad="38100" dist="25400" dir="5400000" algn="ctr" rotWithShape="0">
                <a:srgbClr val="6E747A">
                  <a:alpha val="43000"/>
                </a:srgbClr>
              </a:outerShdw>
            </a:effectLst>
            <a:latin typeface="微软雅黑" panose="020B0503020204020204" charset="-122"/>
            <a:ea typeface="微软雅黑" panose="020B0503020204020204" charset="-122"/>
            <a:cs typeface="微软雅黑" panose="020B0503020204020204" charset="-122"/>
          </a:endParaRPr>
        </a:p>
      </xdr:txBody>
    </xdr:sp>
    <xdr:clientData/>
  </xdr:oneCellAnchor>
  <xdr:oneCellAnchor>
    <xdr:from>
      <xdr:col>7</xdr:col>
      <xdr:colOff>1242695</xdr:colOff>
      <xdr:row>5</xdr:row>
      <xdr:rowOff>430530</xdr:rowOff>
    </xdr:from>
    <xdr:ext cx="309880" cy="363855"/>
    <xdr:sp>
      <xdr:nvSpPr>
        <xdr:cNvPr id="6" name="矩形 5"/>
        <xdr:cNvSpPr/>
      </xdr:nvSpPr>
      <xdr:spPr>
        <a:xfrm>
          <a:off x="14273530" y="3580130"/>
          <a:ext cx="309880" cy="363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1600" b="1">
            <a:solidFill>
              <a:srgbClr val="FF0000"/>
            </a:solidFill>
            <a:effectLst>
              <a:outerShdw blurRad="38100" dist="25400" dir="5400000" algn="ctr" rotWithShape="0">
                <a:srgbClr val="6E747A">
                  <a:alpha val="43000"/>
                </a:srgbClr>
              </a:outerShdw>
            </a:effectLst>
            <a:latin typeface="微软雅黑" panose="020B0503020204020204" charset="-122"/>
            <a:ea typeface="微软雅黑" panose="020B0503020204020204" charset="-122"/>
            <a:cs typeface="微软雅黑" panose="020B0503020204020204" charset="-122"/>
          </a:endParaRPr>
        </a:p>
      </xdr:txBody>
    </xdr:sp>
    <xdr:clientData/>
  </xdr:oneCellAnchor>
  <xdr:oneCellAnchor>
    <xdr:from>
      <xdr:col>7</xdr:col>
      <xdr:colOff>41910</xdr:colOff>
      <xdr:row>1</xdr:row>
      <xdr:rowOff>6985</xdr:rowOff>
    </xdr:from>
    <xdr:ext cx="3070225" cy="557530"/>
    <xdr:sp>
      <xdr:nvSpPr>
        <xdr:cNvPr id="7" name="矩形 6" descr="7b0a2020202022776f7264617274223a2022220a7d0a"/>
        <xdr:cNvSpPr/>
      </xdr:nvSpPr>
      <xdr:spPr>
        <a:xfrm>
          <a:off x="13072745" y="616585"/>
          <a:ext cx="3070225" cy="557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scene3d>
            <a:camera prst="orthographicFront"/>
            <a:lightRig rig="threePt" dir="t"/>
          </a:scene3d>
          <a:sp3d extrusionH="75235" contourW="3858" prstMaterial="plastic">
            <a:extrusionClr>
              <a:srgbClr val="4A53D2"/>
            </a:extrusionClr>
            <a:contourClr>
              <a:srgbClr val="FECFD5"/>
            </a:contourClr>
          </a:sp3d>
        </a:bodyPr>
        <a:lstStyle/>
        <a:p>
          <a:pPr algn="ctr"/>
          <a:endParaRPr lang="en-US" altLang="zh-CN" sz="2800" b="1">
            <a:ln w="20256" cmpd="sng">
              <a:solidFill>
                <a:srgbClr val="FFED6F"/>
              </a:solidFill>
              <a:prstDash val="solid"/>
            </a:ln>
            <a:pattFill prst="pct90">
              <a:fgClr>
                <a:srgbClr val="FB6734"/>
              </a:fgClr>
              <a:bgClr>
                <a:srgbClr val="FB6734"/>
              </a:bgClr>
            </a:pattFill>
            <a:effectLst>
              <a:outerShdw dist="50800" dir="5400000" algn="t" rotWithShape="0">
                <a:srgbClr val="AA2020"/>
              </a:outerShdw>
            </a:effectLst>
            <a:latin typeface="汉仪铸字美心体简" panose="00020600040101010101" charset="-122"/>
            <a:ea typeface="汉仪铸字美心体简" panose="00020600040101010101" charset="-122"/>
            <a:cs typeface="汉仪铸字美心体简" panose="00020600040101010101" charset="-122"/>
          </a:endParaRPr>
        </a:p>
      </xdr:txBody>
    </xdr:sp>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31115</xdr:colOff>
      <xdr:row>0</xdr:row>
      <xdr:rowOff>76200</xdr:rowOff>
    </xdr:from>
    <xdr:to>
      <xdr:col>4</xdr:col>
      <xdr:colOff>3477260</xdr:colOff>
      <xdr:row>1</xdr:row>
      <xdr:rowOff>70485</xdr:rowOff>
    </xdr:to>
    <xdr:pic>
      <xdr:nvPicPr>
        <xdr:cNvPr id="2" name="Picture 1" descr="D:\Program Files\Tencent\QQEIM\Users\2355805828\Image\C2C\YZD}CFI_UKDMOO[H8$_0WR4.png"/>
        <xdr:cNvPicPr/>
      </xdr:nvPicPr>
      <xdr:blipFill>
        <a:blip r:embed="rId1"/>
        <a:srcRect/>
        <a:stretch>
          <a:fillRect/>
        </a:stretch>
      </xdr:blipFill>
      <xdr:spPr>
        <a:xfrm>
          <a:off x="31115" y="76200"/>
          <a:ext cx="13064490" cy="655320"/>
        </a:xfrm>
        <a:prstGeom prst="rect">
          <a:avLst/>
        </a:prstGeom>
        <a:noFill/>
        <a:ln>
          <a:noFill/>
        </a:ln>
        <a:effectLst/>
      </xdr:spPr>
    </xdr:pic>
    <xdr:clientData/>
  </xdr:twoCellAnchor>
  <xdr:twoCellAnchor>
    <xdr:from>
      <xdr:col>0</xdr:col>
      <xdr:colOff>17780</xdr:colOff>
      <xdr:row>1</xdr:row>
      <xdr:rowOff>254000</xdr:rowOff>
    </xdr:from>
    <xdr:to>
      <xdr:col>0</xdr:col>
      <xdr:colOff>1750695</xdr:colOff>
      <xdr:row>1</xdr:row>
      <xdr:rowOff>615315</xdr:rowOff>
    </xdr:to>
    <xdr:sp>
      <xdr:nvSpPr>
        <xdr:cNvPr id="3" name="文本框 2"/>
        <xdr:cNvSpPr txBox="1"/>
      </xdr:nvSpPr>
      <xdr:spPr>
        <a:xfrm>
          <a:off x="17780" y="915035"/>
          <a:ext cx="1732915" cy="36131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800">
              <a:sym typeface="+mn-ea"/>
            </a:rPr>
            <a:t>2026-4-3</a:t>
          </a:r>
          <a:endParaRPr lang="en-US" altLang="zh-CN" sz="1800">
            <a:sym typeface="+mn-ea"/>
          </a:endParaRPr>
        </a:p>
        <a:p>
          <a:pPr algn="l"/>
          <a:endParaRPr lang="en-US" altLang="zh-CN" sz="1800"/>
        </a:p>
      </xdr:txBody>
    </xdr:sp>
    <xdr:clientData/>
  </xdr:twoCellAnchor>
  <xdr:twoCellAnchor editAs="oneCell">
    <xdr:from>
      <xdr:col>5</xdr:col>
      <xdr:colOff>0</xdr:colOff>
      <xdr:row>0</xdr:row>
      <xdr:rowOff>584200</xdr:rowOff>
    </xdr:from>
    <xdr:to>
      <xdr:col>6</xdr:col>
      <xdr:colOff>171450</xdr:colOff>
      <xdr:row>2</xdr:row>
      <xdr:rowOff>168275</xdr:rowOff>
    </xdr:to>
    <xdr:pic>
      <xdr:nvPicPr>
        <xdr:cNvPr id="4" name="图片 3" descr="32313630313238373b32313630313137333b65368d2757305740">
          <a:hlinkClick xmlns:r="http://schemas.openxmlformats.org/officeDocument/2006/relationships" r:id="rId2"/>
        </xdr:cNvPr>
        <xdr:cNvPicPr>
          <a:picLocks noChangeAspect="1"/>
        </xdr:cNvPicPr>
      </xdr:nvPicPr>
      <xdr:blipFill>
        <a:blip r:embed="rId3">
          <a:extLst>
            <a:ext uri="{96DAC541-7B7A-43D3-8B79-37D633B846F1}">
              <asvg:svgBlip xmlns:asvg="http://schemas.microsoft.com/office/drawing/2016/SVG/main" r:embed="rId4"/>
            </a:ext>
          </a:extLst>
        </a:blip>
        <a:stretch>
          <a:fillRect/>
        </a:stretch>
      </xdr:blipFill>
      <xdr:spPr>
        <a:xfrm>
          <a:off x="13236575" y="584200"/>
          <a:ext cx="822960" cy="868045"/>
        </a:xfrm>
        <a:prstGeom prst="rect">
          <a:avLst/>
        </a:prstGeom>
      </xdr:spPr>
    </xdr:pic>
    <xdr:clientData/>
  </xdr:twoCellAnchor>
  <xdr:oneCellAnchor>
    <xdr:from>
      <xdr:col>3</xdr:col>
      <xdr:colOff>2978785</xdr:colOff>
      <xdr:row>6</xdr:row>
      <xdr:rowOff>95885</xdr:rowOff>
    </xdr:from>
    <xdr:ext cx="309880" cy="1783080"/>
    <xdr:sp>
      <xdr:nvSpPr>
        <xdr:cNvPr id="5" name="矩形 4" descr="7b0a2020202022776f7264617274223a2022220a7d0a"/>
        <xdr:cNvSpPr/>
      </xdr:nvSpPr>
      <xdr:spPr>
        <a:xfrm>
          <a:off x="9618345" y="3577590"/>
          <a:ext cx="309880" cy="1783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p>
          <a:pPr algn="ctr"/>
          <a:endParaRPr lang="zh-CN" altLang="en-US" sz="10000" b="1">
            <a:ln w="44450">
              <a:solidFill>
                <a:schemeClr val="bg1"/>
              </a:solidFill>
            </a:ln>
            <a:solidFill>
              <a:srgbClr val="3794FB"/>
            </a:solidFill>
            <a:effectLst>
              <a:outerShdw blurRad="50800" dist="38100" dir="5400000" algn="t" rotWithShape="0">
                <a:prstClr val="black">
                  <a:alpha val="40000"/>
                </a:prstClr>
              </a:outerShdw>
            </a:effectLst>
            <a:latin typeface="汉仪力量黑简" panose="00020600040101010101" charset="-122"/>
            <a:ea typeface="汉仪力量黑简" panose="00020600040101010101" charset="-122"/>
          </a:endParaRPr>
        </a:p>
      </xdr:txBody>
    </xdr:sp>
    <xdr:clientData/>
  </xdr:oneCellAnchor>
  <xdr:oneCellAnchor>
    <xdr:from>
      <xdr:col>5</xdr:col>
      <xdr:colOff>0</xdr:colOff>
      <xdr:row>4</xdr:row>
      <xdr:rowOff>130175</xdr:rowOff>
    </xdr:from>
    <xdr:ext cx="5029200" cy="2846070"/>
    <xdr:sp>
      <xdr:nvSpPr>
        <xdr:cNvPr id="7" name="矩形 6"/>
        <xdr:cNvSpPr/>
      </xdr:nvSpPr>
      <xdr:spPr>
        <a:xfrm>
          <a:off x="13236575" y="2494280"/>
          <a:ext cx="5029200" cy="2846070"/>
        </a:xfrm>
        <a:prstGeom prst="rect">
          <a:avLst/>
        </a:prstGeom>
        <a:noFill/>
        <a:ln w="9525" cmpd="sng">
          <a:noFill/>
        </a:ln>
        <a:extLst>
          <a:ext uri="{909E8E84-426E-40DD-AFC4-6F175D3DCCD1}">
            <a14:hiddenFill xmlns:a14="http://schemas.microsoft.com/office/drawing/2010/main">
              <a:solidFill>
                <a:srgbClr val="FFFF00"/>
              </a:solidFill>
            </a14:hiddenFill>
          </a:ext>
        </a:extLst>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5400" b="1">
              <a:solidFill>
                <a:srgbClr val="0070C0"/>
              </a:solidFill>
              <a:effectLst>
                <a:outerShdw blurRad="38100" dist="25400" dir="5400000" algn="ctr" rotWithShape="0">
                  <a:srgbClr val="6E747A">
                    <a:alpha val="43000"/>
                  </a:srgbClr>
                </a:outerShdw>
                <a:reflection blurRad="6350" stA="55000" endA="300" endPos="45500" dir="5400000" sy="-100000" algn="bl" rotWithShape="0"/>
              </a:effectLst>
              <a:latin typeface="微软雅黑" panose="020B0503020204020204" charset="-122"/>
              <a:ea typeface="微软雅黑" panose="020B0503020204020204" charset="-122"/>
              <a:cs typeface="微软雅黑" panose="020B0503020204020204" charset="-122"/>
            </a:rPr>
            <a:t>适用</a:t>
          </a:r>
          <a:r>
            <a:rPr lang="en-US" altLang="zh-CN" sz="5400" b="1">
              <a:solidFill>
                <a:srgbClr val="FF0000"/>
              </a:solidFill>
              <a:effectLst>
                <a:outerShdw blurRad="38100" dist="25400" dir="5400000" algn="ctr" rotWithShape="0">
                  <a:srgbClr val="6E747A">
                    <a:alpha val="43000"/>
                  </a:srgbClr>
                </a:outerShdw>
                <a:reflection blurRad="6350" stA="55000" endA="300" endPos="45500" dir="5400000" sy="-100000" algn="bl" rotWithShape="0"/>
              </a:effectLst>
              <a:latin typeface="微软雅黑" panose="020B0503020204020204" charset="-122"/>
              <a:ea typeface="微软雅黑" panose="020B0503020204020204" charset="-122"/>
              <a:cs typeface="微软雅黑" panose="020B0503020204020204" charset="-122"/>
            </a:rPr>
            <a:t>22-65KG</a:t>
          </a:r>
          <a:r>
            <a:rPr lang="zh-CN" altLang="en-US" sz="5400" b="1">
              <a:solidFill>
                <a:srgbClr val="0070C0"/>
              </a:solidFill>
              <a:effectLst>
                <a:outerShdw blurRad="38100" dist="25400" dir="5400000" algn="ctr" rotWithShape="0">
                  <a:srgbClr val="6E747A">
                    <a:alpha val="43000"/>
                  </a:srgbClr>
                </a:outerShdw>
                <a:reflection blurRad="6350" stA="55000" endA="300" endPos="45500" dir="5400000" sy="-100000" algn="bl" rotWithShape="0"/>
              </a:effectLst>
              <a:latin typeface="微软雅黑" panose="020B0503020204020204" charset="-122"/>
              <a:ea typeface="微软雅黑" panose="020B0503020204020204" charset="-122"/>
              <a:cs typeface="微软雅黑" panose="020B0503020204020204" charset="-122"/>
            </a:rPr>
            <a:t>重量段货物</a:t>
          </a:r>
          <a:endParaRPr lang="zh-CN" altLang="en-US" sz="5400" b="1">
            <a:solidFill>
              <a:srgbClr val="0070C0"/>
            </a:solidFill>
            <a:effectLst>
              <a:outerShdw blurRad="38100" dist="25400" dir="5400000" algn="ctr" rotWithShape="0">
                <a:srgbClr val="6E747A">
                  <a:alpha val="43000"/>
                </a:srgbClr>
              </a:outerShdw>
              <a:reflection blurRad="6350" stA="55000" endA="300" endPos="45500" dir="5400000" sy="-100000" algn="bl" rotWithShape="0"/>
            </a:effectLst>
            <a:latin typeface="微软雅黑" panose="020B0503020204020204" charset="-122"/>
            <a:ea typeface="微软雅黑" panose="020B0503020204020204" charset="-122"/>
            <a:cs typeface="微软雅黑" panose="020B0503020204020204" charset="-122"/>
          </a:endParaRPr>
        </a:p>
      </xdr:txBody>
    </xdr:sp>
    <xdr:clientData/>
  </xdr:oneCellAnchor>
  <xdr:oneCellAnchor>
    <xdr:from>
      <xdr:col>3</xdr:col>
      <xdr:colOff>2978785</xdr:colOff>
      <xdr:row>6</xdr:row>
      <xdr:rowOff>95885</xdr:rowOff>
    </xdr:from>
    <xdr:ext cx="309880" cy="1783080"/>
    <xdr:sp>
      <xdr:nvSpPr>
        <xdr:cNvPr id="13" name="矩形 12" descr="7b0a2020202022776f7264617274223a2022220a7d0a"/>
        <xdr:cNvSpPr/>
      </xdr:nvSpPr>
      <xdr:spPr>
        <a:xfrm>
          <a:off x="9618345" y="3577590"/>
          <a:ext cx="309880" cy="1783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zh-CN" altLang="en-US" sz="10000" b="1">
            <a:ln w="44450">
              <a:solidFill>
                <a:schemeClr val="bg1"/>
              </a:solidFill>
            </a:ln>
            <a:solidFill>
              <a:srgbClr val="3794FB"/>
            </a:solidFill>
            <a:effectLst>
              <a:outerShdw blurRad="50800" dist="38100" dir="5400000" algn="t" rotWithShape="0">
                <a:prstClr val="black">
                  <a:alpha val="40000"/>
                </a:prstClr>
              </a:outerShdw>
            </a:effectLst>
            <a:latin typeface="汉仪力量黑简" panose="00020600040101010101" charset="-122"/>
            <a:ea typeface="汉仪力量黑简" panose="00020600040101010101" charset="-122"/>
          </a:endParaRPr>
        </a:p>
      </xdr:txBody>
    </xdr:sp>
    <xdr:clientData/>
  </xdr:oneCellAnchor>
  <xdr:oneCellAnchor>
    <xdr:from>
      <xdr:col>5</xdr:col>
      <xdr:colOff>0</xdr:colOff>
      <xdr:row>9</xdr:row>
      <xdr:rowOff>187325</xdr:rowOff>
    </xdr:from>
    <xdr:ext cx="4840605" cy="903605"/>
    <xdr:sp>
      <xdr:nvSpPr>
        <xdr:cNvPr id="6" name="矩形 5" descr="7b0a2020202022776f7264617274223a2022220a7d0a"/>
        <xdr:cNvSpPr/>
      </xdr:nvSpPr>
      <xdr:spPr>
        <a:xfrm>
          <a:off x="13236575" y="5345430"/>
          <a:ext cx="4840605" cy="903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scene3d>
            <a:camera prst="orthographicFront"/>
            <a:lightRig rig="threePt" dir="t"/>
          </a:scene3d>
          <a:sp3d extrusionH="75235" contourW="3858" prstMaterial="plastic">
            <a:extrusionClr>
              <a:srgbClr val="4A53D2"/>
            </a:extrusionClr>
            <a:contourClr>
              <a:srgbClr val="FECFD5"/>
            </a:contourClr>
          </a:sp3d>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en-US" altLang="zh-CN" sz="4800" b="1">
            <a:ln w="20256" cmpd="sng">
              <a:solidFill>
                <a:srgbClr val="FFED6F"/>
              </a:solidFill>
              <a:prstDash val="solid"/>
            </a:ln>
            <a:pattFill prst="pct90">
              <a:fgClr>
                <a:srgbClr val="FB6734"/>
              </a:fgClr>
              <a:bgClr>
                <a:srgbClr val="FB6734"/>
              </a:bgClr>
            </a:pattFill>
            <a:effectLst>
              <a:outerShdw dist="50800" dir="5400000" algn="t" rotWithShape="0">
                <a:srgbClr val="AA2020"/>
              </a:outerShdw>
            </a:effectLst>
            <a:latin typeface="汉仪铸字美心体简" panose="00020600040101010101" charset="-122"/>
            <a:ea typeface="汉仪铸字美心体简" panose="00020600040101010101" charset="-122"/>
            <a:cs typeface="汉仪铸字美心体简" panose="00020600040101010101" charset="-122"/>
          </a:endParaRPr>
        </a:p>
      </xdr:txBody>
    </xdr:sp>
    <xdr:clientData/>
  </xdr:oneCellAnchor>
  <xdr:oneCellAnchor>
    <xdr:from>
      <xdr:col>4</xdr:col>
      <xdr:colOff>190500</xdr:colOff>
      <xdr:row>4</xdr:row>
      <xdr:rowOff>200025</xdr:rowOff>
    </xdr:from>
    <xdr:ext cx="3070225" cy="563880"/>
    <xdr:sp>
      <xdr:nvSpPr>
        <xdr:cNvPr id="8" name="矩形 7" descr="7b0a2020202022776f7264617274223a2022220a7d0a"/>
        <xdr:cNvSpPr/>
      </xdr:nvSpPr>
      <xdr:spPr>
        <a:xfrm>
          <a:off x="9808845" y="2564130"/>
          <a:ext cx="3070225"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scene3d>
            <a:camera prst="orthographicFront"/>
            <a:lightRig rig="threePt" dir="t"/>
          </a:scene3d>
          <a:sp3d extrusionH="75235" contourW="3858" prstMaterial="plastic">
            <a:extrusionClr>
              <a:srgbClr val="4A53D2"/>
            </a:extrusionClr>
            <a:contourClr>
              <a:srgbClr val="FECFD5"/>
            </a:contourClr>
          </a:sp3d>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en-US" altLang="zh-CN" sz="2800" b="1">
            <a:ln w="20256" cmpd="sng">
              <a:solidFill>
                <a:srgbClr val="FFED6F"/>
              </a:solidFill>
              <a:prstDash val="solid"/>
            </a:ln>
            <a:pattFill prst="pct90">
              <a:fgClr>
                <a:srgbClr val="FB6734"/>
              </a:fgClr>
              <a:bgClr>
                <a:srgbClr val="FB6734"/>
              </a:bgClr>
            </a:pattFill>
            <a:effectLst>
              <a:outerShdw dist="50800" dir="5400000" algn="t" rotWithShape="0">
                <a:srgbClr val="AA2020"/>
              </a:outerShdw>
            </a:effectLst>
            <a:latin typeface="汉仪铸字美心体简" panose="00020600040101010101" charset="-122"/>
            <a:ea typeface="汉仪铸字美心体简" panose="00020600040101010101" charset="-122"/>
            <a:cs typeface="汉仪铸字美心体简" panose="00020600040101010101" charset="-122"/>
          </a:endParaRPr>
        </a:p>
      </xdr:txBody>
    </xdr:sp>
    <xdr:clientData/>
  </xdr:oneCellAnchor>
  <xdr:twoCellAnchor>
    <xdr:from>
      <xdr:col>4</xdr:col>
      <xdr:colOff>1257300</xdr:colOff>
      <xdr:row>1</xdr:row>
      <xdr:rowOff>200025</xdr:rowOff>
    </xdr:from>
    <xdr:to>
      <xdr:col>4</xdr:col>
      <xdr:colOff>3476625</xdr:colOff>
      <xdr:row>1</xdr:row>
      <xdr:rowOff>600075</xdr:rowOff>
    </xdr:to>
    <xdr:sp>
      <xdr:nvSpPr>
        <xdr:cNvPr id="9" name="文本框 8"/>
        <xdr:cNvSpPr txBox="1"/>
      </xdr:nvSpPr>
      <xdr:spPr>
        <a:xfrm>
          <a:off x="10875645" y="861060"/>
          <a:ext cx="2219325" cy="40005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r>
            <a:rPr lang="zh-CN" altLang="en-US" sz="2400" b="1"/>
            <a:t>FEDEX派送服务</a:t>
          </a:r>
          <a:endParaRPr lang="zh-CN" altLang="en-US" sz="2400" b="1"/>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0</xdr:row>
      <xdr:rowOff>635</xdr:rowOff>
    </xdr:from>
    <xdr:to>
      <xdr:col>8</xdr:col>
      <xdr:colOff>2477135</xdr:colOff>
      <xdr:row>1</xdr:row>
      <xdr:rowOff>62865</xdr:rowOff>
    </xdr:to>
    <xdr:pic>
      <xdr:nvPicPr>
        <xdr:cNvPr id="2" name="Picture 1" descr="D:\Program Files\Tencent\QQEIM\Users\2355805828\Image\C2C\YZD}CFI_UKDMOO[H8$_0WR4.png"/>
        <xdr:cNvPicPr/>
      </xdr:nvPicPr>
      <xdr:blipFill>
        <a:blip r:embed="rId1"/>
        <a:srcRect/>
        <a:stretch>
          <a:fillRect/>
        </a:stretch>
      </xdr:blipFill>
      <xdr:spPr>
        <a:xfrm>
          <a:off x="635" y="635"/>
          <a:ext cx="14512290" cy="824230"/>
        </a:xfrm>
        <a:prstGeom prst="rect">
          <a:avLst/>
        </a:prstGeom>
        <a:noFill/>
        <a:ln>
          <a:noFill/>
        </a:ln>
        <a:effectLst/>
      </xdr:spPr>
    </xdr:pic>
    <xdr:clientData/>
  </xdr:twoCellAnchor>
  <xdr:twoCellAnchor>
    <xdr:from>
      <xdr:col>0</xdr:col>
      <xdr:colOff>76200</xdr:colOff>
      <xdr:row>1</xdr:row>
      <xdr:rowOff>86360</xdr:rowOff>
    </xdr:from>
    <xdr:to>
      <xdr:col>1</xdr:col>
      <xdr:colOff>142240</xdr:colOff>
      <xdr:row>1</xdr:row>
      <xdr:rowOff>447675</xdr:rowOff>
    </xdr:to>
    <xdr:sp>
      <xdr:nvSpPr>
        <xdr:cNvPr id="3" name="文本框 2"/>
        <xdr:cNvSpPr txBox="1"/>
      </xdr:nvSpPr>
      <xdr:spPr>
        <a:xfrm>
          <a:off x="76200" y="848360"/>
          <a:ext cx="2372995" cy="361315"/>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800">
              <a:sym typeface="+mn-ea"/>
            </a:rPr>
            <a:t>2026-4-3</a:t>
          </a:r>
          <a:endParaRPr lang="en-US" altLang="zh-CN" sz="1800"/>
        </a:p>
      </xdr:txBody>
    </xdr:sp>
    <xdr:clientData/>
  </xdr:twoCellAnchor>
  <xdr:twoCellAnchor>
    <xdr:from>
      <xdr:col>9</xdr:col>
      <xdr:colOff>228600</xdr:colOff>
      <xdr:row>17</xdr:row>
      <xdr:rowOff>1304925</xdr:rowOff>
    </xdr:from>
    <xdr:to>
      <xdr:col>11</xdr:col>
      <xdr:colOff>1014095</xdr:colOff>
      <xdr:row>24</xdr:row>
      <xdr:rowOff>145415</xdr:rowOff>
    </xdr:to>
    <xdr:grpSp>
      <xdr:nvGrpSpPr>
        <xdr:cNvPr id="11" name="组合 10"/>
        <xdr:cNvGrpSpPr/>
      </xdr:nvGrpSpPr>
      <xdr:grpSpPr>
        <a:xfrm>
          <a:off x="14744700" y="10119360"/>
          <a:ext cx="3372485" cy="3298825"/>
          <a:chOff x="16017800" y="4731531"/>
          <a:chExt cx="5027148" cy="3335056"/>
        </a:xfrm>
      </xdr:grpSpPr>
      <xdr:pic>
        <xdr:nvPicPr>
          <xdr:cNvPr id="12" name="图片 11" descr="13.jpg"/>
          <xdr:cNvPicPr>
            <a:picLocks noChangeAspect="1"/>
          </xdr:cNvPicPr>
        </xdr:nvPicPr>
        <xdr:blipFill>
          <a:blip r:embed="rId2" cstate="print"/>
          <a:srcRect l="5584" t="7092" r="12409" b="11525"/>
          <a:stretch>
            <a:fillRect/>
          </a:stretch>
        </xdr:blipFill>
        <xdr:spPr>
          <a:xfrm>
            <a:off x="16017800" y="4731531"/>
            <a:ext cx="5027148" cy="3335056"/>
          </a:xfrm>
          <a:prstGeom prst="rect">
            <a:avLst/>
          </a:prstGeom>
        </xdr:spPr>
      </xdr:pic>
      <xdr:sp>
        <xdr:nvSpPr>
          <xdr:cNvPr id="13" name="TextBox 22"/>
          <xdr:cNvSpPr txBox="1"/>
        </xdr:nvSpPr>
        <xdr:spPr>
          <a:xfrm>
            <a:off x="16017800" y="4895612"/>
            <a:ext cx="1102749" cy="8466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lIns="72000" tIns="0" rIns="0" bIns="0"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marL="0" marR="0" indent="0" defTabSz="914400" eaLnBrk="1" fontAlgn="auto" latinLnBrk="0" hangingPunct="1">
              <a:lnSpc>
                <a:spcPct val="100000"/>
              </a:lnSpc>
              <a:spcBef>
                <a:spcPts val="0"/>
              </a:spcBef>
              <a:spcAft>
                <a:spcPts val="0"/>
              </a:spcAft>
              <a:buClrTx/>
              <a:buSzTx/>
              <a:buFontTx/>
              <a:buNone/>
              <a:defRPr/>
            </a:pPr>
            <a:r>
              <a:rPr lang="zh-CN" altLang="zh-CN" sz="800" b="1">
                <a:solidFill>
                  <a:schemeClr val="dk1"/>
                </a:solidFill>
                <a:latin typeface="+mn-lt"/>
                <a:ea typeface="+mn-ea"/>
                <a:cs typeface="+mn-cs"/>
              </a:rPr>
              <a:t>货物长度大于</a:t>
            </a:r>
            <a:r>
              <a:rPr lang="en-US" altLang="zh-CN" sz="800" b="1">
                <a:solidFill>
                  <a:schemeClr val="dk1"/>
                </a:solidFill>
                <a:latin typeface="+mn-lt"/>
                <a:ea typeface="+mn-ea"/>
                <a:cs typeface="+mn-cs"/>
              </a:rPr>
              <a:t>150CM,</a:t>
            </a:r>
            <a:r>
              <a:rPr lang="zh-CN" altLang="zh-CN" sz="800" b="1">
                <a:solidFill>
                  <a:schemeClr val="dk1"/>
                </a:solidFill>
                <a:latin typeface="+mn-lt"/>
                <a:ea typeface="+mn-ea"/>
                <a:cs typeface="+mn-cs"/>
              </a:rPr>
              <a:t>需要侧边开叉车口</a:t>
            </a:r>
            <a:endParaRPr lang="zh-CN" altLang="zh-CN" sz="800"/>
          </a:p>
          <a:p>
            <a:endParaRPr lang="zh-CN" altLang="en-US" sz="800"/>
          </a:p>
        </xdr:txBody>
      </xdr:sp>
      <xdr:sp>
        <xdr:nvSpPr>
          <xdr:cNvPr id="14" name="TextBox 25"/>
          <xdr:cNvSpPr txBox="1"/>
        </xdr:nvSpPr>
        <xdr:spPr>
          <a:xfrm>
            <a:off x="16347299" y="6748983"/>
            <a:ext cx="1200680" cy="4749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zh-CN" sz="800" b="1">
                <a:solidFill>
                  <a:schemeClr val="dk1"/>
                </a:solidFill>
                <a:latin typeface="+mn-lt"/>
                <a:ea typeface="+mn-ea"/>
                <a:cs typeface="+mn-cs"/>
              </a:rPr>
              <a:t>卡脚需要包边</a:t>
            </a:r>
            <a:endParaRPr lang="zh-CN" altLang="zh-CN" sz="800" b="1"/>
          </a:p>
        </xdr:txBody>
      </xdr:sp>
      <xdr:sp>
        <xdr:nvSpPr>
          <xdr:cNvPr id="15" name="TextBox 26"/>
          <xdr:cNvSpPr txBox="1"/>
        </xdr:nvSpPr>
        <xdr:spPr>
          <a:xfrm>
            <a:off x="18916979" y="7089274"/>
            <a:ext cx="1382262" cy="7281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800" b="1"/>
              <a:t>打木箱木架的夹板需要</a:t>
            </a:r>
            <a:r>
              <a:rPr lang="en-US" altLang="zh-CN" sz="800" b="1"/>
              <a:t>1.5CM</a:t>
            </a:r>
            <a:endParaRPr lang="zh-CN" altLang="en-US" sz="800" b="1"/>
          </a:p>
        </xdr:txBody>
      </xdr:sp>
      <xdr:sp>
        <xdr:nvSpPr>
          <xdr:cNvPr id="16" name="TextBox 23"/>
          <xdr:cNvSpPr txBox="1"/>
        </xdr:nvSpPr>
        <xdr:spPr>
          <a:xfrm>
            <a:off x="18305928" y="4895612"/>
            <a:ext cx="955852" cy="6917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lIns="108000" tIns="36000" rIns="144000" bIns="0"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800" b="1"/>
              <a:t>木箱木架需要打合页</a:t>
            </a:r>
            <a:endParaRPr lang="zh-CN" altLang="en-US" sz="800" b="1"/>
          </a:p>
        </xdr:txBody>
      </xdr:sp>
    </xdr:grpSp>
    <xdr:clientData/>
  </xdr:twoCellAnchor>
  <xdr:twoCellAnchor editAs="oneCell">
    <xdr:from>
      <xdr:col>8</xdr:col>
      <xdr:colOff>2543175</xdr:colOff>
      <xdr:row>0</xdr:row>
      <xdr:rowOff>267335</xdr:rowOff>
    </xdr:from>
    <xdr:to>
      <xdr:col>9</xdr:col>
      <xdr:colOff>810260</xdr:colOff>
      <xdr:row>1</xdr:row>
      <xdr:rowOff>391795</xdr:rowOff>
    </xdr:to>
    <xdr:pic>
      <xdr:nvPicPr>
        <xdr:cNvPr id="17" name="图片 16" descr="32313630313238373b32313630313137333b65368d2757305740">
          <a:hlinkClick xmlns:r="http://schemas.openxmlformats.org/officeDocument/2006/relationships" r:id="rId3"/>
        </xdr:cNvPr>
        <xdr:cNvPicPr>
          <a:picLocks noChangeAspect="1"/>
        </xdr:cNvPicPr>
      </xdr:nvPicPr>
      <xdr:blipFill>
        <a:blip r:embed="rId4">
          <a:extLst>
            <a:ext uri="{96DAC541-7B7A-43D3-8B79-37D633B846F1}">
              <asvg:svgBlip xmlns:asvg="http://schemas.microsoft.com/office/drawing/2016/SVG/main" r:embed="rId5"/>
            </a:ext>
          </a:extLst>
        </a:blip>
        <a:stretch>
          <a:fillRect/>
        </a:stretch>
      </xdr:blipFill>
      <xdr:spPr>
        <a:xfrm>
          <a:off x="14516100" y="267335"/>
          <a:ext cx="810260" cy="886460"/>
        </a:xfrm>
        <a:prstGeom prst="rect">
          <a:avLst/>
        </a:prstGeom>
      </xdr:spPr>
    </xdr:pic>
    <xdr:clientData/>
  </xdr:twoCellAnchor>
  <xdr:twoCellAnchor editAs="oneCell">
    <xdr:from>
      <xdr:col>8</xdr:col>
      <xdr:colOff>2581275</xdr:colOff>
      <xdr:row>0</xdr:row>
      <xdr:rowOff>304800</xdr:rowOff>
    </xdr:from>
    <xdr:to>
      <xdr:col>9</xdr:col>
      <xdr:colOff>791210</xdr:colOff>
      <xdr:row>1</xdr:row>
      <xdr:rowOff>372110</xdr:rowOff>
    </xdr:to>
    <xdr:pic>
      <xdr:nvPicPr>
        <xdr:cNvPr id="18" name="图片 17" descr="32313630313238373b32313630313137333b65368d2757305740">
          <a:hlinkClick xmlns:r="http://schemas.openxmlformats.org/officeDocument/2006/relationships" r:id="rId3"/>
        </xdr:cNvPr>
        <xdr:cNvPicPr>
          <a:picLocks noChangeAspect="1"/>
        </xdr:cNvPicPr>
      </xdr:nvPicPr>
      <xdr:blipFill>
        <a:blip r:embed="rId4">
          <a:extLst>
            <a:ext uri="{96DAC541-7B7A-43D3-8B79-37D633B846F1}">
              <asvg:svgBlip xmlns:asvg="http://schemas.microsoft.com/office/drawing/2016/SVG/main" r:embed="rId5"/>
            </a:ext>
          </a:extLst>
        </a:blip>
        <a:stretch>
          <a:fillRect/>
        </a:stretch>
      </xdr:blipFill>
      <xdr:spPr>
        <a:xfrm>
          <a:off x="14516100" y="304800"/>
          <a:ext cx="791210" cy="829310"/>
        </a:xfrm>
        <a:prstGeom prst="rect">
          <a:avLst/>
        </a:prstGeom>
      </xdr:spPr>
    </xdr:pic>
    <xdr:clientData/>
  </xdr:twoCellAnchor>
  <xdr:twoCellAnchor>
    <xdr:from>
      <xdr:col>8</xdr:col>
      <xdr:colOff>1086485</xdr:colOff>
      <xdr:row>2</xdr:row>
      <xdr:rowOff>142875</xdr:rowOff>
    </xdr:from>
    <xdr:to>
      <xdr:col>8</xdr:col>
      <xdr:colOff>2514600</xdr:colOff>
      <xdr:row>2</xdr:row>
      <xdr:rowOff>447675</xdr:rowOff>
    </xdr:to>
    <xdr:sp>
      <xdr:nvSpPr>
        <xdr:cNvPr id="20" name="文本框 19"/>
        <xdr:cNvSpPr txBox="1"/>
      </xdr:nvSpPr>
      <xdr:spPr>
        <a:xfrm>
          <a:off x="13122275" y="1387475"/>
          <a:ext cx="1393825" cy="30480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endParaRPr lang="en-US" altLang="zh-CN" sz="1800" b="1">
            <a:solidFill>
              <a:sysClr val="windowText" lastClr="000000"/>
            </a:solidFill>
          </a:endParaRPr>
        </a:p>
      </xdr:txBody>
    </xdr:sp>
    <xdr:clientData/>
  </xdr:twoCellAnchor>
  <xdr:twoCellAnchor>
    <xdr:from>
      <xdr:col>0</xdr:col>
      <xdr:colOff>635</xdr:colOff>
      <xdr:row>0</xdr:row>
      <xdr:rowOff>635</xdr:rowOff>
    </xdr:from>
    <xdr:to>
      <xdr:col>8</xdr:col>
      <xdr:colOff>2477135</xdr:colOff>
      <xdr:row>1</xdr:row>
      <xdr:rowOff>62865</xdr:rowOff>
    </xdr:to>
    <xdr:pic>
      <xdr:nvPicPr>
        <xdr:cNvPr id="24" name="Picture 1" descr="D:\Program Files\Tencent\QQEIM\Users\2355805828\Image\C2C\YZD}CFI_UKDMOO[H8$_0WR4.png"/>
        <xdr:cNvPicPr/>
      </xdr:nvPicPr>
      <xdr:blipFill>
        <a:blip r:embed="rId1"/>
        <a:srcRect/>
        <a:stretch>
          <a:fillRect/>
        </a:stretch>
      </xdr:blipFill>
      <xdr:spPr>
        <a:xfrm>
          <a:off x="635" y="635"/>
          <a:ext cx="14512290" cy="824230"/>
        </a:xfrm>
        <a:prstGeom prst="rect">
          <a:avLst/>
        </a:prstGeom>
        <a:noFill/>
        <a:ln>
          <a:noFill/>
        </a:ln>
        <a:effectLst/>
      </xdr:spPr>
    </xdr:pic>
    <xdr:clientData/>
  </xdr:twoCellAnchor>
  <xdr:twoCellAnchor>
    <xdr:from>
      <xdr:col>9</xdr:col>
      <xdr:colOff>139700</xdr:colOff>
      <xdr:row>0</xdr:row>
      <xdr:rowOff>749300</xdr:rowOff>
    </xdr:from>
    <xdr:to>
      <xdr:col>12</xdr:col>
      <xdr:colOff>695325</xdr:colOff>
      <xdr:row>12</xdr:row>
      <xdr:rowOff>123825</xdr:rowOff>
    </xdr:to>
    <xdr:grpSp>
      <xdr:nvGrpSpPr>
        <xdr:cNvPr id="26" name="组合 25"/>
        <xdr:cNvGrpSpPr/>
      </xdr:nvGrpSpPr>
      <xdr:grpSpPr>
        <a:xfrm>
          <a:off x="14655800" y="749300"/>
          <a:ext cx="4436110" cy="5344160"/>
          <a:chOff x="15840139" y="196867"/>
          <a:chExt cx="6527610" cy="3538944"/>
        </a:xfrm>
      </xdr:grpSpPr>
      <xdr:pic>
        <xdr:nvPicPr>
          <xdr:cNvPr id="27" name="图片 26" descr="12.jpg"/>
          <xdr:cNvPicPr>
            <a:picLocks noChangeAspect="1"/>
          </xdr:cNvPicPr>
        </xdr:nvPicPr>
        <xdr:blipFill>
          <a:blip r:embed="rId6" cstate="print"/>
          <a:srcRect l="1170" t="2662" r="7608" b="6212"/>
          <a:stretch>
            <a:fillRect/>
          </a:stretch>
        </xdr:blipFill>
        <xdr:spPr>
          <a:xfrm>
            <a:off x="15840139" y="196867"/>
            <a:ext cx="6527610" cy="2974056"/>
          </a:xfrm>
          <a:prstGeom prst="rect">
            <a:avLst/>
          </a:prstGeom>
          <a:solidFill>
            <a:srgbClr val="FF0000"/>
          </a:solidFill>
        </xdr:spPr>
      </xdr:pic>
      <xdr:sp>
        <xdr:nvSpPr>
          <xdr:cNvPr id="28" name="TextBox 12"/>
          <xdr:cNvSpPr txBox="1"/>
        </xdr:nvSpPr>
        <xdr:spPr>
          <a:xfrm>
            <a:off x="17939104" y="594872"/>
            <a:ext cx="1178733" cy="4493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lIns="36000" rIns="0" bIns="0"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800" b="1"/>
              <a:t>木箱木架需要打合页</a:t>
            </a:r>
            <a:endParaRPr lang="zh-CN" altLang="en-US" sz="800" b="1"/>
          </a:p>
        </xdr:txBody>
      </xdr:sp>
      <xdr:sp>
        <xdr:nvSpPr>
          <xdr:cNvPr id="29" name="TextBox 11"/>
          <xdr:cNvSpPr txBox="1"/>
        </xdr:nvSpPr>
        <xdr:spPr>
          <a:xfrm>
            <a:off x="16017493" y="2084181"/>
            <a:ext cx="1430542" cy="6942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800" b="1"/>
              <a:t>货物长度大于</a:t>
            </a:r>
            <a:r>
              <a:rPr lang="en-US" altLang="zh-CN" sz="800" b="1"/>
              <a:t>150CM,</a:t>
            </a:r>
            <a:r>
              <a:rPr lang="zh-CN" altLang="en-US" sz="800" b="1"/>
              <a:t>需要侧边开叉车口</a:t>
            </a:r>
            <a:endParaRPr lang="zh-CN" altLang="en-US" sz="800" b="1"/>
          </a:p>
        </xdr:txBody>
      </xdr:sp>
      <xdr:sp>
        <xdr:nvSpPr>
          <xdr:cNvPr id="30" name="TextBox 24"/>
          <xdr:cNvSpPr txBox="1"/>
        </xdr:nvSpPr>
        <xdr:spPr>
          <a:xfrm>
            <a:off x="18064590" y="3264441"/>
            <a:ext cx="1097586" cy="4667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800" b="1"/>
              <a:t>卡脚需要包边</a:t>
            </a:r>
            <a:endParaRPr lang="zh-CN" altLang="en-US" sz="800" b="1"/>
          </a:p>
        </xdr:txBody>
      </xdr:sp>
      <xdr:sp>
        <xdr:nvSpPr>
          <xdr:cNvPr id="31" name="TextBox 15"/>
          <xdr:cNvSpPr txBox="1"/>
        </xdr:nvSpPr>
        <xdr:spPr>
          <a:xfrm>
            <a:off x="19492623" y="3195661"/>
            <a:ext cx="1463169" cy="540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800" b="1"/>
              <a:t>卡脚的 高度需要</a:t>
            </a:r>
            <a:r>
              <a:rPr lang="en-US" altLang="zh-CN" sz="800" b="1"/>
              <a:t>10CM,</a:t>
            </a:r>
            <a:r>
              <a:rPr lang="zh-CN" altLang="en-US" sz="800" b="1"/>
              <a:t>宽度需要</a:t>
            </a:r>
            <a:r>
              <a:rPr lang="en-US" altLang="zh-CN" sz="800" b="1"/>
              <a:t>6CM</a:t>
            </a:r>
            <a:endParaRPr lang="zh-CN" altLang="en-US" sz="800" b="1"/>
          </a:p>
        </xdr:txBody>
      </xdr:sp>
      <xdr:sp>
        <xdr:nvSpPr>
          <xdr:cNvPr id="32" name="TextBox 13"/>
          <xdr:cNvSpPr txBox="1"/>
        </xdr:nvSpPr>
        <xdr:spPr>
          <a:xfrm>
            <a:off x="20375208" y="279403"/>
            <a:ext cx="1079181" cy="7510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800" b="1"/>
              <a:t>打木箱木架的 夹板需要</a:t>
            </a:r>
            <a:r>
              <a:rPr lang="en-US" altLang="zh-CN" sz="800" b="1"/>
              <a:t>1.5CM</a:t>
            </a:r>
            <a:endParaRPr lang="zh-CN" altLang="en-US" sz="800" b="1"/>
          </a:p>
        </xdr:txBody>
      </xdr:sp>
    </xdr:grpSp>
    <xdr:clientData/>
  </xdr:twoCellAnchor>
  <xdr:twoCellAnchor>
    <xdr:from>
      <xdr:col>9</xdr:col>
      <xdr:colOff>228600</xdr:colOff>
      <xdr:row>17</xdr:row>
      <xdr:rowOff>1304925</xdr:rowOff>
    </xdr:from>
    <xdr:to>
      <xdr:col>11</xdr:col>
      <xdr:colOff>1014095</xdr:colOff>
      <xdr:row>24</xdr:row>
      <xdr:rowOff>145415</xdr:rowOff>
    </xdr:to>
    <xdr:grpSp>
      <xdr:nvGrpSpPr>
        <xdr:cNvPr id="33" name="组合 32"/>
        <xdr:cNvGrpSpPr/>
      </xdr:nvGrpSpPr>
      <xdr:grpSpPr>
        <a:xfrm>
          <a:off x="14744700" y="10119360"/>
          <a:ext cx="3372485" cy="3298825"/>
          <a:chOff x="16017800" y="4731531"/>
          <a:chExt cx="5027148" cy="3335056"/>
        </a:xfrm>
      </xdr:grpSpPr>
      <xdr:pic>
        <xdr:nvPicPr>
          <xdr:cNvPr id="34" name="图片 33" descr="13.jpg"/>
          <xdr:cNvPicPr>
            <a:picLocks noChangeAspect="1"/>
          </xdr:cNvPicPr>
        </xdr:nvPicPr>
        <xdr:blipFill>
          <a:blip r:embed="rId2" cstate="print"/>
          <a:srcRect l="5584" t="7092" r="12409" b="11525"/>
          <a:stretch>
            <a:fillRect/>
          </a:stretch>
        </xdr:blipFill>
        <xdr:spPr>
          <a:xfrm>
            <a:off x="16017800" y="4731531"/>
            <a:ext cx="5027148" cy="3335056"/>
          </a:xfrm>
          <a:prstGeom prst="rect">
            <a:avLst/>
          </a:prstGeom>
        </xdr:spPr>
      </xdr:pic>
      <xdr:sp>
        <xdr:nvSpPr>
          <xdr:cNvPr id="35" name="TextBox 22"/>
          <xdr:cNvSpPr txBox="1"/>
        </xdr:nvSpPr>
        <xdr:spPr>
          <a:xfrm>
            <a:off x="16017800" y="4895612"/>
            <a:ext cx="1102749" cy="8466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lIns="72000" tIns="0" rIns="0" bIns="0"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marL="0" marR="0" indent="0" defTabSz="914400" eaLnBrk="1" fontAlgn="auto" latinLnBrk="0" hangingPunct="1">
              <a:lnSpc>
                <a:spcPct val="100000"/>
              </a:lnSpc>
              <a:spcBef>
                <a:spcPts val="0"/>
              </a:spcBef>
              <a:spcAft>
                <a:spcPts val="0"/>
              </a:spcAft>
              <a:buClrTx/>
              <a:buSzTx/>
              <a:buFontTx/>
              <a:buNone/>
              <a:defRPr/>
            </a:pPr>
            <a:r>
              <a:rPr lang="zh-CN" altLang="zh-CN" sz="800" b="1">
                <a:solidFill>
                  <a:schemeClr val="dk1"/>
                </a:solidFill>
                <a:latin typeface="+mn-lt"/>
                <a:ea typeface="+mn-ea"/>
                <a:cs typeface="+mn-cs"/>
              </a:rPr>
              <a:t>货物长度大于</a:t>
            </a:r>
            <a:r>
              <a:rPr lang="en-US" altLang="zh-CN" sz="800" b="1">
                <a:solidFill>
                  <a:schemeClr val="dk1"/>
                </a:solidFill>
                <a:latin typeface="+mn-lt"/>
                <a:ea typeface="+mn-ea"/>
                <a:cs typeface="+mn-cs"/>
              </a:rPr>
              <a:t>150CM,</a:t>
            </a:r>
            <a:r>
              <a:rPr lang="zh-CN" altLang="zh-CN" sz="800" b="1">
                <a:solidFill>
                  <a:schemeClr val="dk1"/>
                </a:solidFill>
                <a:latin typeface="+mn-lt"/>
                <a:ea typeface="+mn-ea"/>
                <a:cs typeface="+mn-cs"/>
              </a:rPr>
              <a:t>需要侧边开叉车口</a:t>
            </a:r>
            <a:endParaRPr lang="zh-CN" altLang="zh-CN" sz="800"/>
          </a:p>
          <a:p>
            <a:endParaRPr lang="zh-CN" altLang="en-US" sz="800"/>
          </a:p>
        </xdr:txBody>
      </xdr:sp>
      <xdr:sp>
        <xdr:nvSpPr>
          <xdr:cNvPr id="36" name="TextBox 25"/>
          <xdr:cNvSpPr txBox="1"/>
        </xdr:nvSpPr>
        <xdr:spPr>
          <a:xfrm>
            <a:off x="16347299" y="6748983"/>
            <a:ext cx="1200680" cy="4749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zh-CN" sz="800" b="1">
                <a:solidFill>
                  <a:schemeClr val="dk1"/>
                </a:solidFill>
                <a:latin typeface="+mn-lt"/>
                <a:ea typeface="+mn-ea"/>
                <a:cs typeface="+mn-cs"/>
              </a:rPr>
              <a:t>卡脚需要包边</a:t>
            </a:r>
            <a:endParaRPr lang="zh-CN" altLang="zh-CN" sz="800" b="1"/>
          </a:p>
        </xdr:txBody>
      </xdr:sp>
      <xdr:sp>
        <xdr:nvSpPr>
          <xdr:cNvPr id="37" name="TextBox 26"/>
          <xdr:cNvSpPr txBox="1"/>
        </xdr:nvSpPr>
        <xdr:spPr>
          <a:xfrm>
            <a:off x="18916979" y="7089274"/>
            <a:ext cx="1382262" cy="7281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800" b="1"/>
              <a:t>打木箱木架的夹板需要</a:t>
            </a:r>
            <a:r>
              <a:rPr lang="en-US" altLang="zh-CN" sz="800" b="1"/>
              <a:t>1.5CM</a:t>
            </a:r>
            <a:endParaRPr lang="zh-CN" altLang="en-US" sz="800" b="1"/>
          </a:p>
        </xdr:txBody>
      </xdr:sp>
      <xdr:sp>
        <xdr:nvSpPr>
          <xdr:cNvPr id="38" name="TextBox 23"/>
          <xdr:cNvSpPr txBox="1"/>
        </xdr:nvSpPr>
        <xdr:spPr>
          <a:xfrm>
            <a:off x="18305928" y="4895612"/>
            <a:ext cx="955852" cy="6917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lIns="108000" tIns="36000" rIns="144000" bIns="0"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800" b="1"/>
              <a:t>木箱木架需要打合页</a:t>
            </a:r>
            <a:endParaRPr lang="zh-CN" altLang="en-US" sz="800" b="1"/>
          </a:p>
        </xdr:txBody>
      </xdr:sp>
    </xdr:grpSp>
    <xdr:clientData/>
  </xdr:twoCellAnchor>
  <xdr:twoCellAnchor editAs="oneCell">
    <xdr:from>
      <xdr:col>8</xdr:col>
      <xdr:colOff>2543175</xdr:colOff>
      <xdr:row>0</xdr:row>
      <xdr:rowOff>267335</xdr:rowOff>
    </xdr:from>
    <xdr:to>
      <xdr:col>9</xdr:col>
      <xdr:colOff>810260</xdr:colOff>
      <xdr:row>1</xdr:row>
      <xdr:rowOff>391795</xdr:rowOff>
    </xdr:to>
    <xdr:pic>
      <xdr:nvPicPr>
        <xdr:cNvPr id="39" name="图片 38" descr="32313630313238373b32313630313137333b65368d2757305740">
          <a:hlinkClick xmlns:r="http://schemas.openxmlformats.org/officeDocument/2006/relationships" r:id="rId3"/>
        </xdr:cNvPr>
        <xdr:cNvPicPr>
          <a:picLocks noChangeAspect="1"/>
        </xdr:cNvPicPr>
      </xdr:nvPicPr>
      <xdr:blipFill>
        <a:blip r:embed="rId4">
          <a:extLst>
            <a:ext uri="{96DAC541-7B7A-43D3-8B79-37D633B846F1}">
              <asvg:svgBlip xmlns:asvg="http://schemas.microsoft.com/office/drawing/2016/SVG/main" r:embed="rId5"/>
            </a:ext>
          </a:extLst>
        </a:blip>
        <a:stretch>
          <a:fillRect/>
        </a:stretch>
      </xdr:blipFill>
      <xdr:spPr>
        <a:xfrm>
          <a:off x="14516100" y="267335"/>
          <a:ext cx="810260" cy="886460"/>
        </a:xfrm>
        <a:prstGeom prst="rect">
          <a:avLst/>
        </a:prstGeom>
      </xdr:spPr>
    </xdr:pic>
    <xdr:clientData/>
  </xdr:twoCellAnchor>
  <xdr:twoCellAnchor editAs="oneCell">
    <xdr:from>
      <xdr:col>8</xdr:col>
      <xdr:colOff>2581275</xdr:colOff>
      <xdr:row>0</xdr:row>
      <xdr:rowOff>304800</xdr:rowOff>
    </xdr:from>
    <xdr:to>
      <xdr:col>9</xdr:col>
      <xdr:colOff>791210</xdr:colOff>
      <xdr:row>1</xdr:row>
      <xdr:rowOff>372110</xdr:rowOff>
    </xdr:to>
    <xdr:pic>
      <xdr:nvPicPr>
        <xdr:cNvPr id="40" name="图片 39" descr="32313630313238373b32313630313137333b65368d2757305740">
          <a:hlinkClick xmlns:r="http://schemas.openxmlformats.org/officeDocument/2006/relationships" r:id="rId3"/>
        </xdr:cNvPr>
        <xdr:cNvPicPr>
          <a:picLocks noChangeAspect="1"/>
        </xdr:cNvPicPr>
      </xdr:nvPicPr>
      <xdr:blipFill>
        <a:blip r:embed="rId4">
          <a:extLst>
            <a:ext uri="{96DAC541-7B7A-43D3-8B79-37D633B846F1}">
              <asvg:svgBlip xmlns:asvg="http://schemas.microsoft.com/office/drawing/2016/SVG/main" r:embed="rId5"/>
            </a:ext>
          </a:extLst>
        </a:blip>
        <a:stretch>
          <a:fillRect/>
        </a:stretch>
      </xdr:blipFill>
      <xdr:spPr>
        <a:xfrm>
          <a:off x="14516100" y="304800"/>
          <a:ext cx="791210" cy="829310"/>
        </a:xfrm>
        <a:prstGeom prst="rect">
          <a:avLst/>
        </a:prstGeom>
      </xdr:spPr>
    </xdr:pic>
    <xdr:clientData/>
  </xdr:twoCellAnchor>
  <xdr:twoCellAnchor>
    <xdr:from>
      <xdr:col>0</xdr:col>
      <xdr:colOff>11430</xdr:colOff>
      <xdr:row>2</xdr:row>
      <xdr:rowOff>142875</xdr:rowOff>
    </xdr:from>
    <xdr:to>
      <xdr:col>0</xdr:col>
      <xdr:colOff>1439545</xdr:colOff>
      <xdr:row>2</xdr:row>
      <xdr:rowOff>447675</xdr:rowOff>
    </xdr:to>
    <xdr:sp>
      <xdr:nvSpPr>
        <xdr:cNvPr id="43" name="文本框 42"/>
        <xdr:cNvSpPr txBox="1"/>
      </xdr:nvSpPr>
      <xdr:spPr>
        <a:xfrm>
          <a:off x="11430" y="1387475"/>
          <a:ext cx="1428115" cy="30480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800" b="1">
              <a:solidFill>
                <a:sysClr val="windowText" lastClr="000000"/>
              </a:solidFill>
              <a:sym typeface="+mn-ea"/>
            </a:rPr>
            <a:t>体积</a:t>
          </a:r>
          <a:r>
            <a:rPr lang="en-US" altLang="zh-CN" sz="1800" b="1">
              <a:solidFill>
                <a:sysClr val="windowText" lastClr="000000"/>
              </a:solidFill>
              <a:sym typeface="+mn-ea"/>
            </a:rPr>
            <a:t>/6000</a:t>
          </a:r>
          <a:endParaRPr lang="en-US" altLang="zh-CN" sz="1800" b="1">
            <a:solidFill>
              <a:sysClr val="windowText" lastClr="000000"/>
            </a:solidFill>
          </a:endParaRPr>
        </a:p>
        <a:p>
          <a:pPr algn="l"/>
          <a:endParaRPr lang="en-US" altLang="zh-CN" sz="1800" b="1">
            <a:solidFill>
              <a:sysClr val="windowText" lastClr="000000"/>
            </a:solidFill>
          </a:endParaRPr>
        </a:p>
      </xdr:txBody>
    </xdr:sp>
    <xdr:clientData/>
  </xdr:twoCellAnchor>
  <xdr:oneCellAnchor>
    <xdr:from>
      <xdr:col>8</xdr:col>
      <xdr:colOff>52705</xdr:colOff>
      <xdr:row>1</xdr:row>
      <xdr:rowOff>27940</xdr:rowOff>
    </xdr:from>
    <xdr:ext cx="2927350" cy="563880"/>
    <xdr:sp>
      <xdr:nvSpPr>
        <xdr:cNvPr id="4" name="矩形 3" descr="7b0a2020202022776f7264617274223a2022220a7d0a"/>
        <xdr:cNvSpPr/>
      </xdr:nvSpPr>
      <xdr:spPr>
        <a:xfrm>
          <a:off x="12088495" y="789940"/>
          <a:ext cx="292735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scene3d>
            <a:camera prst="orthographicFront"/>
            <a:lightRig rig="threePt" dir="t"/>
          </a:scene3d>
          <a:sp3d extrusionH="75235" contourW="3858" prstMaterial="plastic">
            <a:extrusionClr>
              <a:srgbClr val="4A53D2"/>
            </a:extrusionClr>
            <a:contourClr>
              <a:srgbClr val="FECFD5"/>
            </a:contourClr>
          </a:sp3d>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endParaRPr lang="en-US" altLang="zh-CN" sz="2800" b="1">
            <a:ln w="20256" cmpd="sng">
              <a:solidFill>
                <a:srgbClr val="FFED6F"/>
              </a:solidFill>
              <a:prstDash val="solid"/>
            </a:ln>
            <a:pattFill prst="pct90">
              <a:fgClr>
                <a:srgbClr val="FB6734"/>
              </a:fgClr>
              <a:bgClr>
                <a:srgbClr val="FB6734"/>
              </a:bgClr>
            </a:pattFill>
            <a:effectLst>
              <a:outerShdw dist="50800" dir="5400000" algn="t" rotWithShape="0">
                <a:srgbClr val="AA2020"/>
              </a:outerShdw>
            </a:effectLst>
            <a:latin typeface="汉仪铸字美心体简" panose="00020600040101010101" charset="-122"/>
            <a:ea typeface="汉仪铸字美心体简" panose="00020600040101010101" charset="-122"/>
            <a:cs typeface="汉仪铸字美心体简" panose="00020600040101010101" charset="-122"/>
          </a:endParaRPr>
        </a:p>
      </xdr:txBody>
    </xdr:sp>
    <xdr:clientData/>
  </xdr:one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0</xdr:row>
      <xdr:rowOff>9525</xdr:rowOff>
    </xdr:from>
    <xdr:to>
      <xdr:col>4</xdr:col>
      <xdr:colOff>5111750</xdr:colOff>
      <xdr:row>0</xdr:row>
      <xdr:rowOff>661035</xdr:rowOff>
    </xdr:to>
    <xdr:pic>
      <xdr:nvPicPr>
        <xdr:cNvPr id="2" name="Picture 1" descr="D:\Program Files\Tencent\QQEIM\Users\2355805828\Image\C2C\YZD}CFI_UKDMOO[H8$_0WR4.png"/>
        <xdr:cNvPicPr/>
      </xdr:nvPicPr>
      <xdr:blipFill>
        <a:blip r:embed="rId1"/>
        <a:srcRect/>
        <a:stretch>
          <a:fillRect/>
        </a:stretch>
      </xdr:blipFill>
      <xdr:spPr>
        <a:xfrm>
          <a:off x="9525" y="9525"/>
          <a:ext cx="9473565" cy="651510"/>
        </a:xfrm>
        <a:prstGeom prst="rect">
          <a:avLst/>
        </a:prstGeom>
        <a:noFill/>
        <a:ln>
          <a:noFill/>
        </a:ln>
        <a:effectLst/>
      </xdr:spPr>
    </xdr:pic>
    <xdr:clientData/>
  </xdr:twoCellAnchor>
  <xdr:twoCellAnchor editAs="oneCell">
    <xdr:from>
      <xdr:col>5</xdr:col>
      <xdr:colOff>9525</xdr:colOff>
      <xdr:row>0</xdr:row>
      <xdr:rowOff>629285</xdr:rowOff>
    </xdr:from>
    <xdr:to>
      <xdr:col>6</xdr:col>
      <xdr:colOff>181610</xdr:colOff>
      <xdr:row>2</xdr:row>
      <xdr:rowOff>379095</xdr:rowOff>
    </xdr:to>
    <xdr:pic>
      <xdr:nvPicPr>
        <xdr:cNvPr id="3" name="图片 2" descr="32313630313238373b32313630313137333b65368d2757305740">
          <a:hlinkClick xmlns:r="http://schemas.openxmlformats.org/officeDocument/2006/relationships" r:id="rId2"/>
        </xdr:cNvPr>
        <xdr:cNvPicPr>
          <a:picLocks noChangeAspect="1"/>
        </xdr:cNvPicPr>
      </xdr:nvPicPr>
      <xdr:blipFill>
        <a:blip r:embed="rId3">
          <a:extLst>
            <a:ext uri="{96DAC541-7B7A-43D3-8B79-37D633B846F1}">
              <asvg:svgBlip xmlns:asvg="http://schemas.microsoft.com/office/drawing/2016/SVG/main" r:embed="rId4"/>
            </a:ext>
          </a:extLst>
        </a:blip>
        <a:stretch>
          <a:fillRect/>
        </a:stretch>
      </xdr:blipFill>
      <xdr:spPr>
        <a:xfrm>
          <a:off x="9492615" y="629285"/>
          <a:ext cx="823595" cy="868045"/>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17</xdr:row>
      <xdr:rowOff>0</xdr:rowOff>
    </xdr:from>
    <xdr:to>
      <xdr:col>22</xdr:col>
      <xdr:colOff>304800</xdr:colOff>
      <xdr:row>17</xdr:row>
      <xdr:rowOff>303530</xdr:rowOff>
    </xdr:to>
    <xdr:sp>
      <xdr:nvSpPr>
        <xdr:cNvPr id="2" name="图片 2"/>
        <xdr:cNvSpPr>
          <a:spLocks noChangeAspect="1"/>
        </xdr:cNvSpPr>
      </xdr:nvSpPr>
      <xdr:spPr>
        <a:xfrm>
          <a:off x="27940000" y="6813550"/>
          <a:ext cx="304800" cy="303530"/>
        </a:xfrm>
        <a:prstGeom prst="rect">
          <a:avLst/>
        </a:prstGeom>
        <a:noFill/>
        <a:ln w="9525">
          <a:noFill/>
        </a:ln>
      </xdr:spPr>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13</xdr:col>
      <xdr:colOff>0</xdr:colOff>
      <xdr:row>1</xdr:row>
      <xdr:rowOff>0</xdr:rowOff>
    </xdr:to>
    <xdr:pic>
      <xdr:nvPicPr>
        <xdr:cNvPr id="2" name="Picture 1" descr="D:\Program Files\Tencent\QQEIM\Users\2355805828\Image\C2C\YZD}CFI_UKDMOO[H8$_0WR4.png"/>
        <xdr:cNvPicPr/>
      </xdr:nvPicPr>
      <xdr:blipFill>
        <a:blip r:embed="rId1"/>
        <a:srcRect/>
        <a:stretch>
          <a:fillRect/>
        </a:stretch>
      </xdr:blipFill>
      <xdr:spPr>
        <a:xfrm>
          <a:off x="0" y="0"/>
          <a:ext cx="8469630" cy="647700"/>
        </a:xfrm>
        <a:prstGeom prst="rect">
          <a:avLst/>
        </a:prstGeom>
        <a:noFill/>
        <a:ln>
          <a:noFill/>
        </a:ln>
        <a:effectLst/>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4</xdr:col>
      <xdr:colOff>9068</xdr:colOff>
      <xdr:row>0</xdr:row>
      <xdr:rowOff>747117</xdr:rowOff>
    </xdr:to>
    <xdr:pic>
      <xdr:nvPicPr>
        <xdr:cNvPr id="2" name="Picture 1" descr="D:\Program Files\Tencent\QQEIM\Users\2355805828\Image\C2C\YZD}CFI_UKDMOO[H8$_0WR4.png"/>
        <xdr:cNvPicPr/>
      </xdr:nvPicPr>
      <xdr:blipFill>
        <a:blip r:embed="rId1"/>
        <a:srcRect/>
        <a:stretch>
          <a:fillRect/>
        </a:stretch>
      </xdr:blipFill>
      <xdr:spPr>
        <a:xfrm>
          <a:off x="0" y="0"/>
          <a:ext cx="8385810" cy="746760"/>
        </a:xfrm>
        <a:prstGeom prst="rect">
          <a:avLst/>
        </a:prstGeom>
        <a:noFill/>
        <a:ln>
          <a:noFill/>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20225;&#19994;&#24494;&#20449;&#25991;&#20214;&#23384;&#20648;&#20301;&#32622;\WXWork\1688855209445595\Cache\File\2024-10\&#28145;&#22323;&#24066;&#24085;&#26031;&#22269;&#38469;&#29289;&#27969;&#20379;&#24212;&#38142;&#26377;&#38480;&#20844;&#21496;-B2B&#21333;&#31080;&#23548;&#20837;&#27169;&#29256;.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渠道"/>
      <sheetName val="亚马逊地址库"/>
    </sheetNames>
    <sheetDataSet>
      <sheetData sheetId="0"/>
      <sheetData sheetId="1"/>
      <sheetData sheetId="2">
        <row r="1">
          <cell r="A1" t="str">
            <v>PHX3</v>
          </cell>
          <cell r="B1" t="str">
            <v>PHX3</v>
          </cell>
          <cell r="C1" t="str">
            <v>Amazon.com Services, Inc.</v>
          </cell>
          <cell r="D1" t="str">
            <v>6835 West Buckeye Road</v>
          </cell>
          <cell r="E1" t="str">
            <v>Phoenix</v>
          </cell>
          <cell r="F1" t="str">
            <v>AZ</v>
          </cell>
          <cell r="G1" t="str">
            <v>85043</v>
          </cell>
          <cell r="H1" t="str">
            <v>US</v>
          </cell>
          <cell r="I1" t="str">
            <v>1234567890</v>
          </cell>
        </row>
        <row r="2">
          <cell r="A2" t="str">
            <v>PHX5</v>
          </cell>
          <cell r="B2" t="str">
            <v>PHX5</v>
          </cell>
          <cell r="C2" t="str">
            <v>Amazon.com Services, Inc.</v>
          </cell>
          <cell r="D2" t="str">
            <v>16920 W Commerce Drive</v>
          </cell>
          <cell r="E2" t="str">
            <v>Goodyear</v>
          </cell>
          <cell r="F2" t="str">
            <v>AZ</v>
          </cell>
          <cell r="G2" t="str">
            <v>85338</v>
          </cell>
          <cell r="H2" t="str">
            <v>US</v>
          </cell>
          <cell r="I2" t="str">
            <v>1234567890</v>
          </cell>
        </row>
        <row r="3">
          <cell r="A3" t="str">
            <v>PHX6</v>
          </cell>
          <cell r="B3" t="str">
            <v>PHX6</v>
          </cell>
          <cell r="C3" t="str">
            <v>Amazon.com Services, Inc.</v>
          </cell>
          <cell r="D3" t="str">
            <v>4750 West Mohave St</v>
          </cell>
          <cell r="E3" t="str">
            <v>Phoenix</v>
          </cell>
          <cell r="F3" t="str">
            <v>AZ</v>
          </cell>
          <cell r="G3" t="str">
            <v>85043</v>
          </cell>
          <cell r="H3" t="str">
            <v>US</v>
          </cell>
          <cell r="I3" t="str">
            <v>1234567890</v>
          </cell>
        </row>
        <row r="4">
          <cell r="A4" t="str">
            <v>PHX7</v>
          </cell>
          <cell r="B4" t="str">
            <v>PHX7</v>
          </cell>
          <cell r="C4" t="str">
            <v>Amazon.com Services, Inc.</v>
          </cell>
          <cell r="D4" t="str">
            <v>800 N 75th Ave</v>
          </cell>
          <cell r="E4" t="str">
            <v>Phoenix</v>
          </cell>
          <cell r="F4" t="str">
            <v>AZ</v>
          </cell>
          <cell r="G4" t="str">
            <v>85043</v>
          </cell>
          <cell r="H4" t="str">
            <v>US</v>
          </cell>
          <cell r="I4" t="str">
            <v>1234567890</v>
          </cell>
        </row>
        <row r="5">
          <cell r="A5" t="str">
            <v>ONT6</v>
          </cell>
          <cell r="B5" t="str">
            <v>ONT6</v>
          </cell>
          <cell r="C5" t="str">
            <v>Amazon.com Services, Inc.</v>
          </cell>
          <cell r="D5" t="str">
            <v>24208 San Michele Rd</v>
          </cell>
          <cell r="E5" t="str">
            <v>Moreno Valley</v>
          </cell>
          <cell r="F5" t="str">
            <v>CA</v>
          </cell>
          <cell r="G5" t="str">
            <v>92551-9561</v>
          </cell>
          <cell r="H5" t="str">
            <v>US</v>
          </cell>
          <cell r="I5" t="str">
            <v>1234567890</v>
          </cell>
        </row>
        <row r="6">
          <cell r="A6" t="str">
            <v>OAK4</v>
          </cell>
          <cell r="B6" t="str">
            <v>OAK4</v>
          </cell>
          <cell r="C6" t="str">
            <v>Amazon.com Services, Inc.</v>
          </cell>
          <cell r="D6" t="str">
            <v>1555 N. Chrisman Rd</v>
          </cell>
          <cell r="E6" t="str">
            <v>Tracy</v>
          </cell>
          <cell r="F6" t="str">
            <v>CA</v>
          </cell>
          <cell r="G6" t="str">
            <v>95376</v>
          </cell>
          <cell r="H6" t="str">
            <v>US</v>
          </cell>
          <cell r="I6" t="str">
            <v>1234567890</v>
          </cell>
        </row>
        <row r="7">
          <cell r="A7" t="str">
            <v>OAK3</v>
          </cell>
          <cell r="B7" t="str">
            <v>OAK3</v>
          </cell>
          <cell r="C7" t="str">
            <v>Amazon.com Services, Inc.</v>
          </cell>
          <cell r="D7" t="str">
            <v>255 Park Center Drive</v>
          </cell>
          <cell r="E7" t="str">
            <v>Patterson</v>
          </cell>
          <cell r="F7" t="str">
            <v>CA</v>
          </cell>
          <cell r="G7" t="str">
            <v>95363</v>
          </cell>
          <cell r="H7" t="str">
            <v>US</v>
          </cell>
          <cell r="I7" t="str">
            <v>1234567890</v>
          </cell>
        </row>
        <row r="8">
          <cell r="A8" t="str">
            <v>XUSD</v>
          </cell>
          <cell r="B8" t="str">
            <v>XUSD</v>
          </cell>
          <cell r="C8" t="str">
            <v>Amazon.com Services, Inc.</v>
          </cell>
          <cell r="D8" t="str">
            <v>1909 Zephyr St</v>
          </cell>
          <cell r="E8" t="str">
            <v>Stockton</v>
          </cell>
          <cell r="F8" t="str">
            <v>CA</v>
          </cell>
          <cell r="G8" t="str">
            <v>95206</v>
          </cell>
          <cell r="H8" t="str">
            <v>US</v>
          </cell>
          <cell r="I8" t="str">
            <v>1234567890</v>
          </cell>
        </row>
        <row r="9">
          <cell r="A9" t="str">
            <v>SNA4</v>
          </cell>
          <cell r="B9" t="str">
            <v>SNA4</v>
          </cell>
          <cell r="C9" t="str">
            <v>Amazon.com Services, Inc.</v>
          </cell>
          <cell r="D9" t="str">
            <v>2496 W Walnut Ave</v>
          </cell>
          <cell r="E9" t="str">
            <v>Rialto</v>
          </cell>
          <cell r="F9" t="str">
            <v>CA</v>
          </cell>
          <cell r="G9" t="str">
            <v>92376-3009</v>
          </cell>
          <cell r="H9" t="str">
            <v>US</v>
          </cell>
          <cell r="I9" t="str">
            <v>1234567890</v>
          </cell>
        </row>
        <row r="10">
          <cell r="A10" t="str">
            <v>SJC7</v>
          </cell>
          <cell r="B10" t="str">
            <v>SJC7</v>
          </cell>
          <cell r="C10" t="str">
            <v>Amazon.com Services, Inc.</v>
          </cell>
          <cell r="D10" t="str">
            <v>188 Mountain House Parkway</v>
          </cell>
          <cell r="E10" t="str">
            <v>Tracy</v>
          </cell>
          <cell r="F10" t="str">
            <v>CA</v>
          </cell>
          <cell r="G10" t="str">
            <v>95377</v>
          </cell>
          <cell r="H10" t="str">
            <v>US</v>
          </cell>
          <cell r="I10" t="str">
            <v>1234567890</v>
          </cell>
        </row>
        <row r="11">
          <cell r="A11" t="str">
            <v>SLC1</v>
          </cell>
          <cell r="B11" t="str">
            <v>SLC1</v>
          </cell>
          <cell r="C11" t="str">
            <v>Amazon.com Services, Inc.</v>
          </cell>
          <cell r="D11" t="str">
            <v>777 N 5600 W</v>
          </cell>
          <cell r="E11" t="str">
            <v>Salt Lake</v>
          </cell>
          <cell r="F11" t="str">
            <v>UT</v>
          </cell>
          <cell r="G11" t="str">
            <v>84116</v>
          </cell>
          <cell r="H11" t="str">
            <v>US</v>
          </cell>
          <cell r="I11" t="str">
            <v>1234567890</v>
          </cell>
        </row>
        <row r="12">
          <cell r="A12" t="str">
            <v>LGB6</v>
          </cell>
          <cell r="B12" t="str">
            <v>LGB6</v>
          </cell>
          <cell r="C12" t="str">
            <v>Amazon.com Services, Inc.</v>
          </cell>
          <cell r="D12" t="str">
            <v>20901 Krameria Ave</v>
          </cell>
          <cell r="E12" t="str">
            <v>Riverside</v>
          </cell>
          <cell r="F12" t="str">
            <v>CA</v>
          </cell>
          <cell r="G12" t="str">
            <v>92518-1513</v>
          </cell>
          <cell r="H12" t="str">
            <v>US</v>
          </cell>
          <cell r="I12" t="str">
            <v>1234567890</v>
          </cell>
        </row>
        <row r="13">
          <cell r="A13" t="str">
            <v>LGB4</v>
          </cell>
          <cell r="B13" t="str">
            <v>LGB4</v>
          </cell>
          <cell r="C13" t="str">
            <v>Amazon.com Services, Inc.</v>
          </cell>
          <cell r="D13" t="str">
            <v>27517 Pioneer Avenue</v>
          </cell>
          <cell r="E13" t="str">
            <v>Redlands</v>
          </cell>
          <cell r="F13" t="str">
            <v>CA</v>
          </cell>
          <cell r="G13" t="str">
            <v>92374</v>
          </cell>
          <cell r="H13" t="str">
            <v>US</v>
          </cell>
          <cell r="I13" t="str">
            <v>1234567890</v>
          </cell>
        </row>
        <row r="14">
          <cell r="A14" t="str">
            <v>LGB3</v>
          </cell>
          <cell r="B14" t="str">
            <v>LGB3</v>
          </cell>
          <cell r="C14" t="str">
            <v>Amazon.com Services, Inc.</v>
          </cell>
          <cell r="D14" t="str">
            <v>4950 Goodman Way</v>
          </cell>
          <cell r="E14" t="str">
            <v>Eastvale</v>
          </cell>
          <cell r="F14" t="str">
            <v>CA</v>
          </cell>
          <cell r="G14" t="str">
            <v>91752</v>
          </cell>
          <cell r="H14" t="str">
            <v>US</v>
          </cell>
          <cell r="I14" t="str">
            <v>1234567890</v>
          </cell>
        </row>
        <row r="15">
          <cell r="A15" t="str">
            <v>SMF1</v>
          </cell>
          <cell r="B15" t="str">
            <v>SMF1</v>
          </cell>
          <cell r="C15" t="str">
            <v>Amazon.com Services, Inc.</v>
          </cell>
          <cell r="D15" t="str">
            <v>4900 W Elkhorn Blvd</v>
          </cell>
          <cell r="E15" t="str">
            <v>Sacramento</v>
          </cell>
          <cell r="F15" t="str">
            <v>CA</v>
          </cell>
          <cell r="G15" t="str">
            <v>95835</v>
          </cell>
          <cell r="H15" t="str">
            <v>US</v>
          </cell>
          <cell r="I15" t="str">
            <v>1234567890</v>
          </cell>
        </row>
        <row r="16">
          <cell r="A16" t="str">
            <v>BDL1</v>
          </cell>
          <cell r="B16" t="str">
            <v>BDL1</v>
          </cell>
          <cell r="C16" t="str">
            <v>Amazon.com Services, Inc.</v>
          </cell>
          <cell r="D16" t="str">
            <v>801 Day Hill Rd.</v>
          </cell>
          <cell r="E16" t="str">
            <v>Windsor</v>
          </cell>
          <cell r="F16" t="str">
            <v>CT</v>
          </cell>
          <cell r="G16" t="str">
            <v>06095</v>
          </cell>
          <cell r="H16" t="str">
            <v>US</v>
          </cell>
          <cell r="I16" t="str">
            <v>1234567890</v>
          </cell>
        </row>
        <row r="17">
          <cell r="A17" t="str">
            <v>PHL1</v>
          </cell>
          <cell r="B17" t="str">
            <v>PHL1</v>
          </cell>
          <cell r="C17" t="str">
            <v>Amazon.com Services, Inc.</v>
          </cell>
          <cell r="D17" t="str">
            <v>1 Centerpoint Blvd.</v>
          </cell>
          <cell r="E17" t="str">
            <v>New Castle</v>
          </cell>
          <cell r="F17" t="str">
            <v>DE</v>
          </cell>
          <cell r="G17" t="str">
            <v>19720</v>
          </cell>
          <cell r="H17" t="str">
            <v>US</v>
          </cell>
          <cell r="I17" t="str">
            <v>1234567890</v>
          </cell>
        </row>
        <row r="18">
          <cell r="A18" t="str">
            <v>PHL3</v>
          </cell>
          <cell r="B18" t="str">
            <v>PHL3</v>
          </cell>
          <cell r="C18" t="str">
            <v>Amazon.com Services, Inc.</v>
          </cell>
          <cell r="D18" t="str">
            <v>1600 Johnson Way</v>
          </cell>
          <cell r="E18" t="str">
            <v>New Castle</v>
          </cell>
          <cell r="F18" t="str">
            <v>DE</v>
          </cell>
          <cell r="G18" t="str">
            <v>19720</v>
          </cell>
          <cell r="H18" t="str">
            <v>US</v>
          </cell>
          <cell r="I18" t="str">
            <v>1234567890</v>
          </cell>
        </row>
        <row r="19">
          <cell r="A19" t="str">
            <v>PHL7</v>
          </cell>
          <cell r="B19" t="str">
            <v>PHL7</v>
          </cell>
          <cell r="C19" t="str">
            <v>Amazon.com Services, Inc.</v>
          </cell>
          <cell r="D19" t="str">
            <v>560 Merrimac Ave</v>
          </cell>
          <cell r="E19" t="str">
            <v>Middletown</v>
          </cell>
          <cell r="F19" t="str">
            <v>DE</v>
          </cell>
          <cell r="G19" t="str">
            <v>19709</v>
          </cell>
          <cell r="H19" t="str">
            <v>US</v>
          </cell>
          <cell r="I19" t="str">
            <v>1234567890</v>
          </cell>
        </row>
        <row r="20">
          <cell r="A20" t="str">
            <v>PHL8</v>
          </cell>
          <cell r="B20" t="str">
            <v>PHL8</v>
          </cell>
          <cell r="C20" t="str">
            <v>Amazon.com Services, Inc.</v>
          </cell>
          <cell r="D20" t="str">
            <v>727 N Broad St</v>
          </cell>
          <cell r="E20" t="str">
            <v>Middletown</v>
          </cell>
          <cell r="F20" t="str">
            <v>DE</v>
          </cell>
          <cell r="G20" t="str">
            <v>19709</v>
          </cell>
          <cell r="H20" t="str">
            <v>US</v>
          </cell>
          <cell r="I20" t="str">
            <v>1234567890</v>
          </cell>
        </row>
        <row r="21">
          <cell r="A21" t="str">
            <v>TPA1</v>
          </cell>
          <cell r="B21" t="str">
            <v>TPA1</v>
          </cell>
          <cell r="C21" t="str">
            <v>Amazon.com Services, Inc.</v>
          </cell>
          <cell r="D21" t="str">
            <v>3350 Laurel Ridge Ave</v>
          </cell>
          <cell r="E21" t="str">
            <v>Ruskin</v>
          </cell>
          <cell r="F21" t="str">
            <v>FL</v>
          </cell>
          <cell r="G21" t="str">
            <v>33570</v>
          </cell>
          <cell r="H21" t="str">
            <v>US</v>
          </cell>
          <cell r="I21" t="str">
            <v>1234567890</v>
          </cell>
        </row>
        <row r="22">
          <cell r="A22" t="str">
            <v>TPA2</v>
          </cell>
          <cell r="B22" t="str">
            <v>TPA2</v>
          </cell>
          <cell r="C22" t="str">
            <v>Amazon.com Services, Inc.</v>
          </cell>
          <cell r="D22" t="str">
            <v>1760 County Line Rd</v>
          </cell>
          <cell r="E22" t="str">
            <v>Lakeland</v>
          </cell>
          <cell r="F22" t="str">
            <v>FL</v>
          </cell>
          <cell r="G22" t="str">
            <v>33811</v>
          </cell>
          <cell r="H22" t="str">
            <v>US</v>
          </cell>
          <cell r="I22" t="str">
            <v>1234567890</v>
          </cell>
        </row>
        <row r="23">
          <cell r="A23" t="str">
            <v>MIA1</v>
          </cell>
          <cell r="B23" t="str">
            <v>MIA1</v>
          </cell>
          <cell r="C23" t="str">
            <v>Amazon.com Services, Inc.</v>
          </cell>
          <cell r="D23" t="str">
            <v>1900 NW 132nd Place Doral</v>
          </cell>
          <cell r="E23" t="str">
            <v>Miami</v>
          </cell>
          <cell r="F23" t="str">
            <v>FL</v>
          </cell>
          <cell r="G23" t="str">
            <v>33182</v>
          </cell>
          <cell r="H23" t="str">
            <v>US</v>
          </cell>
          <cell r="I23" t="str">
            <v>1234567890</v>
          </cell>
        </row>
        <row r="24">
          <cell r="A24" t="str">
            <v>MIA1-33054</v>
          </cell>
          <cell r="B24" t="str">
            <v>MIA1-33054</v>
          </cell>
          <cell r="C24" t="str">
            <v>Amazon.com Services, Inc.</v>
          </cell>
          <cell r="D24" t="str">
            <v>14000 NW 37th Avenue</v>
          </cell>
          <cell r="E24" t="str">
            <v>Opa-Locka</v>
          </cell>
          <cell r="F24" t="str">
            <v>FL</v>
          </cell>
          <cell r="G24" t="str">
            <v>33054</v>
          </cell>
          <cell r="H24" t="str">
            <v>US</v>
          </cell>
          <cell r="I24" t="str">
            <v>1234567890</v>
          </cell>
        </row>
        <row r="25">
          <cell r="A25" t="str">
            <v>JAX3</v>
          </cell>
          <cell r="B25" t="str">
            <v>JAX3</v>
          </cell>
          <cell r="C25" t="str">
            <v>Amazon.com Services, Inc.</v>
          </cell>
          <cell r="D25" t="str">
            <v>13333 103rd Street</v>
          </cell>
          <cell r="E25" t="str">
            <v>Jacksonville</v>
          </cell>
          <cell r="F25" t="str">
            <v>FL</v>
          </cell>
          <cell r="G25" t="str">
            <v>32210-8686</v>
          </cell>
          <cell r="H25" t="str">
            <v>US</v>
          </cell>
          <cell r="I25" t="str">
            <v>1234567890</v>
          </cell>
        </row>
        <row r="26">
          <cell r="A26" t="str">
            <v>XUSE</v>
          </cell>
          <cell r="B26" t="str">
            <v>XUSE</v>
          </cell>
          <cell r="C26" t="str">
            <v>Amazon.com Services, Inc.</v>
          </cell>
          <cell r="D26" t="str">
            <v>5100 S Indianapolis Rd</v>
          </cell>
          <cell r="E26" t="str">
            <v>Whitestown</v>
          </cell>
          <cell r="F26" t="str">
            <v>IN</v>
          </cell>
          <cell r="G26" t="str">
            <v>46075</v>
          </cell>
          <cell r="H26" t="str">
            <v>US</v>
          </cell>
          <cell r="I26" t="str">
            <v>1234567890</v>
          </cell>
        </row>
        <row r="27">
          <cell r="A27" t="str">
            <v>IND1</v>
          </cell>
          <cell r="B27" t="str">
            <v>IND1</v>
          </cell>
          <cell r="C27" t="str">
            <v>Amazon.com Services, Inc.</v>
          </cell>
          <cell r="D27" t="str">
            <v>4255 Anson Blvd</v>
          </cell>
          <cell r="E27" t="str">
            <v>Whitestown</v>
          </cell>
          <cell r="F27" t="str">
            <v>IN</v>
          </cell>
          <cell r="G27" t="str">
            <v>46075</v>
          </cell>
          <cell r="H27" t="str">
            <v>US</v>
          </cell>
          <cell r="I27" t="str">
            <v>1234567890</v>
          </cell>
        </row>
        <row r="28">
          <cell r="A28" t="str">
            <v>IND2</v>
          </cell>
          <cell r="B28" t="str">
            <v>IND2</v>
          </cell>
          <cell r="C28" t="str">
            <v>Amazon.com Services, Inc.</v>
          </cell>
          <cell r="D28" t="str">
            <v>715 Airtech Pkwy</v>
          </cell>
          <cell r="E28" t="str">
            <v>Plainfield</v>
          </cell>
          <cell r="F28" t="str">
            <v>IN</v>
          </cell>
          <cell r="G28" t="str">
            <v>46168</v>
          </cell>
          <cell r="H28" t="str">
            <v>US</v>
          </cell>
          <cell r="I28" t="str">
            <v>1234567890</v>
          </cell>
        </row>
        <row r="29">
          <cell r="A29" t="str">
            <v>IND3</v>
          </cell>
          <cell r="B29" t="str">
            <v>IND3</v>
          </cell>
          <cell r="C29" t="str">
            <v>Amazon.com Services, Inc.</v>
          </cell>
          <cell r="D29" t="str">
            <v>715 Airtech Pkwy Suite 195</v>
          </cell>
          <cell r="E29" t="str">
            <v>Plainfield</v>
          </cell>
          <cell r="F29" t="str">
            <v>IN</v>
          </cell>
          <cell r="G29" t="str">
            <v>46168</v>
          </cell>
          <cell r="H29" t="str">
            <v>US</v>
          </cell>
          <cell r="I29" t="str">
            <v>1234567890</v>
          </cell>
        </row>
        <row r="30">
          <cell r="A30" t="str">
            <v>IND4</v>
          </cell>
          <cell r="B30" t="str">
            <v>IND4</v>
          </cell>
          <cell r="C30" t="str">
            <v>Amazon.com Services, Inc.</v>
          </cell>
          <cell r="D30" t="str">
            <v>710 South Girls School Rd</v>
          </cell>
          <cell r="E30" t="str">
            <v>Indianapolis</v>
          </cell>
          <cell r="F30" t="str">
            <v>IN</v>
          </cell>
          <cell r="G30" t="str">
            <v>46231</v>
          </cell>
          <cell r="H30" t="str">
            <v>US</v>
          </cell>
          <cell r="I30" t="str">
            <v>1234567890</v>
          </cell>
        </row>
        <row r="31">
          <cell r="A31" t="str">
            <v>IND5</v>
          </cell>
          <cell r="B31" t="str">
            <v>IND5</v>
          </cell>
          <cell r="C31" t="str">
            <v>Amazon.com Services, Inc.</v>
          </cell>
          <cell r="D31" t="str">
            <v>800 Perry Road</v>
          </cell>
          <cell r="E31" t="str">
            <v>Plainfield</v>
          </cell>
          <cell r="F31" t="str">
            <v>IN</v>
          </cell>
          <cell r="G31" t="str">
            <v>46168</v>
          </cell>
          <cell r="H31" t="str">
            <v>US</v>
          </cell>
          <cell r="I31" t="str">
            <v>1234567890</v>
          </cell>
        </row>
        <row r="32">
          <cell r="A32" t="str">
            <v>IND6</v>
          </cell>
          <cell r="B32" t="str">
            <v>IND6</v>
          </cell>
          <cell r="C32" t="str">
            <v>Amazon.com Services, Inc.</v>
          </cell>
          <cell r="D32" t="str">
            <v>1453 E 10th St</v>
          </cell>
          <cell r="E32" t="str">
            <v>Jeffersonville</v>
          </cell>
          <cell r="F32" t="str">
            <v>IN</v>
          </cell>
          <cell r="G32" t="str">
            <v>47130</v>
          </cell>
          <cell r="H32" t="str">
            <v>US</v>
          </cell>
          <cell r="I32" t="str">
            <v>1234567890</v>
          </cell>
        </row>
        <row r="33">
          <cell r="A33" t="str">
            <v>SDF8</v>
          </cell>
          <cell r="B33" t="str">
            <v>SDF8</v>
          </cell>
          <cell r="C33" t="str">
            <v>Amazon.com Services, Inc.</v>
          </cell>
          <cell r="D33" t="str">
            <v>900 Patrol Rd</v>
          </cell>
          <cell r="E33" t="str">
            <v>Jeffersonville</v>
          </cell>
          <cell r="F33" t="str">
            <v>IN</v>
          </cell>
          <cell r="G33" t="str">
            <v>47130</v>
          </cell>
          <cell r="H33" t="str">
            <v>US</v>
          </cell>
          <cell r="I33" t="str">
            <v>1234567890</v>
          </cell>
        </row>
        <row r="34">
          <cell r="A34" t="str">
            <v>TUL1</v>
          </cell>
          <cell r="B34" t="str">
            <v>TUL1</v>
          </cell>
          <cell r="C34" t="str">
            <v>Amazon.com Services, Inc.</v>
          </cell>
          <cell r="D34" t="str">
            <v>2654 North Highway 169</v>
          </cell>
          <cell r="E34" t="str">
            <v>Coffeyville</v>
          </cell>
          <cell r="F34" t="str">
            <v>KS</v>
          </cell>
          <cell r="G34" t="str">
            <v>67337</v>
          </cell>
          <cell r="H34" t="str">
            <v>US</v>
          </cell>
          <cell r="I34" t="str">
            <v>1234567890</v>
          </cell>
        </row>
        <row r="35">
          <cell r="A35" t="str">
            <v>MCI1</v>
          </cell>
          <cell r="B35" t="str">
            <v>MCI1</v>
          </cell>
          <cell r="C35" t="str">
            <v>Amazon.com Services, Inc.</v>
          </cell>
          <cell r="D35" t="str">
            <v>113th St &amp; Renner Blvd</v>
          </cell>
          <cell r="E35" t="str">
            <v>Lenexa</v>
          </cell>
          <cell r="F35" t="str">
            <v>KS</v>
          </cell>
          <cell r="G35" t="str">
            <v>66219</v>
          </cell>
          <cell r="H35" t="str">
            <v>US</v>
          </cell>
          <cell r="I35" t="str">
            <v>1234567890</v>
          </cell>
        </row>
        <row r="36">
          <cell r="A36" t="str">
            <v>MKC4</v>
          </cell>
          <cell r="B36" t="str">
            <v>MKC4</v>
          </cell>
          <cell r="C36" t="str">
            <v>Amazon.com Services, Inc.</v>
          </cell>
          <cell r="D36" t="str">
            <v>19645 Waverly Rd</v>
          </cell>
          <cell r="E36" t="str">
            <v>Edgerton</v>
          </cell>
          <cell r="F36" t="str">
            <v>KS</v>
          </cell>
          <cell r="G36" t="str">
            <v>66021-9588</v>
          </cell>
          <cell r="H36" t="str">
            <v>US</v>
          </cell>
          <cell r="I36" t="str">
            <v>1234567890</v>
          </cell>
        </row>
        <row r="37">
          <cell r="A37" t="str">
            <v>MKC6</v>
          </cell>
          <cell r="B37" t="str">
            <v>MKC6</v>
          </cell>
          <cell r="C37" t="str">
            <v>Amazon.com Services, Inc.</v>
          </cell>
          <cell r="D37" t="str">
            <v>6925 Riverview Avenue</v>
          </cell>
          <cell r="E37" t="str">
            <v>Kansas City</v>
          </cell>
          <cell r="F37" t="str">
            <v>KX</v>
          </cell>
          <cell r="G37" t="str">
            <v>66102</v>
          </cell>
          <cell r="H37" t="str">
            <v>US</v>
          </cell>
          <cell r="I37" t="str">
            <v>1234567890</v>
          </cell>
        </row>
        <row r="38">
          <cell r="A38" t="str">
            <v>LEX1</v>
          </cell>
          <cell r="B38" t="str">
            <v>LEX1</v>
          </cell>
          <cell r="C38" t="str">
            <v>Amazon.com Services, Inc.</v>
          </cell>
          <cell r="D38" t="str">
            <v>1850 Mercer RD</v>
          </cell>
          <cell r="E38" t="str">
            <v>Lexington</v>
          </cell>
          <cell r="F38" t="str">
            <v>KY</v>
          </cell>
          <cell r="G38" t="str">
            <v>40511</v>
          </cell>
          <cell r="H38" t="str">
            <v>US</v>
          </cell>
          <cell r="I38" t="str">
            <v>1234567890</v>
          </cell>
        </row>
        <row r="39">
          <cell r="A39" t="str">
            <v>LEX2</v>
          </cell>
          <cell r="B39" t="str">
            <v>LEX2</v>
          </cell>
          <cell r="C39" t="str">
            <v>Amazon.com Services, Inc.</v>
          </cell>
          <cell r="D39" t="str">
            <v>172 Trade St.</v>
          </cell>
          <cell r="E39" t="str">
            <v>Lexington</v>
          </cell>
          <cell r="F39" t="str">
            <v>KY</v>
          </cell>
          <cell r="G39" t="str">
            <v>40511</v>
          </cell>
          <cell r="H39" t="str">
            <v>US</v>
          </cell>
          <cell r="I39" t="str">
            <v>1234567890</v>
          </cell>
        </row>
        <row r="40">
          <cell r="A40" t="str">
            <v>SDF1</v>
          </cell>
          <cell r="B40" t="str">
            <v>SDF1</v>
          </cell>
          <cell r="C40" t="str">
            <v>Amazon.com Services, Inc.</v>
          </cell>
          <cell r="D40" t="str">
            <v>1050 South Columbia</v>
          </cell>
          <cell r="E40" t="str">
            <v>Campbellsville</v>
          </cell>
          <cell r="F40" t="str">
            <v>KY</v>
          </cell>
          <cell r="G40" t="str">
            <v>42718</v>
          </cell>
          <cell r="H40" t="str">
            <v>US</v>
          </cell>
          <cell r="I40" t="str">
            <v>1234567890</v>
          </cell>
        </row>
        <row r="41">
          <cell r="A41" t="str">
            <v>SDF2</v>
          </cell>
          <cell r="B41" t="str">
            <v>SDF2</v>
          </cell>
          <cell r="C41" t="str">
            <v>Amazon.com Services, Inc.</v>
          </cell>
          <cell r="D41" t="str">
            <v>4360 Robards Ln</v>
          </cell>
          <cell r="E41" t="str">
            <v>Watterson Park</v>
          </cell>
          <cell r="F41" t="str">
            <v>KY</v>
          </cell>
          <cell r="G41" t="str">
            <v>40218</v>
          </cell>
          <cell r="H41" t="str">
            <v>US</v>
          </cell>
          <cell r="I41" t="str">
            <v>1234567890</v>
          </cell>
        </row>
        <row r="42">
          <cell r="A42" t="str">
            <v>SDF4</v>
          </cell>
          <cell r="B42" t="str">
            <v>SDF4</v>
          </cell>
          <cell r="C42" t="str">
            <v>Amazon.com Services, Inc.</v>
          </cell>
          <cell r="D42" t="str">
            <v>376 Zappos.com Blvd</v>
          </cell>
          <cell r="E42" t="str">
            <v>Shepherdsville</v>
          </cell>
          <cell r="F42" t="str">
            <v>KY</v>
          </cell>
          <cell r="G42" t="str">
            <v>40165</v>
          </cell>
          <cell r="H42" t="str">
            <v>US</v>
          </cell>
          <cell r="I42" t="str">
            <v>1234567890</v>
          </cell>
        </row>
        <row r="43">
          <cell r="A43" t="str">
            <v>SDF6</v>
          </cell>
          <cell r="B43" t="str">
            <v>SDF6</v>
          </cell>
          <cell r="C43" t="str">
            <v>Amazon.com Services, Inc.</v>
          </cell>
          <cell r="D43" t="str">
            <v>271 Omega Pkwy</v>
          </cell>
          <cell r="E43" t="str">
            <v>Shepherdsville</v>
          </cell>
          <cell r="F43" t="str">
            <v>KY</v>
          </cell>
          <cell r="G43" t="str">
            <v>40165</v>
          </cell>
          <cell r="H43" t="str">
            <v>US</v>
          </cell>
          <cell r="I43" t="str">
            <v>1234567890</v>
          </cell>
        </row>
        <row r="44">
          <cell r="A44" t="str">
            <v>CVG1</v>
          </cell>
          <cell r="B44" t="str">
            <v>CVG1</v>
          </cell>
          <cell r="C44" t="str">
            <v>Amazon.com Services, Inc.</v>
          </cell>
          <cell r="D44" t="str">
            <v>1155 Worldwide Blvd</v>
          </cell>
          <cell r="E44" t="str">
            <v>Hebron</v>
          </cell>
          <cell r="F44" t="str">
            <v>KY</v>
          </cell>
          <cell r="G44" t="str">
            <v>41048</v>
          </cell>
          <cell r="H44" t="str">
            <v>US</v>
          </cell>
          <cell r="I44" t="str">
            <v>1234567890</v>
          </cell>
        </row>
        <row r="45">
          <cell r="A45" t="str">
            <v>CVG2</v>
          </cell>
          <cell r="B45" t="str">
            <v>CVG2</v>
          </cell>
          <cell r="C45" t="str">
            <v>Amazon.com Services, Inc.</v>
          </cell>
          <cell r="D45" t="str">
            <v>1600 Worldwide Blvd</v>
          </cell>
          <cell r="E45" t="str">
            <v>Hebron</v>
          </cell>
          <cell r="F45" t="str">
            <v>KY</v>
          </cell>
          <cell r="G45" t="str">
            <v>41048</v>
          </cell>
          <cell r="H45" t="str">
            <v>US</v>
          </cell>
          <cell r="I45" t="str">
            <v>1234567890</v>
          </cell>
        </row>
        <row r="46">
          <cell r="A46" t="str">
            <v>CVG3</v>
          </cell>
          <cell r="B46" t="str">
            <v>CVG3</v>
          </cell>
          <cell r="C46" t="str">
            <v>Amazon.com Services, Inc.</v>
          </cell>
          <cell r="D46" t="str">
            <v>3680 Langley Dr</v>
          </cell>
          <cell r="E46" t="str">
            <v>Hebron</v>
          </cell>
          <cell r="F46" t="str">
            <v>KY</v>
          </cell>
          <cell r="G46" t="str">
            <v>41048</v>
          </cell>
          <cell r="H46" t="str">
            <v>US</v>
          </cell>
          <cell r="I46" t="str">
            <v>1234567890</v>
          </cell>
        </row>
        <row r="47">
          <cell r="A47" t="str">
            <v>CVG5</v>
          </cell>
          <cell r="B47" t="str">
            <v>CVG5</v>
          </cell>
          <cell r="C47" t="str">
            <v>Amazon.com Services, Inc.</v>
          </cell>
          <cell r="D47" t="str">
            <v>2285 Litton Lane</v>
          </cell>
          <cell r="E47" t="str">
            <v>Hebron</v>
          </cell>
          <cell r="F47" t="str">
            <v>KY</v>
          </cell>
          <cell r="G47" t="str">
            <v>41048</v>
          </cell>
          <cell r="H47" t="str">
            <v>US</v>
          </cell>
          <cell r="I47" t="str">
            <v>1234567890</v>
          </cell>
        </row>
        <row r="48">
          <cell r="A48" t="str">
            <v>SDF7</v>
          </cell>
          <cell r="B48" t="str">
            <v>SDF7</v>
          </cell>
          <cell r="C48" t="str">
            <v>Amazon.com Services, Inc.</v>
          </cell>
          <cell r="D48" t="str">
            <v>300 Omicron Court</v>
          </cell>
          <cell r="E48" t="str">
            <v>Shepherdsville</v>
          </cell>
          <cell r="F48" t="str">
            <v>KY</v>
          </cell>
          <cell r="G48" t="str">
            <v>40165</v>
          </cell>
          <cell r="H48" t="str">
            <v>US</v>
          </cell>
          <cell r="I48" t="str">
            <v>1234567890</v>
          </cell>
        </row>
        <row r="49">
          <cell r="A49" t="str">
            <v>SDF9</v>
          </cell>
          <cell r="B49" t="str">
            <v>SDF9</v>
          </cell>
          <cell r="C49" t="str">
            <v>Amazon.com Services, Inc.</v>
          </cell>
          <cell r="D49" t="str">
            <v>100 W. Thomas P. Echols Lane</v>
          </cell>
          <cell r="E49" t="str">
            <v>Shepherdsville</v>
          </cell>
          <cell r="F49" t="str">
            <v>KY</v>
          </cell>
          <cell r="G49" t="str">
            <v>40165</v>
          </cell>
          <cell r="H49" t="str">
            <v>US</v>
          </cell>
          <cell r="I49" t="str">
            <v>1234567890</v>
          </cell>
        </row>
        <row r="50">
          <cell r="A50" t="str">
            <v>EWR4</v>
          </cell>
          <cell r="B50" t="str">
            <v>EWR4</v>
          </cell>
          <cell r="C50" t="str">
            <v>Amazon.com Services, Inc.</v>
          </cell>
          <cell r="D50" t="str">
            <v>50 New Canton Way</v>
          </cell>
          <cell r="E50" t="str">
            <v>Robbinsville</v>
          </cell>
          <cell r="F50" t="str">
            <v>NJ</v>
          </cell>
          <cell r="G50" t="str">
            <v>08691</v>
          </cell>
          <cell r="H50" t="str">
            <v>US</v>
          </cell>
          <cell r="I50" t="str">
            <v>1234567890</v>
          </cell>
        </row>
        <row r="51">
          <cell r="A51" t="str">
            <v>EWR5</v>
          </cell>
          <cell r="B51" t="str">
            <v>EWR5</v>
          </cell>
          <cell r="C51" t="str">
            <v>Amazon.com Services, Inc.</v>
          </cell>
          <cell r="D51" t="str">
            <v>301 BLAIR RD STE 100</v>
          </cell>
          <cell r="E51" t="str">
            <v>AVENEL</v>
          </cell>
          <cell r="F51" t="str">
            <v>NJ</v>
          </cell>
          <cell r="G51" t="str">
            <v>07001</v>
          </cell>
          <cell r="H51" t="str">
            <v>US</v>
          </cell>
          <cell r="I51" t="str">
            <v>1234567890</v>
          </cell>
        </row>
        <row r="52">
          <cell r="A52" t="str">
            <v>EWR7</v>
          </cell>
          <cell r="B52" t="str">
            <v>EWR7</v>
          </cell>
          <cell r="C52" t="str">
            <v>Amazon.com Services, Inc.</v>
          </cell>
          <cell r="D52" t="str">
            <v>301 BLAIR RD STE 100</v>
          </cell>
          <cell r="E52" t="str">
            <v>AVENEL</v>
          </cell>
          <cell r="F52" t="str">
            <v>NJ</v>
          </cell>
          <cell r="G52" t="str">
            <v>07001</v>
          </cell>
          <cell r="H52" t="str">
            <v>US</v>
          </cell>
          <cell r="I52" t="str">
            <v>1234567890</v>
          </cell>
        </row>
        <row r="53">
          <cell r="A53" t="str">
            <v>EWR9</v>
          </cell>
          <cell r="B53" t="str">
            <v>EWR9</v>
          </cell>
          <cell r="C53" t="str">
            <v>Amazon.com Services, Inc.</v>
          </cell>
          <cell r="D53" t="str">
            <v>8003 Industrial Parkway</v>
          </cell>
          <cell r="E53" t="str">
            <v>Carteret</v>
          </cell>
          <cell r="F53" t="str">
            <v>NJ</v>
          </cell>
          <cell r="G53" t="str">
            <v>07008</v>
          </cell>
          <cell r="H53" t="str">
            <v>US</v>
          </cell>
          <cell r="I53" t="str">
            <v>1234567890</v>
          </cell>
        </row>
        <row r="54">
          <cell r="A54" t="str">
            <v>ABE8-401</v>
          </cell>
          <cell r="B54" t="str">
            <v>ABE8-401</v>
          </cell>
          <cell r="C54" t="str">
            <v>Amazon.com Services, Inc.</v>
          </cell>
          <cell r="D54" t="str">
            <v>401 Independence Road</v>
          </cell>
          <cell r="E54" t="str">
            <v>Florence</v>
          </cell>
          <cell r="F54" t="str">
            <v>NJ</v>
          </cell>
          <cell r="G54" t="str">
            <v>08518</v>
          </cell>
          <cell r="H54" t="str">
            <v>US</v>
          </cell>
          <cell r="I54" t="str">
            <v>1234567890</v>
          </cell>
        </row>
        <row r="55">
          <cell r="A55" t="str">
            <v>ABE8-309</v>
          </cell>
          <cell r="B55" t="str">
            <v>ABE8-309</v>
          </cell>
          <cell r="C55" t="str">
            <v>Amazon.com Services, Inc.</v>
          </cell>
          <cell r="D55" t="str">
            <v>309 Cedar Lane</v>
          </cell>
          <cell r="E55" t="str">
            <v>Florence</v>
          </cell>
          <cell r="F55" t="str">
            <v>NJ</v>
          </cell>
          <cell r="G55" t="str">
            <v>08518-2802</v>
          </cell>
          <cell r="H55" t="str">
            <v>US</v>
          </cell>
          <cell r="I55" t="str">
            <v>1234567890</v>
          </cell>
        </row>
        <row r="56">
          <cell r="A56" t="str">
            <v>TEB3</v>
          </cell>
          <cell r="B56" t="str">
            <v>TEB3</v>
          </cell>
          <cell r="C56" t="str">
            <v>Amazon.com Services, Inc.</v>
          </cell>
          <cell r="D56" t="str">
            <v>2651 Oldmans Creek Rd</v>
          </cell>
          <cell r="E56" t="str">
            <v>Logan Township</v>
          </cell>
          <cell r="F56" t="str">
            <v>NJ</v>
          </cell>
          <cell r="G56" t="str">
            <v>08085</v>
          </cell>
          <cell r="H56" t="str">
            <v>US</v>
          </cell>
          <cell r="I56" t="str">
            <v>1234567890</v>
          </cell>
        </row>
        <row r="57">
          <cell r="A57" t="str">
            <v>TEB6</v>
          </cell>
          <cell r="B57" t="str">
            <v>TEB6</v>
          </cell>
          <cell r="C57" t="str">
            <v>Amazon.com Services, Inc.</v>
          </cell>
          <cell r="D57" t="str">
            <v>22 Hightstown Cranbury State Road</v>
          </cell>
          <cell r="E57" t="str">
            <v>Cranbury</v>
          </cell>
          <cell r="F57" t="str">
            <v>NJ</v>
          </cell>
          <cell r="G57" t="str">
            <v>08512</v>
          </cell>
          <cell r="H57" t="str">
            <v>US</v>
          </cell>
          <cell r="I57" t="str">
            <v>1234567890</v>
          </cell>
        </row>
        <row r="58">
          <cell r="A58" t="str">
            <v>RNO1</v>
          </cell>
          <cell r="B58" t="str">
            <v>RNO1</v>
          </cell>
          <cell r="C58" t="str">
            <v>Amazon.com Services, Inc.</v>
          </cell>
          <cell r="D58" t="str">
            <v>1600 East Newlands RD</v>
          </cell>
          <cell r="E58" t="str">
            <v>Fernley</v>
          </cell>
          <cell r="F58" t="str">
            <v>NV</v>
          </cell>
          <cell r="G58" t="str">
            <v>89408</v>
          </cell>
          <cell r="H58" t="str">
            <v>US</v>
          </cell>
          <cell r="I58" t="str">
            <v>1234567890</v>
          </cell>
        </row>
        <row r="59">
          <cell r="A59" t="str">
            <v>LAS2</v>
          </cell>
          <cell r="B59" t="str">
            <v>LAS2</v>
          </cell>
          <cell r="C59" t="str">
            <v>Amazon.com Services, Inc.</v>
          </cell>
          <cell r="D59" t="str">
            <v>3837 Bay Lake Trail, Suite 111 North</v>
          </cell>
          <cell r="E59" t="str">
            <v>Las Vegas</v>
          </cell>
          <cell r="F59" t="str">
            <v>NV</v>
          </cell>
          <cell r="G59" t="str">
            <v>89030</v>
          </cell>
          <cell r="H59" t="str">
            <v>US</v>
          </cell>
          <cell r="I59" t="str">
            <v>1234567890</v>
          </cell>
        </row>
        <row r="60">
          <cell r="A60" t="str">
            <v>RNO2</v>
          </cell>
          <cell r="B60" t="str">
            <v>RNO2</v>
          </cell>
          <cell r="C60" t="str">
            <v>Amazon.com Services, Inc.</v>
          </cell>
          <cell r="D60" t="str">
            <v>8000 North Virginia Street</v>
          </cell>
          <cell r="E60" t="str">
            <v>Reno</v>
          </cell>
          <cell r="F60" t="str">
            <v>NV</v>
          </cell>
          <cell r="G60" t="str">
            <v>85906</v>
          </cell>
          <cell r="H60" t="str">
            <v>US</v>
          </cell>
          <cell r="I60" t="str">
            <v>1234567890</v>
          </cell>
        </row>
        <row r="61">
          <cell r="A61" t="str">
            <v>RNO4</v>
          </cell>
          <cell r="B61" t="str">
            <v>RNO4</v>
          </cell>
          <cell r="C61" t="str">
            <v>Amazon.com Services, Inc.</v>
          </cell>
          <cell r="D61" t="str">
            <v>8000 North Virginia Street</v>
          </cell>
          <cell r="E61" t="str">
            <v>Reno</v>
          </cell>
          <cell r="F61" t="str">
            <v>NV</v>
          </cell>
          <cell r="G61" t="str">
            <v>89506</v>
          </cell>
          <cell r="H61" t="str">
            <v>US</v>
          </cell>
          <cell r="I61" t="str">
            <v>1234567890</v>
          </cell>
        </row>
        <row r="62">
          <cell r="A62" t="str">
            <v>BOS1</v>
          </cell>
          <cell r="B62" t="str">
            <v>BOS1</v>
          </cell>
          <cell r="C62" t="str">
            <v>Amazon.com Services, Inc.</v>
          </cell>
          <cell r="D62" t="str">
            <v>10 State St.</v>
          </cell>
          <cell r="E62" t="str">
            <v>Nashua</v>
          </cell>
          <cell r="F62" t="str">
            <v>NH</v>
          </cell>
          <cell r="G62" t="str">
            <v>03063</v>
          </cell>
          <cell r="H62" t="str">
            <v>US</v>
          </cell>
          <cell r="I62" t="str">
            <v>1234567890</v>
          </cell>
        </row>
        <row r="63">
          <cell r="A63" t="str">
            <v>BWI1</v>
          </cell>
          <cell r="B63" t="str">
            <v>BWI1</v>
          </cell>
          <cell r="C63" t="str">
            <v>Amazon.com Services, Inc.</v>
          </cell>
          <cell r="D63" t="str">
            <v>2010 Broening Highway</v>
          </cell>
          <cell r="E63" t="str">
            <v>Baltimore</v>
          </cell>
          <cell r="F63" t="str">
            <v>MD</v>
          </cell>
          <cell r="G63" t="str">
            <v>21224</v>
          </cell>
          <cell r="H63" t="str">
            <v>US</v>
          </cell>
          <cell r="I63" t="str">
            <v>1234567890</v>
          </cell>
        </row>
        <row r="64">
          <cell r="A64" t="str">
            <v>BWI2</v>
          </cell>
          <cell r="B64" t="str">
            <v>BWI2</v>
          </cell>
          <cell r="C64" t="str">
            <v>Amazon.com Services, Inc.</v>
          </cell>
          <cell r="D64" t="str">
            <v>5001 Holbird Ave</v>
          </cell>
          <cell r="E64" t="str">
            <v>Baltimore</v>
          </cell>
          <cell r="F64" t="str">
            <v>MD</v>
          </cell>
          <cell r="G64" t="str">
            <v>21224</v>
          </cell>
          <cell r="H64" t="str">
            <v>US</v>
          </cell>
          <cell r="I64" t="str">
            <v>1234567890</v>
          </cell>
        </row>
        <row r="65">
          <cell r="A65" t="str">
            <v>CMH2</v>
          </cell>
          <cell r="B65" t="str">
            <v>CMH2</v>
          </cell>
          <cell r="C65" t="str">
            <v>Amazon.com Services, Inc.</v>
          </cell>
          <cell r="D65" t="str">
            <v>6050 Gateway Court</v>
          </cell>
          <cell r="E65" t="str">
            <v>Groveport</v>
          </cell>
          <cell r="F65" t="str">
            <v>OH</v>
          </cell>
          <cell r="G65" t="str">
            <v>43125-9016</v>
          </cell>
          <cell r="H65" t="str">
            <v>US</v>
          </cell>
          <cell r="I65" t="str">
            <v>1234567890</v>
          </cell>
        </row>
        <row r="66">
          <cell r="A66" t="str">
            <v>CMH1</v>
          </cell>
          <cell r="B66" t="str">
            <v>CMH1</v>
          </cell>
          <cell r="C66" t="str">
            <v>Amazon.com Services, Inc.</v>
          </cell>
          <cell r="D66" t="str">
            <v>11903 National Road SW</v>
          </cell>
          <cell r="E66" t="str">
            <v>Etna</v>
          </cell>
          <cell r="F66" t="str">
            <v>OH</v>
          </cell>
          <cell r="G66" t="str">
            <v>43062-7793</v>
          </cell>
          <cell r="H66" t="str">
            <v>US</v>
          </cell>
          <cell r="I66" t="str">
            <v>1234567890</v>
          </cell>
        </row>
        <row r="67">
          <cell r="A67" t="str">
            <v>MDT1</v>
          </cell>
          <cell r="B67" t="str">
            <v>MDT1</v>
          </cell>
          <cell r="C67" t="str">
            <v>Amazon.com Services, Inc.</v>
          </cell>
          <cell r="D67" t="str">
            <v>2 Ames Drive</v>
          </cell>
          <cell r="E67" t="str">
            <v>Carlisle</v>
          </cell>
          <cell r="F67" t="str">
            <v>PA</v>
          </cell>
          <cell r="G67" t="str">
            <v>17015</v>
          </cell>
          <cell r="H67" t="str">
            <v>US</v>
          </cell>
          <cell r="I67" t="str">
            <v>1234567890</v>
          </cell>
        </row>
        <row r="68">
          <cell r="A68" t="str">
            <v>ABE2</v>
          </cell>
          <cell r="B68" t="str">
            <v>ABE2</v>
          </cell>
          <cell r="C68" t="str">
            <v>Amazon.com Services, Inc.</v>
          </cell>
          <cell r="D68" t="str">
            <v>705 Boulder Drive</v>
          </cell>
          <cell r="E68" t="str">
            <v>Breinigsville</v>
          </cell>
          <cell r="F68" t="str">
            <v>PA</v>
          </cell>
          <cell r="G68" t="str">
            <v>18031</v>
          </cell>
          <cell r="H68" t="str">
            <v>US</v>
          </cell>
          <cell r="I68" t="str">
            <v>1234567890</v>
          </cell>
        </row>
        <row r="69">
          <cell r="A69" t="str">
            <v>ABE3</v>
          </cell>
          <cell r="B69" t="str">
            <v>ABE3</v>
          </cell>
          <cell r="C69" t="str">
            <v>Amazon.com Services, Inc.</v>
          </cell>
          <cell r="D69" t="str">
            <v>650 Boulder Drive</v>
          </cell>
          <cell r="E69" t="str">
            <v>Breinigsville</v>
          </cell>
          <cell r="F69" t="str">
            <v>PA</v>
          </cell>
          <cell r="G69" t="str">
            <v>18031</v>
          </cell>
          <cell r="H69" t="str">
            <v>US</v>
          </cell>
          <cell r="I69" t="str">
            <v>1234567890</v>
          </cell>
        </row>
        <row r="70">
          <cell r="A70" t="str">
            <v>PHL4</v>
          </cell>
          <cell r="B70" t="str">
            <v>PHL4</v>
          </cell>
          <cell r="C70" t="str">
            <v>Amazon.com Services, Inc.</v>
          </cell>
          <cell r="D70" t="str">
            <v>21 Roadway Dr</v>
          </cell>
          <cell r="E70" t="str">
            <v>Carlisle</v>
          </cell>
          <cell r="F70" t="str">
            <v>PA</v>
          </cell>
          <cell r="G70" t="str">
            <v>17015</v>
          </cell>
          <cell r="H70" t="str">
            <v>US</v>
          </cell>
          <cell r="I70" t="str">
            <v>1234567890</v>
          </cell>
        </row>
        <row r="71">
          <cell r="A71" t="str">
            <v>PHL5</v>
          </cell>
          <cell r="B71" t="str">
            <v>PHL5</v>
          </cell>
          <cell r="C71" t="str">
            <v>Amazon.com Services, Inc.</v>
          </cell>
          <cell r="D71" t="str">
            <v>500 McCarthy Dr</v>
          </cell>
          <cell r="E71" t="str">
            <v>Lewisberry</v>
          </cell>
          <cell r="F71" t="str">
            <v>PA</v>
          </cell>
          <cell r="G71" t="str">
            <v>17339</v>
          </cell>
          <cell r="H71" t="str">
            <v>US</v>
          </cell>
          <cell r="I71" t="str">
            <v>1234567890</v>
          </cell>
        </row>
        <row r="72">
          <cell r="A72" t="str">
            <v>PHL6</v>
          </cell>
          <cell r="B72" t="str">
            <v>PHL6</v>
          </cell>
          <cell r="C72" t="str">
            <v>Amazon.com Services, Inc.</v>
          </cell>
          <cell r="D72" t="str">
            <v>675 Allen Rd</v>
          </cell>
          <cell r="E72" t="str">
            <v>Carlisle</v>
          </cell>
          <cell r="F72" t="str">
            <v>PA</v>
          </cell>
          <cell r="G72" t="str">
            <v>17015</v>
          </cell>
          <cell r="H72" t="str">
            <v>US</v>
          </cell>
          <cell r="I72" t="str">
            <v>1234567890</v>
          </cell>
        </row>
        <row r="73">
          <cell r="A73" t="str">
            <v>AVP1</v>
          </cell>
          <cell r="B73" t="str">
            <v>AVP1</v>
          </cell>
          <cell r="C73" t="str">
            <v>Amazon.com Services, Inc.</v>
          </cell>
          <cell r="D73" t="str">
            <v>550 Oak Ridge Road</v>
          </cell>
          <cell r="E73" t="str">
            <v>Hazle Township</v>
          </cell>
          <cell r="F73" t="str">
            <v>PA</v>
          </cell>
          <cell r="G73" t="str">
            <v>18202-9361</v>
          </cell>
          <cell r="H73" t="str">
            <v>US</v>
          </cell>
          <cell r="I73" t="str">
            <v>1234567890</v>
          </cell>
        </row>
        <row r="74">
          <cell r="A74" t="str">
            <v>AVP3</v>
          </cell>
          <cell r="B74" t="str">
            <v>AVP3</v>
          </cell>
          <cell r="C74" t="str">
            <v>Amazon.com Services, Inc.</v>
          </cell>
          <cell r="D74" t="str">
            <v>298 1ST AVE</v>
          </cell>
          <cell r="E74" t="str">
            <v>GOULDSBORO</v>
          </cell>
          <cell r="F74" t="str">
            <v>PA</v>
          </cell>
          <cell r="G74" t="str">
            <v>18424-9492</v>
          </cell>
          <cell r="H74" t="str">
            <v>US</v>
          </cell>
          <cell r="I74" t="str">
            <v>1234567890</v>
          </cell>
        </row>
        <row r="75">
          <cell r="A75" t="str">
            <v>ABE5</v>
          </cell>
          <cell r="B75" t="str">
            <v>ABE5</v>
          </cell>
          <cell r="C75" t="str">
            <v>Amazon.com Services, Inc.</v>
          </cell>
          <cell r="D75" t="str">
            <v>6455 Allentown Boulevard</v>
          </cell>
          <cell r="E75" t="str">
            <v>Harrisburg</v>
          </cell>
          <cell r="F75" t="str">
            <v>PA</v>
          </cell>
          <cell r="G75" t="str">
            <v>17112</v>
          </cell>
          <cell r="H75" t="str">
            <v>US</v>
          </cell>
          <cell r="I75" t="str">
            <v>1234567890</v>
          </cell>
        </row>
        <row r="76">
          <cell r="A76" t="str">
            <v>PIT1</v>
          </cell>
          <cell r="B76" t="str">
            <v>PIT1</v>
          </cell>
          <cell r="C76" t="str">
            <v>Amazon.com Services, Inc.</v>
          </cell>
          <cell r="D76" t="str">
            <v>2250 Roswell Drive</v>
          </cell>
          <cell r="E76" t="str">
            <v>Pittsburgh</v>
          </cell>
          <cell r="F76" t="str">
            <v>PA</v>
          </cell>
          <cell r="G76" t="str">
            <v>15205</v>
          </cell>
          <cell r="H76" t="str">
            <v>US</v>
          </cell>
          <cell r="I76" t="str">
            <v>1234567890</v>
          </cell>
        </row>
        <row r="77">
          <cell r="A77" t="str">
            <v>VUBA</v>
          </cell>
          <cell r="B77" t="str">
            <v>VUBA</v>
          </cell>
          <cell r="C77" t="str">
            <v>Amazon.com Services, Inc.</v>
          </cell>
          <cell r="D77" t="str">
            <v>1000 Keystone Industrial Park</v>
          </cell>
          <cell r="E77" t="str">
            <v>Scranton</v>
          </cell>
          <cell r="F77" t="str">
            <v>PA</v>
          </cell>
          <cell r="G77" t="str">
            <v>18512</v>
          </cell>
          <cell r="H77" t="str">
            <v>US</v>
          </cell>
          <cell r="I77" t="str">
            <v>1234567890</v>
          </cell>
        </row>
        <row r="78">
          <cell r="A78" t="str">
            <v>VUGA</v>
          </cell>
          <cell r="B78" t="str">
            <v>VUGA</v>
          </cell>
          <cell r="C78" t="str">
            <v>Amazon.com Services, Inc.</v>
          </cell>
          <cell r="D78" t="str">
            <v>508 Delaware Avenue West</v>
          </cell>
          <cell r="E78" t="str">
            <v>Pittston</v>
          </cell>
          <cell r="F78" t="str">
            <v>PA</v>
          </cell>
          <cell r="G78" t="str">
            <v>18643</v>
          </cell>
          <cell r="H78" t="str">
            <v>US</v>
          </cell>
          <cell r="I78" t="str">
            <v>1234567890</v>
          </cell>
        </row>
        <row r="79">
          <cell r="A79" t="str">
            <v>XUSC</v>
          </cell>
          <cell r="B79" t="str">
            <v>XUSC</v>
          </cell>
          <cell r="C79" t="str">
            <v>Amazon.com Services, Inc.</v>
          </cell>
          <cell r="D79" t="str">
            <v>40 Logistics Drive</v>
          </cell>
          <cell r="E79" t="str">
            <v>Carlisle</v>
          </cell>
          <cell r="F79" t="str">
            <v>PA</v>
          </cell>
          <cell r="G79" t="str">
            <v>17013</v>
          </cell>
          <cell r="H79" t="str">
            <v>US</v>
          </cell>
          <cell r="I79" t="str">
            <v>1234567890</v>
          </cell>
        </row>
        <row r="80">
          <cell r="A80" t="str">
            <v>CAE1</v>
          </cell>
          <cell r="B80" t="str">
            <v>CAE1</v>
          </cell>
          <cell r="C80" t="str">
            <v>Amazon.com Services, Inc.</v>
          </cell>
          <cell r="D80" t="str">
            <v>4400 12 Street Extension</v>
          </cell>
          <cell r="E80" t="str">
            <v>West Columbia</v>
          </cell>
          <cell r="F80" t="str">
            <v>SC</v>
          </cell>
          <cell r="G80" t="str">
            <v>29172</v>
          </cell>
          <cell r="H80" t="str">
            <v>US</v>
          </cell>
          <cell r="I80" t="str">
            <v>1234567890</v>
          </cell>
        </row>
        <row r="81">
          <cell r="A81" t="str">
            <v>GSP1</v>
          </cell>
          <cell r="B81" t="str">
            <v>GSP1</v>
          </cell>
          <cell r="C81" t="str">
            <v>Amazon.com Services, Inc.</v>
          </cell>
          <cell r="D81" t="str">
            <v>402 John Dodd Rd</v>
          </cell>
          <cell r="E81" t="str">
            <v>Spartanburg</v>
          </cell>
          <cell r="F81" t="str">
            <v>SC</v>
          </cell>
          <cell r="G81" t="str">
            <v>29303</v>
          </cell>
          <cell r="H81" t="str">
            <v>US</v>
          </cell>
          <cell r="I81" t="str">
            <v>1234567890</v>
          </cell>
        </row>
        <row r="82">
          <cell r="A82" t="str">
            <v>CHA1</v>
          </cell>
          <cell r="B82" t="str">
            <v>CHA1</v>
          </cell>
          <cell r="C82" t="str">
            <v>Amazon.com Services, Inc.</v>
          </cell>
          <cell r="D82" t="str">
            <v>7200 Discovery Drive</v>
          </cell>
          <cell r="E82" t="str">
            <v>Chattanooga</v>
          </cell>
          <cell r="F82" t="str">
            <v>TN</v>
          </cell>
          <cell r="G82" t="str">
            <v>37416</v>
          </cell>
          <cell r="H82" t="str">
            <v>US</v>
          </cell>
          <cell r="I82" t="str">
            <v>1234567890</v>
          </cell>
        </row>
        <row r="83">
          <cell r="A83" t="str">
            <v>CHA2</v>
          </cell>
          <cell r="B83" t="str">
            <v>CHA2</v>
          </cell>
          <cell r="C83" t="str">
            <v>Amazon.com Services, Inc.</v>
          </cell>
          <cell r="D83" t="str">
            <v>225 Infinity Dr NW</v>
          </cell>
          <cell r="E83" t="str">
            <v>Charleston</v>
          </cell>
          <cell r="F83" t="str">
            <v>TN</v>
          </cell>
          <cell r="G83" t="str">
            <v>37310</v>
          </cell>
          <cell r="H83" t="str">
            <v>US</v>
          </cell>
          <cell r="I83" t="str">
            <v>1234567890</v>
          </cell>
        </row>
        <row r="84">
          <cell r="A84" t="str">
            <v>BNA1</v>
          </cell>
          <cell r="B84" t="str">
            <v>BNA1</v>
          </cell>
          <cell r="C84" t="str">
            <v>Amazon.com Services, Inc.</v>
          </cell>
          <cell r="D84" t="str">
            <v>14840 Central Pike Suite 190</v>
          </cell>
          <cell r="E84" t="str">
            <v>Lebanon</v>
          </cell>
          <cell r="F84" t="str">
            <v>TN</v>
          </cell>
          <cell r="G84" t="str">
            <v>37090</v>
          </cell>
          <cell r="H84" t="str">
            <v>US</v>
          </cell>
          <cell r="I84" t="str">
            <v>1234567890</v>
          </cell>
        </row>
        <row r="85">
          <cell r="A85" t="str">
            <v>BNA2</v>
          </cell>
          <cell r="B85" t="str">
            <v>BNA2</v>
          </cell>
          <cell r="C85" t="str">
            <v>Amazon.com Services, Inc.</v>
          </cell>
          <cell r="D85" t="str">
            <v>500 Duke DR</v>
          </cell>
          <cell r="E85" t="str">
            <v>LEBANON</v>
          </cell>
          <cell r="F85" t="str">
            <v>TN</v>
          </cell>
          <cell r="G85" t="str">
            <v>37090</v>
          </cell>
          <cell r="H85" t="str">
            <v>US</v>
          </cell>
          <cell r="I85" t="str">
            <v>1234567890</v>
          </cell>
        </row>
        <row r="86">
          <cell r="A86" t="str">
            <v>BNA3</v>
          </cell>
          <cell r="B86" t="str">
            <v>BNA3</v>
          </cell>
          <cell r="C86" t="str">
            <v>Amazon.com Services, Inc.</v>
          </cell>
          <cell r="D86" t="str">
            <v>2020 Joe B Jackson Pkwy</v>
          </cell>
          <cell r="E86" t="str">
            <v>Murfreesboro</v>
          </cell>
          <cell r="F86" t="str">
            <v>TN</v>
          </cell>
          <cell r="G86" t="str">
            <v>37127</v>
          </cell>
          <cell r="H86" t="str">
            <v>US</v>
          </cell>
          <cell r="I86" t="str">
            <v>1234567890</v>
          </cell>
        </row>
        <row r="87">
          <cell r="A87" t="str">
            <v>BNA4</v>
          </cell>
          <cell r="B87" t="str">
            <v>BNA4</v>
          </cell>
          <cell r="C87" t="str">
            <v>Amazon.com Services, Inc.</v>
          </cell>
          <cell r="D87" t="str">
            <v>50 airways Blvd</v>
          </cell>
          <cell r="E87" t="str">
            <v>Nashville</v>
          </cell>
          <cell r="F87" t="str">
            <v>TN</v>
          </cell>
          <cell r="G87" t="str">
            <v>37217</v>
          </cell>
          <cell r="H87" t="str">
            <v>US</v>
          </cell>
          <cell r="I87" t="str">
            <v>1234567890</v>
          </cell>
        </row>
        <row r="88">
          <cell r="A88" t="str">
            <v>DFW6</v>
          </cell>
          <cell r="B88" t="str">
            <v>DFW6</v>
          </cell>
          <cell r="C88" t="str">
            <v>Amazon.com Services, Inc.</v>
          </cell>
          <cell r="D88" t="str">
            <v>940 W Bethel Road</v>
          </cell>
          <cell r="E88" t="str">
            <v>Coppell</v>
          </cell>
          <cell r="F88" t="str">
            <v>TX</v>
          </cell>
          <cell r="G88" t="str">
            <v>75019</v>
          </cell>
          <cell r="H88" t="str">
            <v>US</v>
          </cell>
          <cell r="I88" t="str">
            <v>1234567890</v>
          </cell>
        </row>
        <row r="89">
          <cell r="A89" t="str">
            <v>SAT1</v>
          </cell>
          <cell r="B89" t="str">
            <v>SAT1</v>
          </cell>
          <cell r="C89" t="str">
            <v>Amazon.com Services, Inc.</v>
          </cell>
          <cell r="D89" t="str">
            <v>6000 Enterprise Avenue</v>
          </cell>
          <cell r="E89" t="str">
            <v>Schertz</v>
          </cell>
          <cell r="F89" t="str">
            <v>TX</v>
          </cell>
          <cell r="G89" t="str">
            <v>78154-1461</v>
          </cell>
          <cell r="H89" t="str">
            <v>US</v>
          </cell>
          <cell r="I89" t="str">
            <v>1234567890</v>
          </cell>
        </row>
        <row r="90">
          <cell r="A90" t="str">
            <v>DFW7</v>
          </cell>
          <cell r="B90" t="str">
            <v>DFW7</v>
          </cell>
          <cell r="C90" t="str">
            <v>Amazon.com Services, Inc.</v>
          </cell>
          <cell r="D90" t="str">
            <v>700 Westport Parkway</v>
          </cell>
          <cell r="E90" t="str">
            <v>Haslet</v>
          </cell>
          <cell r="F90" t="str">
            <v>TX</v>
          </cell>
          <cell r="G90" t="str">
            <v>76177</v>
          </cell>
          <cell r="H90" t="str">
            <v>US</v>
          </cell>
          <cell r="I90" t="str">
            <v>1234567890</v>
          </cell>
        </row>
        <row r="91">
          <cell r="A91" t="str">
            <v>DFW8</v>
          </cell>
          <cell r="B91" t="str">
            <v>DFW8</v>
          </cell>
          <cell r="C91" t="str">
            <v>Amazon.com Services, Inc.</v>
          </cell>
          <cell r="D91" t="str">
            <v>2700 Regent Blvd</v>
          </cell>
          <cell r="E91" t="str">
            <v>DFW Airport</v>
          </cell>
          <cell r="F91" t="str">
            <v>TX</v>
          </cell>
          <cell r="G91" t="str">
            <v>75261</v>
          </cell>
          <cell r="H91" t="str">
            <v>US</v>
          </cell>
          <cell r="I91" t="str">
            <v>1234567890</v>
          </cell>
        </row>
        <row r="92">
          <cell r="A92" t="str">
            <v>HOU1</v>
          </cell>
          <cell r="B92" t="str">
            <v>HOU1</v>
          </cell>
          <cell r="C92" t="str">
            <v>Amazon.com Services, Inc.</v>
          </cell>
          <cell r="D92" t="str">
            <v>8120 Humble Westfield Rd</v>
          </cell>
          <cell r="E92" t="str">
            <v>Humble</v>
          </cell>
          <cell r="F92" t="str">
            <v>TX</v>
          </cell>
          <cell r="G92" t="str">
            <v>77338</v>
          </cell>
          <cell r="H92" t="str">
            <v>US</v>
          </cell>
          <cell r="I92" t="str">
            <v>1234567890</v>
          </cell>
        </row>
        <row r="93">
          <cell r="A93" t="str">
            <v>HOU2</v>
          </cell>
          <cell r="B93" t="str">
            <v>HOU2</v>
          </cell>
          <cell r="C93" t="str">
            <v>Amazon.com Services, Inc.</v>
          </cell>
          <cell r="D93" t="str">
            <v>10550 Ella Blvd.</v>
          </cell>
          <cell r="E93" t="str">
            <v>Houston</v>
          </cell>
          <cell r="F93" t="str">
            <v>TX</v>
          </cell>
          <cell r="G93" t="str">
            <v>77038-2324</v>
          </cell>
          <cell r="H93" t="str">
            <v>US</v>
          </cell>
          <cell r="I93" t="str">
            <v>1234567890</v>
          </cell>
        </row>
        <row r="94">
          <cell r="A94" t="str">
            <v>HOU3</v>
          </cell>
          <cell r="B94" t="str">
            <v>HOU3</v>
          </cell>
          <cell r="C94" t="str">
            <v>Amazon.com Services, Inc.</v>
          </cell>
          <cell r="D94" t="str">
            <v>31555 Highway 90 E</v>
          </cell>
          <cell r="E94" t="str">
            <v>Brookshire</v>
          </cell>
          <cell r="F94" t="str">
            <v>TX</v>
          </cell>
          <cell r="G94" t="str">
            <v>77423</v>
          </cell>
          <cell r="H94" t="str">
            <v>US</v>
          </cell>
          <cell r="I94" t="str">
            <v>1234567890</v>
          </cell>
        </row>
        <row r="95">
          <cell r="A95" t="str">
            <v>XUSB</v>
          </cell>
          <cell r="B95" t="str">
            <v>XUSB</v>
          </cell>
          <cell r="C95" t="str">
            <v>Amazon.com Services, Inc.</v>
          </cell>
          <cell r="D95" t="str">
            <v>14900 Frye Rd.</v>
          </cell>
          <cell r="E95" t="str">
            <v>Fort Worth</v>
          </cell>
          <cell r="F95" t="str">
            <v>TX</v>
          </cell>
          <cell r="G95" t="str">
            <v>76155</v>
          </cell>
          <cell r="H95" t="str">
            <v>US</v>
          </cell>
          <cell r="I95" t="str">
            <v>1234567890</v>
          </cell>
        </row>
        <row r="96">
          <cell r="A96" t="str">
            <v>FTW2</v>
          </cell>
          <cell r="B96" t="str">
            <v>FTW2</v>
          </cell>
          <cell r="C96" t="str">
            <v>Amazon.com Services, Inc.</v>
          </cell>
          <cell r="D96" t="str">
            <v>2701 West Bethel Road</v>
          </cell>
          <cell r="E96" t="str">
            <v>Coppell</v>
          </cell>
          <cell r="F96" t="str">
            <v>TX</v>
          </cell>
          <cell r="G96" t="str">
            <v>75019</v>
          </cell>
          <cell r="H96" t="str">
            <v>US</v>
          </cell>
          <cell r="I96" t="str">
            <v>1234567890</v>
          </cell>
        </row>
        <row r="97">
          <cell r="A97" t="str">
            <v>RIC1</v>
          </cell>
          <cell r="B97" t="str">
            <v>RIC1</v>
          </cell>
          <cell r="C97" t="str">
            <v>Amazon.com Services, Inc.</v>
          </cell>
          <cell r="D97" t="str">
            <v>5000 Commerce Way</v>
          </cell>
          <cell r="E97" t="str">
            <v>Petersburg</v>
          </cell>
          <cell r="F97" t="str">
            <v>VA</v>
          </cell>
          <cell r="G97" t="str">
            <v>23803</v>
          </cell>
          <cell r="H97" t="str">
            <v>US</v>
          </cell>
          <cell r="I97" t="str">
            <v>1234567890</v>
          </cell>
        </row>
        <row r="98">
          <cell r="A98" t="str">
            <v>RIC2</v>
          </cell>
          <cell r="B98" t="str">
            <v>RIC2</v>
          </cell>
          <cell r="C98" t="str">
            <v>Amazon.com Services, Inc.</v>
          </cell>
          <cell r="D98" t="str">
            <v>1901 Meadowville Technology Pkwy</v>
          </cell>
          <cell r="E98" t="str">
            <v>Chester</v>
          </cell>
          <cell r="F98" t="str">
            <v>VA</v>
          </cell>
          <cell r="G98" t="str">
            <v>23836</v>
          </cell>
          <cell r="H98" t="str">
            <v>US</v>
          </cell>
          <cell r="I98" t="str">
            <v>1234567890</v>
          </cell>
        </row>
        <row r="99">
          <cell r="A99" t="str">
            <v>RIC3</v>
          </cell>
          <cell r="B99" t="str">
            <v>RIC3</v>
          </cell>
          <cell r="C99" t="str">
            <v>Amazon.com Services, Inc.</v>
          </cell>
          <cell r="D99" t="str">
            <v>4949 Commerce Rd RICHMOND</v>
          </cell>
          <cell r="E99" t="str">
            <v>Chesterfield</v>
          </cell>
          <cell r="F99" t="str">
            <v>VA</v>
          </cell>
          <cell r="G99" t="str">
            <v>23234</v>
          </cell>
          <cell r="H99" t="str">
            <v>US</v>
          </cell>
          <cell r="I99" t="str">
            <v>1234567890</v>
          </cell>
        </row>
        <row r="100">
          <cell r="A100" t="str">
            <v>BFI1</v>
          </cell>
          <cell r="B100" t="str">
            <v>BFI1</v>
          </cell>
          <cell r="C100" t="str">
            <v>Amazon.com Services, Inc.</v>
          </cell>
          <cell r="D100" t="str">
            <v>1800 140th Avenue E</v>
          </cell>
          <cell r="E100" t="str">
            <v>Sumner</v>
          </cell>
          <cell r="F100" t="str">
            <v>WA</v>
          </cell>
          <cell r="G100" t="str">
            <v>98390</v>
          </cell>
          <cell r="H100" t="str">
            <v>US</v>
          </cell>
          <cell r="I100" t="str">
            <v>1234567890</v>
          </cell>
        </row>
        <row r="101">
          <cell r="A101" t="str">
            <v>BFI3</v>
          </cell>
          <cell r="B101" t="str">
            <v>BFI3</v>
          </cell>
          <cell r="C101" t="str">
            <v>Amazon.com Services, Inc.</v>
          </cell>
          <cell r="D101" t="str">
            <v>2700 Center Drive</v>
          </cell>
          <cell r="E101" t="str">
            <v>Dupont</v>
          </cell>
          <cell r="F101" t="str">
            <v>WA</v>
          </cell>
          <cell r="G101" t="str">
            <v>98327-9607</v>
          </cell>
          <cell r="H101" t="str">
            <v>US</v>
          </cell>
          <cell r="I101" t="str">
            <v>1234567890</v>
          </cell>
        </row>
        <row r="102">
          <cell r="A102" t="str">
            <v>BFI4</v>
          </cell>
          <cell r="B102" t="str">
            <v>BFI4</v>
          </cell>
          <cell r="C102" t="str">
            <v>Amazon.com Services, Inc.</v>
          </cell>
          <cell r="D102" t="str">
            <v>20529 59th Place South</v>
          </cell>
          <cell r="E102" t="str">
            <v>Kent</v>
          </cell>
          <cell r="F102" t="str">
            <v>WA</v>
          </cell>
          <cell r="G102" t="str">
            <v>98032</v>
          </cell>
          <cell r="H102" t="str">
            <v>US</v>
          </cell>
          <cell r="I102" t="str">
            <v>1234567890</v>
          </cell>
        </row>
        <row r="103">
          <cell r="A103" t="str">
            <v>BFI5</v>
          </cell>
          <cell r="B103" t="str">
            <v>BFI5</v>
          </cell>
          <cell r="C103" t="str">
            <v>Amazon.com Services, Inc.</v>
          </cell>
          <cell r="D103" t="str">
            <v>20526 59th Place South</v>
          </cell>
          <cell r="E103" t="str">
            <v>King County</v>
          </cell>
          <cell r="F103" t="str">
            <v>WA</v>
          </cell>
          <cell r="G103" t="str">
            <v>98032</v>
          </cell>
          <cell r="H103" t="str">
            <v>US</v>
          </cell>
          <cell r="I103" t="str">
            <v>1234567890</v>
          </cell>
        </row>
        <row r="104">
          <cell r="A104" t="str">
            <v>BFI7</v>
          </cell>
          <cell r="B104" t="str">
            <v>BFI7</v>
          </cell>
          <cell r="C104" t="str">
            <v>Amazon.com Services, Inc.</v>
          </cell>
          <cell r="D104" t="str">
            <v>1901 140th Ave E</v>
          </cell>
          <cell r="E104" t="str">
            <v>Sumner</v>
          </cell>
          <cell r="F104" t="str">
            <v>WA</v>
          </cell>
          <cell r="G104" t="str">
            <v>98390</v>
          </cell>
          <cell r="H104" t="str">
            <v>US</v>
          </cell>
          <cell r="I104" t="str">
            <v>1234567890</v>
          </cell>
        </row>
        <row r="105">
          <cell r="A105" t="str">
            <v>SEA6</v>
          </cell>
          <cell r="B105" t="str">
            <v>SEA6</v>
          </cell>
          <cell r="C105" t="str">
            <v>Amazon.com Services, Inc.</v>
          </cell>
          <cell r="D105" t="str">
            <v>2646 Rainier Ave</v>
          </cell>
          <cell r="E105" t="str">
            <v>South Seattle</v>
          </cell>
          <cell r="F105" t="str">
            <v>WA</v>
          </cell>
          <cell r="G105" t="str">
            <v>98144</v>
          </cell>
          <cell r="H105" t="str">
            <v>US</v>
          </cell>
          <cell r="I105" t="str">
            <v>1234567890</v>
          </cell>
        </row>
        <row r="106">
          <cell r="A106" t="str">
            <v>SEA8</v>
          </cell>
          <cell r="B106" t="str">
            <v>SEA8</v>
          </cell>
          <cell r="C106" t="str">
            <v>Amazon.com Services, Inc.</v>
          </cell>
          <cell r="D106" t="str">
            <v>1475 124th Avenue</v>
          </cell>
          <cell r="E106" t="str">
            <v>Northeast Bellevue</v>
          </cell>
          <cell r="F106" t="str">
            <v>WA</v>
          </cell>
          <cell r="G106" t="str">
            <v>98005</v>
          </cell>
          <cell r="H106" t="str">
            <v>US</v>
          </cell>
          <cell r="I106" t="str">
            <v>1234567890</v>
          </cell>
        </row>
        <row r="107">
          <cell r="A107" t="str">
            <v>MKE1</v>
          </cell>
          <cell r="B107" t="str">
            <v>MKE1</v>
          </cell>
          <cell r="C107" t="str">
            <v>Amazon.com Services, Inc.</v>
          </cell>
          <cell r="D107" t="str">
            <v>3501 120th Ave</v>
          </cell>
          <cell r="E107" t="str">
            <v>Kenosha</v>
          </cell>
          <cell r="F107" t="str">
            <v>WI</v>
          </cell>
          <cell r="G107" t="str">
            <v>53144</v>
          </cell>
          <cell r="H107" t="str">
            <v>US</v>
          </cell>
          <cell r="I107" t="str">
            <v>1234567890</v>
          </cell>
        </row>
        <row r="108">
          <cell r="A108" t="str">
            <v>ATL6</v>
          </cell>
          <cell r="B108" t="str">
            <v>ATL6</v>
          </cell>
          <cell r="C108" t="str">
            <v>Amazon.com Services, Inc.</v>
          </cell>
          <cell r="D108" t="str">
            <v>4200 North Commerce</v>
          </cell>
          <cell r="E108" t="str">
            <v>East Point</v>
          </cell>
          <cell r="F108" t="str">
            <v>GA</v>
          </cell>
          <cell r="G108" t="str">
            <v>30344</v>
          </cell>
          <cell r="H108" t="str">
            <v>US</v>
          </cell>
          <cell r="I108" t="str">
            <v>1234567890</v>
          </cell>
        </row>
        <row r="109">
          <cell r="A109" t="str">
            <v>MGE3</v>
          </cell>
          <cell r="B109" t="str">
            <v>MGE3</v>
          </cell>
          <cell r="C109" t="str">
            <v>Amazon.com Services, Inc.</v>
          </cell>
          <cell r="D109" t="str">
            <v>808 Hog Mountain Road</v>
          </cell>
          <cell r="E109" t="str">
            <v>Jefferson</v>
          </cell>
          <cell r="F109" t="str">
            <v>GA</v>
          </cell>
          <cell r="G109" t="str">
            <v>30549</v>
          </cell>
          <cell r="H109" t="str">
            <v>US</v>
          </cell>
          <cell r="I109" t="str">
            <v>1234567890</v>
          </cell>
        </row>
        <row r="110">
          <cell r="A110" t="str">
            <v>MDW2</v>
          </cell>
          <cell r="B110" t="str">
            <v>MDW2</v>
          </cell>
          <cell r="C110" t="str">
            <v>Amazon.com Services, Inc.</v>
          </cell>
          <cell r="D110" t="str">
            <v>250 Emerald DR</v>
          </cell>
          <cell r="E110" t="str">
            <v>Joliet</v>
          </cell>
          <cell r="F110" t="str">
            <v>IL</v>
          </cell>
          <cell r="G110" t="str">
            <v>60433-3280</v>
          </cell>
          <cell r="H110" t="str">
            <v>US</v>
          </cell>
          <cell r="I110" t="str">
            <v>1234567890</v>
          </cell>
        </row>
        <row r="111">
          <cell r="A111" t="str">
            <v>MDW6</v>
          </cell>
          <cell r="B111" t="str">
            <v>MDW6</v>
          </cell>
          <cell r="C111" t="str">
            <v>Amazon.com Services, Inc.</v>
          </cell>
          <cell r="D111" t="str">
            <v>1125 W REMINGTON BLVD</v>
          </cell>
          <cell r="E111" t="str">
            <v>ROMEOVILLE</v>
          </cell>
          <cell r="F111" t="str">
            <v>IL</v>
          </cell>
          <cell r="G111" t="str">
            <v>60446-6529</v>
          </cell>
          <cell r="H111" t="str">
            <v>US</v>
          </cell>
          <cell r="I111" t="str">
            <v>1234567890</v>
          </cell>
        </row>
        <row r="112">
          <cell r="A112" t="str">
            <v>MDW7</v>
          </cell>
          <cell r="B112" t="str">
            <v>MDW7</v>
          </cell>
          <cell r="C112" t="str">
            <v>Amazon.com Services, Inc.</v>
          </cell>
          <cell r="D112" t="str">
            <v>6605 Monee Manhattan Road</v>
          </cell>
          <cell r="E112" t="str">
            <v>Monee</v>
          </cell>
          <cell r="F112" t="str">
            <v>IL</v>
          </cell>
          <cell r="G112" t="str">
            <v>60449</v>
          </cell>
          <cell r="H112" t="str">
            <v>US</v>
          </cell>
          <cell r="I112" t="str">
            <v>1234567890</v>
          </cell>
        </row>
        <row r="113">
          <cell r="A113" t="str">
            <v>MDW8</v>
          </cell>
          <cell r="B113" t="str">
            <v>MDW8</v>
          </cell>
          <cell r="C113" t="str">
            <v>Amazon.com Services, Inc.</v>
          </cell>
          <cell r="D113" t="str">
            <v>1750 Bridge Drive</v>
          </cell>
          <cell r="E113" t="str">
            <v>Waukegan</v>
          </cell>
          <cell r="F113" t="str">
            <v>IL</v>
          </cell>
          <cell r="G113" t="str">
            <v>60085</v>
          </cell>
          <cell r="H113" t="str">
            <v>US</v>
          </cell>
          <cell r="I113" t="str">
            <v>1234567890</v>
          </cell>
        </row>
        <row r="114">
          <cell r="A114" t="str">
            <v>MDW9</v>
          </cell>
          <cell r="B114" t="str">
            <v>MDW9</v>
          </cell>
          <cell r="C114" t="str">
            <v>Amazon.com Services, Inc.</v>
          </cell>
          <cell r="D114" t="str">
            <v>2865 Duke Parkway</v>
          </cell>
          <cell r="E114" t="str">
            <v>Aurora</v>
          </cell>
          <cell r="F114" t="str">
            <v>IL</v>
          </cell>
          <cell r="G114" t="str">
            <v>60502</v>
          </cell>
          <cell r="H114" t="str">
            <v>US</v>
          </cell>
          <cell r="I114" t="str">
            <v>1234567890</v>
          </cell>
        </row>
        <row r="115">
          <cell r="A115" t="str">
            <v>ORD6</v>
          </cell>
          <cell r="B115" t="str">
            <v>ORD6</v>
          </cell>
          <cell r="C115" t="str">
            <v>Amazon.com Services, Inc.</v>
          </cell>
          <cell r="D115" t="str">
            <v>1250 N Mittel Blvd</v>
          </cell>
          <cell r="E115" t="str">
            <v>Wood Dale</v>
          </cell>
          <cell r="F115" t="str">
            <v>IL</v>
          </cell>
          <cell r="G115" t="str">
            <v>60191</v>
          </cell>
          <cell r="H115" t="str">
            <v>US</v>
          </cell>
          <cell r="I115" t="str">
            <v>1234567890</v>
          </cell>
        </row>
        <row r="116">
          <cell r="A116" t="str">
            <v>STL4</v>
          </cell>
          <cell r="B116" t="str">
            <v>STL4</v>
          </cell>
          <cell r="C116" t="str">
            <v>Amazon.com Services, Inc.</v>
          </cell>
          <cell r="D116" t="str">
            <v>3050 GATEWAY COMMERCE CENTER DR S</v>
          </cell>
          <cell r="E116" t="str">
            <v>Edwardsville</v>
          </cell>
          <cell r="F116" t="str">
            <v>IL</v>
          </cell>
          <cell r="G116" t="str">
            <v>62025-2815</v>
          </cell>
          <cell r="H116" t="str">
            <v>US</v>
          </cell>
          <cell r="I116" t="str">
            <v>1234567890</v>
          </cell>
        </row>
        <row r="117">
          <cell r="A117" t="str">
            <v>BOS2</v>
          </cell>
          <cell r="B117" t="str">
            <v>BOS2</v>
          </cell>
          <cell r="C117" t="str">
            <v>Amazon.com Services, Inc.</v>
          </cell>
          <cell r="D117" t="str">
            <v>1000 Tech Centre</v>
          </cell>
          <cell r="E117" t="str">
            <v>Drive Stoughton</v>
          </cell>
          <cell r="F117" t="str">
            <v>MA</v>
          </cell>
          <cell r="G117" t="str">
            <v>02072</v>
          </cell>
          <cell r="H117" t="str">
            <v>US</v>
          </cell>
          <cell r="I117" t="str">
            <v>1234567890</v>
          </cell>
        </row>
        <row r="118">
          <cell r="A118" t="str">
            <v>BOS7</v>
          </cell>
          <cell r="B118" t="str">
            <v>BOS7</v>
          </cell>
          <cell r="C118" t="str">
            <v>Amazon.com Services, Inc.</v>
          </cell>
          <cell r="D118" t="str">
            <v>1180 Innovation Way</v>
          </cell>
          <cell r="E118" t="str">
            <v>Fall River</v>
          </cell>
          <cell r="F118" t="str">
            <v>MA</v>
          </cell>
          <cell r="G118" t="str">
            <v>02720</v>
          </cell>
          <cell r="H118" t="str">
            <v>US</v>
          </cell>
          <cell r="I118" t="str">
            <v>1234567890</v>
          </cell>
        </row>
        <row r="119">
          <cell r="A119" t="str">
            <v>MSP1</v>
          </cell>
          <cell r="B119" t="str">
            <v>MSP1</v>
          </cell>
          <cell r="C119" t="str">
            <v>Amazon.com Services, Inc.</v>
          </cell>
          <cell r="D119" t="str">
            <v>2601 4th Avenue East</v>
          </cell>
          <cell r="E119" t="str">
            <v>Shakopee</v>
          </cell>
          <cell r="F119" t="str">
            <v>MN</v>
          </cell>
          <cell r="G119" t="str">
            <v>55379</v>
          </cell>
          <cell r="H119" t="str">
            <v>US</v>
          </cell>
          <cell r="I119" t="str">
            <v>1234567890</v>
          </cell>
        </row>
        <row r="120">
          <cell r="A120" t="str">
            <v>IVSA</v>
          </cell>
          <cell r="B120" t="str">
            <v>IVSA</v>
          </cell>
          <cell r="C120" t="str">
            <v>Amazon.com Services, Inc.</v>
          </cell>
          <cell r="D120" t="str">
            <v>4620 Olympic Blvd</v>
          </cell>
          <cell r="E120" t="str">
            <v>Erlanger</v>
          </cell>
          <cell r="F120" t="str">
            <v>KY</v>
          </cell>
          <cell r="G120" t="str">
            <v>41018</v>
          </cell>
          <cell r="H120" t="str">
            <v>US</v>
          </cell>
          <cell r="I120" t="str">
            <v>1234567890</v>
          </cell>
        </row>
        <row r="121">
          <cell r="A121" t="str">
            <v>IVSB</v>
          </cell>
          <cell r="B121" t="str">
            <v>IVSB</v>
          </cell>
          <cell r="C121" t="str">
            <v>Amazon.com Services, Inc.</v>
          </cell>
          <cell r="D121" t="str">
            <v>3521 POINT PLEASANT RD</v>
          </cell>
          <cell r="E121" t="str">
            <v>HEBRON</v>
          </cell>
          <cell r="F121" t="str">
            <v>KY</v>
          </cell>
          <cell r="G121" t="str">
            <v>41048</v>
          </cell>
          <cell r="H121" t="str">
            <v>US</v>
          </cell>
          <cell r="I121" t="str">
            <v>1234567890</v>
          </cell>
        </row>
        <row r="122">
          <cell r="A122" t="str">
            <v>BDL2</v>
          </cell>
          <cell r="B122" t="str">
            <v>BDL2</v>
          </cell>
          <cell r="C122" t="str">
            <v>Amazon.com Services, Inc.</v>
          </cell>
          <cell r="D122" t="str">
            <v>200 Old Iron Ore Rd</v>
          </cell>
          <cell r="E122" t="str">
            <v>Windsor</v>
          </cell>
          <cell r="F122" t="str">
            <v>CT</v>
          </cell>
          <cell r="G122" t="str">
            <v>06095-2144</v>
          </cell>
          <cell r="H122" t="str">
            <v>US</v>
          </cell>
          <cell r="I122" t="str">
            <v>1234567890</v>
          </cell>
        </row>
        <row r="123">
          <cell r="A123" t="str">
            <v>DET1</v>
          </cell>
          <cell r="B123" t="str">
            <v>DET1</v>
          </cell>
          <cell r="C123" t="str">
            <v>Amazon.com Services, Inc.</v>
          </cell>
          <cell r="D123" t="str">
            <v>39000 Amrhein Road</v>
          </cell>
          <cell r="E123" t="str">
            <v>Livonia</v>
          </cell>
          <cell r="F123" t="str">
            <v>MI</v>
          </cell>
          <cell r="G123" t="str">
            <v>48150</v>
          </cell>
          <cell r="H123" t="str">
            <v>US</v>
          </cell>
          <cell r="I123" t="str">
            <v>1234567890</v>
          </cell>
        </row>
        <row r="124">
          <cell r="A124" t="str">
            <v>ONT7</v>
          </cell>
          <cell r="B124" t="str">
            <v>ONT7</v>
          </cell>
          <cell r="C124" t="str">
            <v>Amazon.com Services, Inc.</v>
          </cell>
          <cell r="D124" t="str">
            <v>2125 W. San Bernandino Ave</v>
          </cell>
          <cell r="E124" t="str">
            <v>Redlands</v>
          </cell>
          <cell r="F124" t="str">
            <v>CA</v>
          </cell>
          <cell r="G124" t="str">
            <v>92374</v>
          </cell>
          <cell r="H124" t="str">
            <v>US</v>
          </cell>
          <cell r="I124" t="str">
            <v>1234567890</v>
          </cell>
        </row>
        <row r="125">
          <cell r="A125" t="str">
            <v>LAL1</v>
          </cell>
          <cell r="B125" t="str">
            <v>LAL1</v>
          </cell>
          <cell r="C125" t="str">
            <v>Amazon.com Services, Inc.</v>
          </cell>
          <cell r="D125" t="str">
            <v>1760 County Line Rd</v>
          </cell>
          <cell r="E125" t="str">
            <v>Lakeland</v>
          </cell>
          <cell r="F125" t="str">
            <v>FL</v>
          </cell>
          <cell r="G125" t="str">
            <v>33811</v>
          </cell>
          <cell r="H125" t="str">
            <v>US</v>
          </cell>
          <cell r="I125" t="str">
            <v>1234567890</v>
          </cell>
        </row>
        <row r="126">
          <cell r="A126" t="str">
            <v>ABE4</v>
          </cell>
          <cell r="B126" t="str">
            <v>ABE4</v>
          </cell>
          <cell r="C126" t="str">
            <v>Amazon.com Services, Inc.</v>
          </cell>
          <cell r="D126" t="str">
            <v>1610 Van Buren Road</v>
          </cell>
          <cell r="E126" t="str">
            <v>Easton</v>
          </cell>
          <cell r="F126" t="str">
            <v>PA</v>
          </cell>
          <cell r="G126" t="str">
            <v>18045</v>
          </cell>
          <cell r="H126" t="str">
            <v>US</v>
          </cell>
          <cell r="I126" t="str">
            <v>1234567890</v>
          </cell>
        </row>
        <row r="127">
          <cell r="A127" t="str">
            <v>SAT2</v>
          </cell>
          <cell r="B127" t="str">
            <v>SAT2</v>
          </cell>
          <cell r="C127" t="str">
            <v>Amazon.com Services, Inc.</v>
          </cell>
          <cell r="D127" t="str">
            <v>1401 E McCarty Lane</v>
          </cell>
          <cell r="E127" t="str">
            <v>San Marcos</v>
          </cell>
          <cell r="F127" t="str">
            <v>TX</v>
          </cell>
          <cell r="G127" t="str">
            <v>78666-8969</v>
          </cell>
          <cell r="H127" t="str">
            <v>US</v>
          </cell>
          <cell r="I127" t="str">
            <v>1234567890</v>
          </cell>
        </row>
        <row r="128">
          <cell r="A128" t="str">
            <v>LAS6</v>
          </cell>
          <cell r="B128" t="str">
            <v>LAS6</v>
          </cell>
          <cell r="C128" t="str">
            <v>Amazon.com Services, Inc.</v>
          </cell>
          <cell r="D128" t="str">
            <v>4550 Nexus Way</v>
          </cell>
          <cell r="E128" t="str">
            <v>Las Vegas</v>
          </cell>
          <cell r="F128" t="str">
            <v>NV</v>
          </cell>
          <cell r="G128" t="str">
            <v>89115</v>
          </cell>
          <cell r="H128" t="str">
            <v>US</v>
          </cell>
          <cell r="I128" t="str">
            <v>1234567890</v>
          </cell>
        </row>
        <row r="129">
          <cell r="A129" t="str">
            <v>MDT2</v>
          </cell>
          <cell r="B129" t="str">
            <v>MDT2</v>
          </cell>
          <cell r="C129" t="str">
            <v>Amazon.com Services, Inc.</v>
          </cell>
          <cell r="D129" t="str">
            <v>600 Principio Parkway West</v>
          </cell>
          <cell r="E129" t="str">
            <v>North East</v>
          </cell>
          <cell r="F129" t="str">
            <v>MD</v>
          </cell>
          <cell r="G129" t="str">
            <v>21901</v>
          </cell>
          <cell r="H129" t="str">
            <v>US</v>
          </cell>
          <cell r="I129" t="str">
            <v>1234567890</v>
          </cell>
        </row>
        <row r="130">
          <cell r="A130" t="str">
            <v>MDW4</v>
          </cell>
          <cell r="B130" t="str">
            <v>MDW4</v>
          </cell>
          <cell r="C130" t="str">
            <v>Amazon.com Services, Inc.</v>
          </cell>
          <cell r="D130" t="str">
            <v>201 EMERALD DR</v>
          </cell>
          <cell r="E130" t="str">
            <v>Joliet</v>
          </cell>
          <cell r="F130" t="str">
            <v>IL</v>
          </cell>
          <cell r="G130" t="str">
            <v>60433-3281</v>
          </cell>
          <cell r="H130" t="str">
            <v>US</v>
          </cell>
          <cell r="I130" t="str">
            <v>1234567890</v>
          </cell>
        </row>
        <row r="131">
          <cell r="A131" t="str">
            <v>DEN2</v>
          </cell>
          <cell r="B131" t="str">
            <v>DEN2</v>
          </cell>
          <cell r="C131" t="str">
            <v>Amazon.com Services, Inc.</v>
          </cell>
          <cell r="D131" t="str">
            <v>22205 East 19th Ave</v>
          </cell>
          <cell r="E131" t="str">
            <v>Aurora</v>
          </cell>
          <cell r="F131" t="str">
            <v>CO</v>
          </cell>
          <cell r="G131" t="str">
            <v>80019</v>
          </cell>
          <cell r="H131" t="str">
            <v>US</v>
          </cell>
          <cell r="I131" t="str">
            <v>1234567890</v>
          </cell>
        </row>
        <row r="132">
          <cell r="A132" t="str">
            <v>DEN3</v>
          </cell>
          <cell r="B132" t="str">
            <v>DEN3</v>
          </cell>
          <cell r="C132" t="str">
            <v>Amazon.com Services, Inc.</v>
          </cell>
          <cell r="D132" t="str">
            <v>14601 Grant Street</v>
          </cell>
          <cell r="E132" t="str">
            <v>Thornton</v>
          </cell>
          <cell r="F132" t="str">
            <v>CO</v>
          </cell>
          <cell r="G132" t="str">
            <v>80023</v>
          </cell>
          <cell r="H132" t="str">
            <v>US</v>
          </cell>
          <cell r="I132" t="str">
            <v>1234567890</v>
          </cell>
        </row>
        <row r="133">
          <cell r="A133" t="str">
            <v>ATL8</v>
          </cell>
          <cell r="B133" t="str">
            <v>ATL8</v>
          </cell>
          <cell r="C133" t="str">
            <v>Amazon.com Services, Inc.</v>
          </cell>
          <cell r="D133" t="str">
            <v>2201 Thornton Road</v>
          </cell>
          <cell r="E133" t="str">
            <v>Lithia Springs</v>
          </cell>
          <cell r="F133" t="str">
            <v>GA</v>
          </cell>
          <cell r="G133" t="str">
            <v>30122</v>
          </cell>
          <cell r="H133" t="str">
            <v>US</v>
          </cell>
          <cell r="I133" t="str">
            <v>1234567890</v>
          </cell>
        </row>
        <row r="134">
          <cell r="A134" t="str">
            <v>MDW2-402</v>
          </cell>
          <cell r="B134" t="str">
            <v>MDW2-402</v>
          </cell>
          <cell r="C134" t="str">
            <v>Amazon.com Services, Inc.</v>
          </cell>
          <cell r="D134" t="str">
            <v>402 Emerald Drive</v>
          </cell>
          <cell r="E134" t="str">
            <v>Joliet</v>
          </cell>
          <cell r="F134" t="str">
            <v>IL</v>
          </cell>
          <cell r="G134" t="str">
            <v>60433-3279</v>
          </cell>
          <cell r="H134" t="str">
            <v>US</v>
          </cell>
          <cell r="I134" t="str">
            <v>1234567890</v>
          </cell>
        </row>
        <row r="135">
          <cell r="A135" t="str">
            <v>FTW6</v>
          </cell>
          <cell r="B135" t="str">
            <v>FTW6</v>
          </cell>
          <cell r="C135" t="str">
            <v>Amazon.com Services, Inc.</v>
          </cell>
          <cell r="D135" t="str">
            <v>2601 W Bethel Road</v>
          </cell>
          <cell r="E135" t="str">
            <v>Dallas</v>
          </cell>
          <cell r="F135" t="str">
            <v>TX</v>
          </cell>
          <cell r="G135" t="str">
            <v>75261</v>
          </cell>
          <cell r="H135" t="str">
            <v>US</v>
          </cell>
          <cell r="I135" t="str">
            <v>1234567890</v>
          </cell>
        </row>
        <row r="136">
          <cell r="A136" t="str">
            <v>JAX2</v>
          </cell>
          <cell r="B136" t="str">
            <v>JAX2</v>
          </cell>
          <cell r="C136" t="str">
            <v>Amazon.com Services, Inc.</v>
          </cell>
          <cell r="D136" t="str">
            <v>12900 Pecan Park Road</v>
          </cell>
          <cell r="E136" t="str">
            <v>Jacksonville</v>
          </cell>
          <cell r="F136" t="str">
            <v>FL</v>
          </cell>
          <cell r="G136" t="str">
            <v>32218</v>
          </cell>
          <cell r="H136" t="str">
            <v>US</v>
          </cell>
          <cell r="I136" t="str">
            <v>1234567890</v>
          </cell>
        </row>
        <row r="137">
          <cell r="A137" t="str">
            <v>BWI4</v>
          </cell>
          <cell r="B137" t="str">
            <v>BWI4</v>
          </cell>
          <cell r="C137" t="str">
            <v>Amazon.com Services, Inc.</v>
          </cell>
          <cell r="D137" t="str">
            <v>165 Business Blvd</v>
          </cell>
          <cell r="E137" t="str">
            <v>Clear Brook</v>
          </cell>
          <cell r="F137" t="str">
            <v>VA</v>
          </cell>
          <cell r="G137" t="str">
            <v>22624-1568</v>
          </cell>
          <cell r="H137" t="str">
            <v>US</v>
          </cell>
          <cell r="I137" t="str">
            <v>1234567890</v>
          </cell>
        </row>
        <row r="138">
          <cell r="A138" t="str">
            <v>IVSC</v>
          </cell>
          <cell r="B138" t="str">
            <v>IVSC</v>
          </cell>
          <cell r="C138" t="str">
            <v>Amazon.com Services, Inc.</v>
          </cell>
          <cell r="D138" t="str">
            <v>1225 Forest Parkway West Deptford</v>
          </cell>
          <cell r="E138" t="str">
            <v>West Deptford</v>
          </cell>
          <cell r="F138" t="str">
            <v>NJ</v>
          </cell>
          <cell r="G138" t="str">
            <v>08066</v>
          </cell>
          <cell r="H138" t="str">
            <v>US</v>
          </cell>
          <cell r="I138" t="str">
            <v>1234567890</v>
          </cell>
        </row>
        <row r="139">
          <cell r="A139" t="str">
            <v>IVSD</v>
          </cell>
          <cell r="B139" t="str">
            <v>IVSD</v>
          </cell>
          <cell r="C139" t="str">
            <v>Amazon.com Services, Inc.</v>
          </cell>
          <cell r="D139" t="str">
            <v>800 Arlington Blvd</v>
          </cell>
          <cell r="E139" t="str">
            <v>Swedesboro</v>
          </cell>
          <cell r="F139" t="str">
            <v>NJ</v>
          </cell>
          <cell r="G139" t="str">
            <v>08085</v>
          </cell>
          <cell r="H139" t="str">
            <v>US</v>
          </cell>
          <cell r="I139" t="str">
            <v>1234567890</v>
          </cell>
        </row>
        <row r="140">
          <cell r="A140" t="str">
            <v>IVSE</v>
          </cell>
          <cell r="B140" t="str">
            <v>IVSE</v>
          </cell>
          <cell r="C140" t="str">
            <v>Amazon.com Services, Inc.</v>
          </cell>
          <cell r="D140" t="str">
            <v>2951 MARION DR UNIT 101</v>
          </cell>
          <cell r="E140" t="str">
            <v>LAS VEGAS</v>
          </cell>
          <cell r="F140" t="str">
            <v>NV</v>
          </cell>
          <cell r="G140" t="str">
            <v>89115-346</v>
          </cell>
          <cell r="H140" t="str">
            <v>US</v>
          </cell>
          <cell r="I140" t="str">
            <v>1234567890</v>
          </cell>
        </row>
        <row r="141">
          <cell r="A141" t="str">
            <v>IVSF</v>
          </cell>
          <cell r="B141" t="str">
            <v>IVSF</v>
          </cell>
          <cell r="C141" t="str">
            <v>Amazon.com Services, Inc.</v>
          </cell>
          <cell r="D141" t="str">
            <v>2821 MARION DR STE 109</v>
          </cell>
          <cell r="E141" t="str">
            <v>LAS VEGAS</v>
          </cell>
          <cell r="F141" t="str">
            <v>NV</v>
          </cell>
          <cell r="G141" t="str">
            <v>89115</v>
          </cell>
          <cell r="H141" t="str">
            <v>US</v>
          </cell>
          <cell r="I141" t="str">
            <v>1234567890</v>
          </cell>
        </row>
        <row r="142">
          <cell r="A142" t="str">
            <v>ITX1</v>
          </cell>
          <cell r="B142" t="str">
            <v>ITX1</v>
          </cell>
          <cell r="C142" t="str">
            <v>Amazon.com Services, Inc.</v>
          </cell>
          <cell r="D142" t="str">
            <v>9851 Fallbrook Pines Drive Suite 100</v>
          </cell>
          <cell r="E142" t="str">
            <v>Houston</v>
          </cell>
          <cell r="F142" t="str">
            <v>TX</v>
          </cell>
          <cell r="G142" t="str">
            <v>77064-3329</v>
          </cell>
          <cell r="H142" t="str">
            <v>US</v>
          </cell>
          <cell r="I142" t="str">
            <v>1234567890</v>
          </cell>
        </row>
        <row r="143">
          <cell r="A143" t="str">
            <v>ITX2</v>
          </cell>
          <cell r="B143" t="str">
            <v>ITX2</v>
          </cell>
          <cell r="C143" t="str">
            <v>Amazon.com Services, Inc.</v>
          </cell>
          <cell r="D143" t="str">
            <v>6911 FAIRBANKS N HOUSTON RD SUITE 160</v>
          </cell>
          <cell r="E143" t="str">
            <v>Houston</v>
          </cell>
          <cell r="F143" t="str">
            <v>TX</v>
          </cell>
          <cell r="G143" t="str">
            <v>77040-1437</v>
          </cell>
          <cell r="H143" t="str">
            <v>US</v>
          </cell>
          <cell r="I143" t="str">
            <v>1234567890</v>
          </cell>
        </row>
        <row r="144">
          <cell r="A144" t="str">
            <v>DTW1</v>
          </cell>
          <cell r="B144" t="str">
            <v>DTW1</v>
          </cell>
          <cell r="C144" t="str">
            <v>Amazon.com Services, Inc.</v>
          </cell>
          <cell r="D144" t="str">
            <v>32801 Ecorse Road</v>
          </cell>
          <cell r="E144" t="str">
            <v>Romulus</v>
          </cell>
          <cell r="F144" t="str">
            <v>MI</v>
          </cell>
          <cell r="G144" t="str">
            <v>48174</v>
          </cell>
          <cell r="H144" t="str">
            <v>US</v>
          </cell>
          <cell r="I144" t="str">
            <v>1234567890</v>
          </cell>
        </row>
        <row r="145">
          <cell r="A145" t="str">
            <v>CMH1-11999</v>
          </cell>
          <cell r="B145" t="str">
            <v>CMH1-11999</v>
          </cell>
          <cell r="C145" t="str">
            <v>Amazon.com Services, Inc.</v>
          </cell>
          <cell r="D145" t="str">
            <v>11999 National Road</v>
          </cell>
          <cell r="E145" t="str">
            <v>Etna</v>
          </cell>
          <cell r="F145" t="str">
            <v>OH</v>
          </cell>
          <cell r="G145" t="str">
            <v>43062-7793</v>
          </cell>
          <cell r="H145" t="str">
            <v>US</v>
          </cell>
          <cell r="I145" t="str">
            <v>1234567890</v>
          </cell>
        </row>
        <row r="146">
          <cell r="A146" t="str">
            <v>FAT1</v>
          </cell>
          <cell r="B146" t="str">
            <v>FAT1</v>
          </cell>
          <cell r="C146" t="str">
            <v>Amazon.com Services, Inc.</v>
          </cell>
          <cell r="D146" t="str">
            <v>3575 S. Orange Ave</v>
          </cell>
          <cell r="E146" t="str">
            <v>Fresno</v>
          </cell>
          <cell r="F146" t="str">
            <v>CA</v>
          </cell>
          <cell r="G146" t="str">
            <v>93725-9588</v>
          </cell>
          <cell r="H146" t="str">
            <v>US</v>
          </cell>
          <cell r="I146" t="str">
            <v>1234567890</v>
          </cell>
        </row>
        <row r="147">
          <cell r="A147" t="str">
            <v>PDX9</v>
          </cell>
          <cell r="B147" t="str">
            <v>PDX9</v>
          </cell>
          <cell r="C147" t="str">
            <v>Amazon.com Services, Inc.</v>
          </cell>
          <cell r="D147" t="str">
            <v>1250 NW Swigert Way</v>
          </cell>
          <cell r="E147" t="str">
            <v>Troutdale</v>
          </cell>
          <cell r="F147" t="str">
            <v>OR</v>
          </cell>
          <cell r="G147" t="str">
            <v>97060</v>
          </cell>
          <cell r="H147" t="str">
            <v>US</v>
          </cell>
          <cell r="I147" t="str">
            <v>1234567890</v>
          </cell>
        </row>
        <row r="148">
          <cell r="A148" t="str">
            <v>CLT3</v>
          </cell>
          <cell r="B148" t="str">
            <v>CLT3</v>
          </cell>
          <cell r="C148" t="str">
            <v>Amazon.com Services, Inc.</v>
          </cell>
          <cell r="D148" t="str">
            <v>6500 Davidson Hwy</v>
          </cell>
          <cell r="E148" t="str">
            <v>Concord</v>
          </cell>
          <cell r="F148" t="str">
            <v>NC</v>
          </cell>
          <cell r="G148" t="str">
            <v>28027-7995</v>
          </cell>
          <cell r="H148" t="str">
            <v>US</v>
          </cell>
          <cell r="I148" t="str">
            <v>1234567890</v>
          </cell>
        </row>
        <row r="149">
          <cell r="A149" t="str">
            <v>ACY1</v>
          </cell>
          <cell r="B149" t="str">
            <v>ACY1</v>
          </cell>
          <cell r="C149" t="str">
            <v>Amazon.com Services, Inc.</v>
          </cell>
          <cell r="D149" t="str">
            <v>240 Mantua Grove Road</v>
          </cell>
          <cell r="E149" t="str">
            <v>West Deptford</v>
          </cell>
          <cell r="F149" t="str">
            <v>NJ</v>
          </cell>
          <cell r="G149" t="str">
            <v>08066</v>
          </cell>
          <cell r="H149" t="str">
            <v>US</v>
          </cell>
          <cell r="I149" t="str">
            <v>1234567890</v>
          </cell>
        </row>
        <row r="150">
          <cell r="A150" t="str">
            <v>JFK8</v>
          </cell>
          <cell r="B150" t="str">
            <v>JFK8</v>
          </cell>
          <cell r="C150" t="str">
            <v>Amazon.com Services, Inc.</v>
          </cell>
          <cell r="D150" t="str">
            <v>546 Gulf Avenue</v>
          </cell>
          <cell r="E150" t="str">
            <v>Staten Island</v>
          </cell>
          <cell r="F150" t="str">
            <v>NY</v>
          </cell>
          <cell r="G150" t="str">
            <v>10314</v>
          </cell>
          <cell r="H150" t="str">
            <v>US</v>
          </cell>
          <cell r="I150" t="str">
            <v>1234567890</v>
          </cell>
        </row>
        <row r="151">
          <cell r="A151" t="str">
            <v>LGA9</v>
          </cell>
          <cell r="B151" t="str">
            <v>LGA9</v>
          </cell>
          <cell r="C151" t="str">
            <v>Amazon.com Services, Inc.</v>
          </cell>
          <cell r="D151" t="str">
            <v>2170 Route 27</v>
          </cell>
          <cell r="E151" t="str">
            <v>Edison</v>
          </cell>
          <cell r="F151" t="str">
            <v>NJ</v>
          </cell>
          <cell r="G151" t="str">
            <v>08817</v>
          </cell>
          <cell r="H151" t="str">
            <v>US</v>
          </cell>
          <cell r="I151" t="str">
            <v>1234567890</v>
          </cell>
        </row>
        <row r="152">
          <cell r="A152" t="str">
            <v>MCO1</v>
          </cell>
          <cell r="B152" t="str">
            <v>MCO1</v>
          </cell>
          <cell r="C152" t="str">
            <v>Amazon.com Services, Inc.</v>
          </cell>
          <cell r="D152" t="str">
            <v>12340 Boggy Creek Rd</v>
          </cell>
          <cell r="E152" t="str">
            <v>Orlando</v>
          </cell>
          <cell r="F152" t="str">
            <v>FL</v>
          </cell>
          <cell r="G152" t="str">
            <v>32824</v>
          </cell>
          <cell r="H152" t="str">
            <v>US</v>
          </cell>
          <cell r="I152" t="str">
            <v>1234567890</v>
          </cell>
        </row>
        <row r="153">
          <cell r="A153" t="str">
            <v>MEM1</v>
          </cell>
          <cell r="B153" t="str">
            <v>MEM1</v>
          </cell>
          <cell r="C153" t="str">
            <v>Amazon.com Services, Inc.</v>
          </cell>
          <cell r="D153" t="str">
            <v>3292 E Holmes Rd</v>
          </cell>
          <cell r="E153" t="str">
            <v>Memphis</v>
          </cell>
          <cell r="F153" t="str">
            <v>TN</v>
          </cell>
          <cell r="G153" t="str">
            <v>38118</v>
          </cell>
          <cell r="H153" t="str">
            <v>US</v>
          </cell>
          <cell r="I153" t="str">
            <v>1234567890</v>
          </cell>
        </row>
        <row r="154">
          <cell r="A154" t="str">
            <v>DCA1</v>
          </cell>
          <cell r="B154" t="str">
            <v>DCA1</v>
          </cell>
          <cell r="C154" t="str">
            <v>Amazon.com Services, Inc.</v>
          </cell>
          <cell r="D154" t="str">
            <v>1700 Sparrows Point Boulevard</v>
          </cell>
          <cell r="E154" t="str">
            <v>Sparrows Point</v>
          </cell>
          <cell r="F154" t="str">
            <v>MD</v>
          </cell>
          <cell r="G154" t="str">
            <v>21219</v>
          </cell>
          <cell r="H154" t="str">
            <v>US</v>
          </cell>
          <cell r="I154" t="str">
            <v>1234567890</v>
          </cell>
        </row>
        <row r="155">
          <cell r="A155" t="str">
            <v>SJC8</v>
          </cell>
          <cell r="B155" t="str">
            <v>SJC8</v>
          </cell>
          <cell r="C155" t="str">
            <v>Amazon.com Services, Inc.</v>
          </cell>
          <cell r="D155" t="str">
            <v>46724 Lakeview Blvd</v>
          </cell>
          <cell r="E155" t="str">
            <v>Fremont</v>
          </cell>
          <cell r="F155" t="str">
            <v>CA</v>
          </cell>
          <cell r="G155" t="str">
            <v>94538</v>
          </cell>
          <cell r="H155" t="str">
            <v>US</v>
          </cell>
          <cell r="I155" t="str">
            <v>1234567890</v>
          </cell>
        </row>
        <row r="156">
          <cell r="A156" t="str">
            <v>DET2</v>
          </cell>
          <cell r="B156" t="str">
            <v>DET2</v>
          </cell>
          <cell r="C156" t="str">
            <v>Amazon.com Services, Inc.</v>
          </cell>
          <cell r="D156" t="str">
            <v>50500 M ound Rd</v>
          </cell>
          <cell r="E156" t="str">
            <v>Shelby Township</v>
          </cell>
          <cell r="F156" t="str">
            <v>MI</v>
          </cell>
          <cell r="G156" t="str">
            <v>48317-1318</v>
          </cell>
          <cell r="H156" t="str">
            <v>US</v>
          </cell>
          <cell r="I156" t="str">
            <v>1234567890</v>
          </cell>
        </row>
        <row r="157">
          <cell r="A157" t="str">
            <v>LAX9</v>
          </cell>
          <cell r="B157" t="str">
            <v>LAX9</v>
          </cell>
          <cell r="C157" t="str">
            <v>Amazon.com Services, Inc.</v>
          </cell>
          <cell r="D157" t="str">
            <v>11263 Oleander Ave</v>
          </cell>
          <cell r="E157" t="str">
            <v>FONTANA</v>
          </cell>
          <cell r="F157" t="str">
            <v>CA</v>
          </cell>
          <cell r="G157" t="str">
            <v>92337</v>
          </cell>
          <cell r="H157" t="str">
            <v>US</v>
          </cell>
          <cell r="I157" t="str">
            <v>1234567890</v>
          </cell>
        </row>
        <row r="158">
          <cell r="A158" t="str">
            <v>ONT8</v>
          </cell>
          <cell r="B158" t="str">
            <v>ONT8</v>
          </cell>
          <cell r="C158" t="str">
            <v>Amazon.com Services, Inc.</v>
          </cell>
          <cell r="D158" t="str">
            <v>24300 Nandina Ave</v>
          </cell>
          <cell r="E158" t="str">
            <v>Moreno Valley</v>
          </cell>
          <cell r="F158" t="str">
            <v>CA</v>
          </cell>
          <cell r="G158" t="str">
            <v>92551</v>
          </cell>
          <cell r="H158" t="str">
            <v>US</v>
          </cell>
          <cell r="I158" t="str">
            <v>1234567890</v>
          </cell>
        </row>
        <row r="159">
          <cell r="A159" t="str">
            <v>LGB8</v>
          </cell>
          <cell r="B159" t="str">
            <v>LGB8</v>
          </cell>
          <cell r="C159" t="str">
            <v>Amazon.com Services, Inc.</v>
          </cell>
          <cell r="D159" t="str">
            <v>1568 N Linden Ave</v>
          </cell>
          <cell r="E159" t="str">
            <v>Rialto</v>
          </cell>
          <cell r="F159" t="str">
            <v>CA</v>
          </cell>
          <cell r="G159" t="str">
            <v>92376</v>
          </cell>
          <cell r="H159" t="str">
            <v>US</v>
          </cell>
          <cell r="I159" t="str">
            <v>1234567890</v>
          </cell>
        </row>
        <row r="160">
          <cell r="A160" t="str">
            <v>FTW1</v>
          </cell>
          <cell r="B160" t="str">
            <v>FTW1</v>
          </cell>
          <cell r="C160" t="str">
            <v>Amazon.com Services, Inc.</v>
          </cell>
          <cell r="D160" t="str">
            <v>33333 LBJ FWY</v>
          </cell>
          <cell r="E160" t="str">
            <v>Dallas</v>
          </cell>
          <cell r="F160" t="str">
            <v>TX</v>
          </cell>
          <cell r="G160" t="str">
            <v>75241</v>
          </cell>
          <cell r="H160" t="str">
            <v>US</v>
          </cell>
          <cell r="I160" t="str">
            <v>1234567890</v>
          </cell>
        </row>
        <row r="161">
          <cell r="A161" t="str">
            <v>IND9</v>
          </cell>
          <cell r="B161" t="str">
            <v>IND9</v>
          </cell>
          <cell r="C161" t="str">
            <v>Amazon.com Services, Inc.</v>
          </cell>
          <cell r="D161" t="str">
            <v>1151 S GRAHAM RD</v>
          </cell>
          <cell r="E161" t="str">
            <v>GREENWOOD</v>
          </cell>
          <cell r="F161" t="str">
            <v>IN</v>
          </cell>
          <cell r="G161" t="str">
            <v>46143-7830</v>
          </cell>
          <cell r="H161" t="str">
            <v>US</v>
          </cell>
          <cell r="I161" t="str">
            <v>1234567890</v>
          </cell>
        </row>
        <row r="162">
          <cell r="A162" t="str">
            <v>CLT2</v>
          </cell>
          <cell r="B162" t="str">
            <v>CLT2</v>
          </cell>
          <cell r="C162" t="str">
            <v>Amazon.com Services, Inc.</v>
          </cell>
          <cell r="D162" t="str">
            <v>10240 Old Dowd Rd</v>
          </cell>
          <cell r="E162" t="str">
            <v>Charlotte</v>
          </cell>
          <cell r="F162" t="str">
            <v>NC</v>
          </cell>
          <cell r="G162" t="str">
            <v>28214-8082</v>
          </cell>
          <cell r="H162" t="str">
            <v>US</v>
          </cell>
          <cell r="I162" t="str">
            <v>1234567890</v>
          </cell>
        </row>
        <row r="163">
          <cell r="A163" t="str">
            <v>LAS1</v>
          </cell>
          <cell r="B163" t="str">
            <v>LAS1</v>
          </cell>
          <cell r="C163" t="str">
            <v>Amazon.com Services, Inc.</v>
          </cell>
          <cell r="D163" t="str">
            <v>12300 Bermuda Road</v>
          </cell>
          <cell r="E163" t="str">
            <v>HENDERSON</v>
          </cell>
          <cell r="F163" t="str">
            <v>NV</v>
          </cell>
          <cell r="G163" t="str">
            <v>89044-8746</v>
          </cell>
          <cell r="H163" t="str">
            <v>US</v>
          </cell>
          <cell r="I163" t="str">
            <v>1234567890</v>
          </cell>
        </row>
        <row r="164">
          <cell r="A164" t="str">
            <v>SMF3</v>
          </cell>
          <cell r="B164" t="str">
            <v>SMF3</v>
          </cell>
          <cell r="C164" t="str">
            <v>Amazon.com Services, Inc.</v>
          </cell>
          <cell r="D164" t="str">
            <v>3923 S B ST</v>
          </cell>
          <cell r="E164" t="str">
            <v>Stockton</v>
          </cell>
          <cell r="F164" t="str">
            <v>CA</v>
          </cell>
          <cell r="G164" t="str">
            <v>95206-8202</v>
          </cell>
          <cell r="H164" t="str">
            <v>US</v>
          </cell>
          <cell r="I164" t="str">
            <v>1234567890</v>
          </cell>
        </row>
        <row r="165">
          <cell r="A165" t="str">
            <v>ONT2</v>
          </cell>
          <cell r="B165" t="str">
            <v>ONT2</v>
          </cell>
          <cell r="C165" t="str">
            <v>Amazon.com Services, Inc.</v>
          </cell>
          <cell r="D165" t="str">
            <v>1910 E Central Ave</v>
          </cell>
          <cell r="E165" t="str">
            <v>San Bernardino</v>
          </cell>
          <cell r="F165" t="str">
            <v>CA</v>
          </cell>
          <cell r="G165" t="str">
            <v>92408</v>
          </cell>
          <cell r="H165" t="str">
            <v>US</v>
          </cell>
          <cell r="I165" t="str">
            <v>1234567890</v>
          </cell>
        </row>
        <row r="166">
          <cell r="A166" t="str">
            <v>MQJ1</v>
          </cell>
          <cell r="B166" t="str">
            <v>MQJ1</v>
          </cell>
          <cell r="C166" t="str">
            <v>Amazon.com Services, Inc.</v>
          </cell>
          <cell r="D166" t="str">
            <v>4412 W 300 RD N</v>
          </cell>
          <cell r="E166" t="str">
            <v>GREENFIELD</v>
          </cell>
          <cell r="F166" t="str">
            <v>IN</v>
          </cell>
          <cell r="G166" t="str">
            <v>46140-7099</v>
          </cell>
          <cell r="H166" t="str">
            <v>US</v>
          </cell>
          <cell r="I166" t="str">
            <v>1234567890</v>
          </cell>
        </row>
        <row r="167">
          <cell r="A167" t="str">
            <v>GYR3</v>
          </cell>
          <cell r="B167" t="str">
            <v>GYR3</v>
          </cell>
          <cell r="C167" t="str">
            <v>Amazon.com Services, Inc.</v>
          </cell>
          <cell r="D167" t="str">
            <v>8181 W ROOSEVELT ST</v>
          </cell>
          <cell r="E167" t="str">
            <v>PHOENIX</v>
          </cell>
          <cell r="F167" t="str">
            <v>AZ</v>
          </cell>
          <cell r="G167" t="str">
            <v>85043-2356</v>
          </cell>
          <cell r="H167" t="str">
            <v>US</v>
          </cell>
          <cell r="I167" t="str">
            <v>1234567890</v>
          </cell>
        </row>
        <row r="168">
          <cell r="A168" t="str">
            <v>KRB2</v>
          </cell>
          <cell r="B168" t="str">
            <v>KRB2</v>
          </cell>
          <cell r="C168" t="str">
            <v>Amazon.com Services, Inc.</v>
          </cell>
          <cell r="D168" t="str">
            <v>7000 HARDWARE DR</v>
          </cell>
          <cell r="E168" t="str">
            <v>PRINCE GEORGE</v>
          </cell>
          <cell r="F168" t="str">
            <v>VA</v>
          </cell>
          <cell r="G168" t="str">
            <v>23875-3041</v>
          </cell>
          <cell r="H168" t="str">
            <v>US</v>
          </cell>
          <cell r="I168" t="str">
            <v>1234567890</v>
          </cell>
        </row>
        <row r="169">
          <cell r="A169" t="str">
            <v>KRB1</v>
          </cell>
          <cell r="B169" t="str">
            <v>KRB1</v>
          </cell>
          <cell r="C169" t="str">
            <v>Amazon.com Services, Inc.</v>
          </cell>
          <cell r="D169" t="str">
            <v>555 E ORANGE SHOW RD</v>
          </cell>
          <cell r="E169" t="str">
            <v>SAN BERNARDINO</v>
          </cell>
          <cell r="F169" t="str">
            <v>CA</v>
          </cell>
          <cell r="G169" t="str">
            <v>92408</v>
          </cell>
          <cell r="H169" t="str">
            <v>US</v>
          </cell>
          <cell r="I169" t="str">
            <v>1234567890</v>
          </cell>
        </row>
        <row r="170">
          <cell r="A170" t="str">
            <v>TEB9</v>
          </cell>
          <cell r="B170" t="str">
            <v>TEB9</v>
          </cell>
          <cell r="C170" t="str">
            <v>Amazon.com Services, Inc.</v>
          </cell>
          <cell r="D170" t="str">
            <v>601 Randolph Road</v>
          </cell>
          <cell r="E170" t="str">
            <v>SOMERSET</v>
          </cell>
          <cell r="F170" t="str">
            <v>NJ</v>
          </cell>
          <cell r="G170" t="str">
            <v>08873</v>
          </cell>
          <cell r="H170" t="str">
            <v>US</v>
          </cell>
          <cell r="I170" t="str">
            <v>1234567890</v>
          </cell>
        </row>
        <row r="171">
          <cell r="A171" t="str">
            <v>SBD2</v>
          </cell>
          <cell r="B171" t="str">
            <v>SBD2</v>
          </cell>
          <cell r="C171" t="str">
            <v>Amazon.com Services, Inc.</v>
          </cell>
          <cell r="D171" t="str">
            <v>1494 S WATERMAN AVE</v>
          </cell>
          <cell r="E171" t="str">
            <v>SAN BERNARDINO</v>
          </cell>
          <cell r="F171" t="str">
            <v>CA</v>
          </cell>
          <cell r="G171" t="str">
            <v>92408-2805</v>
          </cell>
          <cell r="H171" t="str">
            <v>US</v>
          </cell>
          <cell r="I171" t="str">
            <v>1234567890</v>
          </cell>
        </row>
        <row r="172">
          <cell r="A172" t="str">
            <v>STL3</v>
          </cell>
          <cell r="B172" t="str">
            <v>STL3</v>
          </cell>
          <cell r="C172" t="str">
            <v>Amazon.com Services, Inc.</v>
          </cell>
          <cell r="D172" t="str">
            <v>3200 E SAWYER RD</v>
          </cell>
          <cell r="E172" t="str">
            <v>REPUBLIC</v>
          </cell>
          <cell r="F172" t="str">
            <v>MO</v>
          </cell>
          <cell r="G172" t="str">
            <v>65738-2779</v>
          </cell>
          <cell r="H172" t="str">
            <v>US</v>
          </cell>
          <cell r="I172" t="str">
            <v>1234567890</v>
          </cell>
        </row>
        <row r="173">
          <cell r="A173" t="str">
            <v>TEB4</v>
          </cell>
          <cell r="B173" t="str">
            <v>TEB4</v>
          </cell>
          <cell r="C173" t="str">
            <v>Amazon.com Services, Inc.</v>
          </cell>
          <cell r="D173" t="str">
            <v>747 COURSES LANDING RD</v>
          </cell>
          <cell r="E173" t="str">
            <v>PENNS GROVE</v>
          </cell>
          <cell r="F173" t="str">
            <v>NJ</v>
          </cell>
          <cell r="G173" t="str">
            <v>08069-2957</v>
          </cell>
          <cell r="H173" t="str">
            <v>US</v>
          </cell>
          <cell r="I173" t="str">
            <v>1234567890</v>
          </cell>
        </row>
        <row r="174">
          <cell r="A174" t="str">
            <v>CMH3</v>
          </cell>
          <cell r="B174" t="str">
            <v>CMH3</v>
          </cell>
          <cell r="C174" t="str">
            <v>Amazon.com Services, Inc.</v>
          </cell>
          <cell r="D174" t="str">
            <v>700 GATEWAY BLVD</v>
          </cell>
          <cell r="E174" t="str">
            <v>Monroe</v>
          </cell>
          <cell r="F174" t="str">
            <v>OH</v>
          </cell>
          <cell r="G174" t="str">
            <v>45050-1848</v>
          </cell>
          <cell r="H174" t="str">
            <v>US</v>
          </cell>
          <cell r="I174" t="str">
            <v>1234567890</v>
          </cell>
        </row>
        <row r="175">
          <cell r="A175" t="str">
            <v>OKC2</v>
          </cell>
          <cell r="B175" t="str">
            <v>OKC2</v>
          </cell>
          <cell r="C175" t="str">
            <v>Amazon.com Services, Inc.</v>
          </cell>
          <cell r="D175" t="str">
            <v>8991 S Portland Avenue</v>
          </cell>
          <cell r="E175" t="str">
            <v>OKLAHOMA CITY</v>
          </cell>
          <cell r="F175" t="str">
            <v>OK</v>
          </cell>
          <cell r="G175" t="str">
            <v>73159-0003</v>
          </cell>
          <cell r="H175" t="str">
            <v>US</v>
          </cell>
          <cell r="I175" t="str">
            <v>1234567890</v>
          </cell>
        </row>
        <row r="176">
          <cell r="A176" t="str">
            <v>KRB4</v>
          </cell>
          <cell r="B176" t="str">
            <v>KRB4</v>
          </cell>
          <cell r="C176" t="str">
            <v>Amazon.com Services, Inc.</v>
          </cell>
          <cell r="D176" t="str">
            <v>4501 PATTERSON AVE</v>
          </cell>
          <cell r="E176" t="str">
            <v>PERRIS</v>
          </cell>
          <cell r="F176" t="str">
            <v>CA</v>
          </cell>
          <cell r="G176" t="str">
            <v>92571-9722</v>
          </cell>
          <cell r="H176" t="str">
            <v>US</v>
          </cell>
          <cell r="I176" t="str">
            <v>1234567890</v>
          </cell>
        </row>
        <row r="177">
          <cell r="A177" t="str">
            <v>ALB1</v>
          </cell>
          <cell r="B177" t="str">
            <v>ALB1</v>
          </cell>
          <cell r="C177" t="str">
            <v>Amazon.com Services, Inc.</v>
          </cell>
          <cell r="D177" t="str">
            <v>1835 US Route 9</v>
          </cell>
          <cell r="E177" t="str">
            <v>Castleton</v>
          </cell>
          <cell r="F177" t="str">
            <v>NY</v>
          </cell>
          <cell r="G177" t="str">
            <v>12033-9634</v>
          </cell>
          <cell r="H177" t="str">
            <v>US</v>
          </cell>
          <cell r="I177" t="str">
            <v>1234567890</v>
          </cell>
        </row>
        <row r="178">
          <cell r="A178" t="str">
            <v>JVL1</v>
          </cell>
          <cell r="B178" t="str">
            <v>JVL1</v>
          </cell>
          <cell r="C178" t="str">
            <v>Amazon.com Services, Inc.</v>
          </cell>
          <cell r="D178" t="str">
            <v>1255 Gateway Blvd</v>
          </cell>
          <cell r="E178" t="str">
            <v>BELOIT</v>
          </cell>
          <cell r="F178" t="str">
            <v>WI</v>
          </cell>
          <cell r="G178" t="str">
            <v>53511-9709</v>
          </cell>
          <cell r="H178" t="str">
            <v>US</v>
          </cell>
          <cell r="I178" t="str">
            <v>1234567890</v>
          </cell>
        </row>
        <row r="179">
          <cell r="A179" t="str">
            <v>HSV1</v>
          </cell>
          <cell r="B179" t="str">
            <v>HSV1</v>
          </cell>
          <cell r="C179" t="str">
            <v>Amazon.com Services, Inc.</v>
          </cell>
          <cell r="D179" t="str">
            <v>7817 Greenbrier Road</v>
          </cell>
          <cell r="E179" t="str">
            <v>MADISON</v>
          </cell>
          <cell r="F179" t="str">
            <v>AL</v>
          </cell>
          <cell r="G179" t="str">
            <v>35756-4403</v>
          </cell>
          <cell r="H179" t="str">
            <v>US</v>
          </cell>
          <cell r="I179" t="str">
            <v>1234567890</v>
          </cell>
        </row>
        <row r="180">
          <cell r="A180" t="str">
            <v>GEG2</v>
          </cell>
          <cell r="B180" t="str">
            <v>GEG2</v>
          </cell>
          <cell r="C180" t="str">
            <v>Amazon.com Services, Inc.</v>
          </cell>
          <cell r="D180" t="str">
            <v>18007 E Garland Ave</v>
          </cell>
          <cell r="E180" t="str">
            <v>SPOKANE</v>
          </cell>
          <cell r="F180" t="str">
            <v>WA</v>
          </cell>
          <cell r="G180" t="str">
            <v>99216-6102</v>
          </cell>
          <cell r="H180" t="str">
            <v>US</v>
          </cell>
          <cell r="I180" t="str">
            <v>1234567890</v>
          </cell>
        </row>
        <row r="181">
          <cell r="A181" t="str">
            <v>PIT2</v>
          </cell>
          <cell r="B181" t="str">
            <v>PIT2</v>
          </cell>
          <cell r="C181" t="str">
            <v>Amazon.com Services, Inc.</v>
          </cell>
          <cell r="D181" t="str">
            <v>1200 Westport Rd</v>
          </cell>
          <cell r="E181" t="str">
            <v>IMPERIAL</v>
          </cell>
          <cell r="F181" t="str">
            <v>PA</v>
          </cell>
          <cell r="G181" t="str">
            <v>15126-1002</v>
          </cell>
          <cell r="H181" t="str">
            <v>US</v>
          </cell>
          <cell r="I181" t="str">
            <v>1234567890</v>
          </cell>
        </row>
        <row r="182">
          <cell r="A182" t="str">
            <v>GYR2</v>
          </cell>
          <cell r="B182" t="str">
            <v>GYR2</v>
          </cell>
          <cell r="C182" t="str">
            <v>Amazon.com Services, Inc.</v>
          </cell>
          <cell r="D182" t="str">
            <v>17341 W MINNEZONA AVE</v>
          </cell>
          <cell r="E182" t="str">
            <v>GOODYEAR</v>
          </cell>
          <cell r="F182" t="str">
            <v>AZ</v>
          </cell>
          <cell r="G182" t="str">
            <v>85395-7672</v>
          </cell>
          <cell r="H182" t="str">
            <v>US</v>
          </cell>
          <cell r="I182" t="str">
            <v>1234567890</v>
          </cell>
        </row>
        <row r="183">
          <cell r="A183" t="str">
            <v>ORD2</v>
          </cell>
          <cell r="B183" t="str">
            <v>ORD2</v>
          </cell>
          <cell r="C183" t="str">
            <v>Amazon.com Services, Inc.</v>
          </cell>
          <cell r="D183" t="str">
            <v>23714 W Amoco Rd</v>
          </cell>
          <cell r="E183" t="str">
            <v>CHANNAHON</v>
          </cell>
          <cell r="F183" t="str">
            <v>IL</v>
          </cell>
          <cell r="G183" t="str">
            <v>60410-8758</v>
          </cell>
          <cell r="H183" t="str">
            <v>US</v>
          </cell>
          <cell r="I183" t="str">
            <v>1234567890</v>
          </cell>
        </row>
        <row r="184">
          <cell r="A184" t="str">
            <v>IGQ2</v>
          </cell>
          <cell r="B184" t="str">
            <v>IGQ2</v>
          </cell>
          <cell r="C184" t="str">
            <v>Amazon.com Services, Inc.</v>
          </cell>
          <cell r="D184" t="str">
            <v>23257 S. Central Avenue</v>
          </cell>
          <cell r="E184" t="str">
            <v>University Park</v>
          </cell>
          <cell r="F184" t="str">
            <v>IL</v>
          </cell>
          <cell r="G184" t="str">
            <v>60484-3271</v>
          </cell>
          <cell r="H184" t="str">
            <v>US</v>
          </cell>
          <cell r="I184" t="str">
            <v>1234567890</v>
          </cell>
        </row>
        <row r="185">
          <cell r="A185" t="str">
            <v>HOU8</v>
          </cell>
          <cell r="B185" t="str">
            <v>HOU8</v>
          </cell>
          <cell r="C185" t="str">
            <v>Amazon.com Services, Inc.</v>
          </cell>
          <cell r="D185" t="str">
            <v>2303 Hurricane Lane</v>
          </cell>
          <cell r="E185" t="str">
            <v>FRESNO</v>
          </cell>
          <cell r="F185" t="str">
            <v>TX</v>
          </cell>
          <cell r="G185" t="str">
            <v>77545-1129</v>
          </cell>
          <cell r="H185" t="str">
            <v>US</v>
          </cell>
          <cell r="I185" t="str">
            <v>1234567890</v>
          </cell>
        </row>
        <row r="186">
          <cell r="A186" t="str">
            <v>SBD1</v>
          </cell>
          <cell r="B186" t="str">
            <v>SBD1</v>
          </cell>
          <cell r="C186" t="str">
            <v>Amazon.com Services, Inc.</v>
          </cell>
          <cell r="D186" t="str">
            <v>3388 S Cactus Ave</v>
          </cell>
          <cell r="E186" t="str">
            <v>BLOOMINGTON</v>
          </cell>
          <cell r="F186" t="str">
            <v>CA</v>
          </cell>
          <cell r="G186" t="str">
            <v>92316-3819</v>
          </cell>
          <cell r="H186" t="str">
            <v>US</v>
          </cell>
          <cell r="I186" t="str">
            <v>1234567890</v>
          </cell>
        </row>
        <row r="187">
          <cell r="A187" t="str">
            <v>MEM6</v>
          </cell>
          <cell r="B187" t="str">
            <v>MEM6</v>
          </cell>
          <cell r="C187" t="str">
            <v>Amazon.com Services, Inc.</v>
          </cell>
          <cell r="D187" t="str">
            <v>11505 PROGRESS WAY</v>
          </cell>
          <cell r="E187" t="str">
            <v>OLIVE BRANCH</v>
          </cell>
          <cell r="F187" t="str">
            <v>MS</v>
          </cell>
          <cell r="G187" t="str">
            <v>38654-2510</v>
          </cell>
          <cell r="H187" t="str">
            <v>US</v>
          </cell>
          <cell r="I187" t="str">
            <v>1234567890</v>
          </cell>
        </row>
        <row r="188">
          <cell r="A188" t="str">
            <v>SCK4</v>
          </cell>
          <cell r="B188" t="str">
            <v>SCK4</v>
          </cell>
          <cell r="C188" t="str">
            <v>Amazon.com Services, Inc.</v>
          </cell>
          <cell r="D188" t="str">
            <v>6001 S AUSTIN RD</v>
          </cell>
          <cell r="E188" t="str">
            <v>STOCKTON</v>
          </cell>
          <cell r="F188" t="str">
            <v>CA</v>
          </cell>
          <cell r="G188" t="str">
            <v>95215-8354</v>
          </cell>
          <cell r="H188" t="str">
            <v>US</v>
          </cell>
          <cell r="I188" t="str">
            <v>1234567890</v>
          </cell>
        </row>
        <row r="189">
          <cell r="A189" t="str">
            <v>DCA6</v>
          </cell>
          <cell r="B189" t="str">
            <v>DCA6</v>
          </cell>
          <cell r="C189" t="str">
            <v>Amazon.com Services, Inc.</v>
          </cell>
          <cell r="D189" t="str">
            <v>6001 Bethlehem Blvd</v>
          </cell>
          <cell r="E189" t="str">
            <v>BALTIMORE</v>
          </cell>
          <cell r="F189" t="str">
            <v>MD</v>
          </cell>
          <cell r="G189" t="str">
            <v>21219-1041</v>
          </cell>
          <cell r="H189" t="str">
            <v>US</v>
          </cell>
          <cell r="I189" t="str">
            <v>1234567890</v>
          </cell>
        </row>
        <row r="190">
          <cell r="A190" t="str">
            <v>MCO2</v>
          </cell>
          <cell r="B190" t="str">
            <v>MCO2</v>
          </cell>
          <cell r="C190" t="str">
            <v>Amazon.com Services, Inc.</v>
          </cell>
          <cell r="D190" t="str">
            <v>2600N Normandy Blvd</v>
          </cell>
          <cell r="E190" t="str">
            <v>Deltona</v>
          </cell>
          <cell r="F190" t="str">
            <v>FL</v>
          </cell>
          <cell r="G190" t="str">
            <v>32725-2610</v>
          </cell>
          <cell r="H190" t="str">
            <v>US</v>
          </cell>
          <cell r="I190" t="str">
            <v>1234567890</v>
          </cell>
        </row>
        <row r="191">
          <cell r="A191" t="str">
            <v>TTN2</v>
          </cell>
          <cell r="B191" t="str">
            <v>TTN2</v>
          </cell>
          <cell r="C191" t="str">
            <v>Amazon.com Services, Inc.</v>
          </cell>
          <cell r="D191" t="str">
            <v>343 HALF ACRE RD</v>
          </cell>
          <cell r="E191" t="str">
            <v>CRANBURY</v>
          </cell>
          <cell r="F191" t="str">
            <v>NJ</v>
          </cell>
          <cell r="G191" t="str">
            <v>08512-3253</v>
          </cell>
          <cell r="H191" t="str">
            <v>US</v>
          </cell>
          <cell r="I191" t="str">
            <v>1234567890</v>
          </cell>
        </row>
        <row r="192">
          <cell r="A192" t="str">
            <v>DTW3</v>
          </cell>
          <cell r="B192" t="str">
            <v>DTW3</v>
          </cell>
          <cell r="C192" t="str">
            <v>Amazon.com Services, Inc.</v>
          </cell>
          <cell r="D192" t="str">
            <v>33701 PRESCOTT ST</v>
          </cell>
          <cell r="E192" t="str">
            <v>ROMULUS</v>
          </cell>
          <cell r="F192" t="str">
            <v>MI</v>
          </cell>
          <cell r="G192" t="str">
            <v>48174-9760</v>
          </cell>
          <cell r="H192" t="str">
            <v>US</v>
          </cell>
          <cell r="I192" t="str">
            <v>1234567890</v>
          </cell>
        </row>
        <row r="193">
          <cell r="A193" t="str">
            <v>RDG1</v>
          </cell>
          <cell r="B193" t="str">
            <v>RDG1</v>
          </cell>
          <cell r="C193" t="str">
            <v>Amazon.com Services, Inc.</v>
          </cell>
          <cell r="D193" t="str">
            <v>3563 Mountain Road</v>
          </cell>
          <cell r="E193" t="str">
            <v>HAMBURG</v>
          </cell>
          <cell r="F193" t="str">
            <v>PA</v>
          </cell>
          <cell r="G193" t="str">
            <v>19526-7947</v>
          </cell>
          <cell r="H193" t="str">
            <v>US</v>
          </cell>
          <cell r="I193" t="str">
            <v>1234567890</v>
          </cell>
        </row>
        <row r="194">
          <cell r="A194" t="str">
            <v>FWA4</v>
          </cell>
          <cell r="B194" t="str">
            <v>FWA4</v>
          </cell>
          <cell r="C194" t="str">
            <v>Amazon.com Services, Inc.</v>
          </cell>
          <cell r="D194" t="str">
            <v>9798 SMITH Road</v>
          </cell>
          <cell r="E194" t="str">
            <v>FORT WAYNE</v>
          </cell>
          <cell r="F194" t="str">
            <v>IN</v>
          </cell>
          <cell r="G194" t="str">
            <v>46809</v>
          </cell>
          <cell r="H194" t="str">
            <v>US</v>
          </cell>
          <cell r="I194" t="str">
            <v>1234567890</v>
          </cell>
        </row>
        <row r="195">
          <cell r="A195" t="str">
            <v>MGE1</v>
          </cell>
          <cell r="B195" t="str">
            <v>MGE1</v>
          </cell>
          <cell r="C195" t="str">
            <v>Amazon.com Services, Inc.</v>
          </cell>
          <cell r="D195" t="str">
            <v>650 Broadway Avenue</v>
          </cell>
          <cell r="E195" t="str">
            <v>Braselton</v>
          </cell>
          <cell r="F195" t="str">
            <v>GA</v>
          </cell>
          <cell r="G195" t="str">
            <v>30517</v>
          </cell>
          <cell r="H195" t="str">
            <v>US</v>
          </cell>
          <cell r="I195" t="str">
            <v>0123456789</v>
          </cell>
        </row>
        <row r="196">
          <cell r="A196" t="str">
            <v>SCK1</v>
          </cell>
          <cell r="B196" t="str">
            <v>SCK1</v>
          </cell>
          <cell r="C196" t="str">
            <v>Amazon.com Services, Inc.</v>
          </cell>
          <cell r="D196" t="str">
            <v>4532 Newcastle Rd</v>
          </cell>
          <cell r="E196" t="str">
            <v>Stockton</v>
          </cell>
          <cell r="F196" t="str">
            <v>CA</v>
          </cell>
          <cell r="G196" t="str">
            <v>95215</v>
          </cell>
          <cell r="H196" t="str">
            <v>US</v>
          </cell>
          <cell r="I196" t="str">
            <v>1234567890</v>
          </cell>
        </row>
        <row r="197">
          <cell r="A197" t="str">
            <v>ILG1</v>
          </cell>
          <cell r="B197" t="str">
            <v>ILG1</v>
          </cell>
          <cell r="C197" t="str">
            <v>Amazon.com Services, Inc.</v>
          </cell>
          <cell r="D197" t="str">
            <v>780 S Dupont Hwy</v>
          </cell>
          <cell r="E197" t="str">
            <v>NEW CASTLE</v>
          </cell>
          <cell r="F197" t="str">
            <v>DE</v>
          </cell>
          <cell r="G197" t="str">
            <v>19720</v>
          </cell>
          <cell r="H197" t="str">
            <v>US</v>
          </cell>
          <cell r="I197" t="str">
            <v>1234567890</v>
          </cell>
        </row>
        <row r="198">
          <cell r="A198" t="str">
            <v>FAT2</v>
          </cell>
          <cell r="B198" t="str">
            <v>FAT2</v>
          </cell>
          <cell r="C198" t="str">
            <v>Amazon.com Services, Inc.</v>
          </cell>
          <cell r="D198" t="str">
            <v>3315 N KELSEY ST</v>
          </cell>
          <cell r="E198" t="str">
            <v>VISALIA</v>
          </cell>
          <cell r="F198" t="str">
            <v>CA</v>
          </cell>
          <cell r="G198" t="str">
            <v>93291</v>
          </cell>
          <cell r="H198" t="str">
            <v>US</v>
          </cell>
          <cell r="I198" t="str">
            <v>1234567890</v>
          </cell>
        </row>
        <row r="199">
          <cell r="A199" t="str">
            <v>FBAI</v>
          </cell>
          <cell r="B199" t="str">
            <v>FBAI</v>
          </cell>
          <cell r="C199" t="str">
            <v>Amazon.com Services, Inc.</v>
          </cell>
          <cell r="D199" t="str">
            <v>1230 B2 N Main St</v>
          </cell>
          <cell r="E199" t="str">
            <v>Fort Bragg</v>
          </cell>
          <cell r="F199" t="str">
            <v>CA</v>
          </cell>
          <cell r="G199" t="str">
            <v>95437</v>
          </cell>
          <cell r="H199" t="str">
            <v>US</v>
          </cell>
          <cell r="I199" t="str">
            <v>1234567890</v>
          </cell>
        </row>
        <row r="200">
          <cell r="A200" t="str">
            <v>UNC1</v>
          </cell>
          <cell r="B200" t="str">
            <v>UNC1</v>
          </cell>
          <cell r="C200" t="str">
            <v>Amazon.com Services, Inc.</v>
          </cell>
          <cell r="D200" t="str">
            <v>10240 Old Dowd Rd</v>
          </cell>
          <cell r="E200" t="str">
            <v>Charlotte</v>
          </cell>
          <cell r="F200" t="str">
            <v>NC</v>
          </cell>
          <cell r="G200" t="str">
            <v>28214</v>
          </cell>
          <cell r="H200" t="str">
            <v>US</v>
          </cell>
          <cell r="I200" t="str">
            <v>1234567890</v>
          </cell>
        </row>
        <row r="201">
          <cell r="A201" t="str">
            <v>LIT2</v>
          </cell>
          <cell r="B201" t="str">
            <v>LIT2</v>
          </cell>
          <cell r="C201" t="str">
            <v>Amazon.com Services, Inc.</v>
          </cell>
          <cell r="D201" t="str">
            <v>13001 HIGHWAY 70</v>
          </cell>
          <cell r="E201" t="str">
            <v>NORTH LITTLE ROCK</v>
          </cell>
          <cell r="F201" t="str">
            <v>AR</v>
          </cell>
          <cell r="G201" t="str">
            <v>72117-5026</v>
          </cell>
          <cell r="H201" t="str">
            <v>US</v>
          </cell>
          <cell r="I201" t="str">
            <v>1234567890</v>
          </cell>
        </row>
        <row r="202">
          <cell r="A202" t="str">
            <v>ORF2</v>
          </cell>
          <cell r="B202" t="str">
            <v>ORF2</v>
          </cell>
          <cell r="C202" t="str">
            <v>Amazon.com Services, Inc.</v>
          </cell>
          <cell r="D202" t="str">
            <v>9603 Coach Road</v>
          </cell>
          <cell r="E202" t="str">
            <v>Richmond</v>
          </cell>
          <cell r="F202" t="str">
            <v>VA</v>
          </cell>
          <cell r="G202" t="str">
            <v>23297</v>
          </cell>
          <cell r="H202" t="str">
            <v>US</v>
          </cell>
        </row>
        <row r="203">
          <cell r="A203" t="str">
            <v>SWF1</v>
          </cell>
          <cell r="B203" t="str">
            <v>SWF1</v>
          </cell>
          <cell r="C203" t="str">
            <v>Amazon.com Services, Inc.</v>
          </cell>
          <cell r="D203" t="str">
            <v>635 INTERNATIONAL BLVD</v>
          </cell>
          <cell r="E203" t="str">
            <v>ROCK TAVERN</v>
          </cell>
          <cell r="F203" t="str">
            <v>NY</v>
          </cell>
          <cell r="G203" t="str">
            <v>12575-5150</v>
          </cell>
          <cell r="H203" t="str">
            <v>US</v>
          </cell>
          <cell r="I203" t="str">
            <v>1234567890</v>
          </cell>
        </row>
        <row r="204">
          <cell r="A204" t="str">
            <v>ICT2</v>
          </cell>
          <cell r="B204" t="str">
            <v>ICT2</v>
          </cell>
          <cell r="C204" t="str">
            <v>Amazon.com Services, Inc.</v>
          </cell>
          <cell r="D204" t="str">
            <v>7130 N BROADWAY AVE</v>
          </cell>
          <cell r="E204" t="str">
            <v>PARK CITY</v>
          </cell>
          <cell r="F204" t="str">
            <v>KS</v>
          </cell>
          <cell r="G204" t="str">
            <v>67219-1410</v>
          </cell>
          <cell r="H204" t="str">
            <v>US</v>
          </cell>
          <cell r="I204" t="str">
            <v>1234567890</v>
          </cell>
        </row>
        <row r="205">
          <cell r="A205" t="str">
            <v>GSO1</v>
          </cell>
          <cell r="B205" t="str">
            <v>GSO1</v>
          </cell>
          <cell r="C205" t="str">
            <v>Amazon.com Services, Inc.</v>
          </cell>
          <cell r="D205" t="str">
            <v>1656 OLD GREENSBORO RD</v>
          </cell>
          <cell r="E205" t="str">
            <v>KERNERSVILLE</v>
          </cell>
          <cell r="F205" t="str">
            <v>NC</v>
          </cell>
          <cell r="G205" t="str">
            <v>27284</v>
          </cell>
          <cell r="H205" t="str">
            <v>US</v>
          </cell>
          <cell r="I205" t="str">
            <v>1234567890</v>
          </cell>
        </row>
        <row r="206">
          <cell r="A206" t="str">
            <v>DSE2</v>
          </cell>
          <cell r="B206" t="str">
            <v>DSE2</v>
          </cell>
          <cell r="C206" t="str">
            <v>Amazon.com Services, Inc.</v>
          </cell>
          <cell r="D206" t="str">
            <v>6705 E Marginal Way</v>
          </cell>
          <cell r="E206" t="str">
            <v>Seattle</v>
          </cell>
          <cell r="F206" t="str">
            <v>WA</v>
          </cell>
          <cell r="G206" t="str">
            <v>98108</v>
          </cell>
          <cell r="H206" t="str">
            <v>US</v>
          </cell>
          <cell r="I206" t="str">
            <v>1234567890</v>
          </cell>
        </row>
        <row r="207">
          <cell r="A207" t="str">
            <v>HIO9</v>
          </cell>
          <cell r="B207" t="str">
            <v>HIO9</v>
          </cell>
          <cell r="C207" t="str">
            <v>Amazon.com Services, Inc.</v>
          </cell>
          <cell r="D207" t="str">
            <v>23677 NW Huffman St</v>
          </cell>
          <cell r="E207" t="str">
            <v>Hillsboro</v>
          </cell>
          <cell r="F207" t="str">
            <v>OR</v>
          </cell>
          <cell r="G207" t="str">
            <v>97124</v>
          </cell>
          <cell r="H207" t="str">
            <v>US</v>
          </cell>
          <cell r="I207" t="str">
            <v>1234567890</v>
          </cell>
        </row>
        <row r="208">
          <cell r="A208" t="str">
            <v>MCE1</v>
          </cell>
          <cell r="B208" t="str">
            <v>MCE1</v>
          </cell>
          <cell r="C208" t="str">
            <v>Amazon.com Services, Inc.</v>
          </cell>
          <cell r="D208" t="str">
            <v>3200 Fulkerth Rd</v>
          </cell>
          <cell r="E208" t="str">
            <v>Turlock</v>
          </cell>
          <cell r="F208" t="str">
            <v>CA</v>
          </cell>
          <cell r="G208" t="str">
            <v>95380</v>
          </cell>
          <cell r="H208" t="str">
            <v>US</v>
          </cell>
          <cell r="I208" t="str">
            <v>1234567890</v>
          </cell>
        </row>
        <row r="209">
          <cell r="A209" t="str">
            <v>DSF3</v>
          </cell>
          <cell r="B209" t="str">
            <v>DSF3</v>
          </cell>
          <cell r="C209" t="str">
            <v>Amazon.com Services, Inc.</v>
          </cell>
          <cell r="D209" t="str">
            <v>1700 Montague Expy</v>
          </cell>
          <cell r="E209" t="str">
            <v>San Jose</v>
          </cell>
          <cell r="F209" t="str">
            <v>CA</v>
          </cell>
          <cell r="G209" t="str">
            <v>95131</v>
          </cell>
          <cell r="H209" t="str">
            <v>US</v>
          </cell>
          <cell r="I209" t="str">
            <v>1234567890</v>
          </cell>
        </row>
        <row r="210">
          <cell r="A210" t="str">
            <v>OAK5</v>
          </cell>
          <cell r="B210" t="str">
            <v>OAK5</v>
          </cell>
          <cell r="C210" t="str">
            <v>Amazon.com Services, Inc.</v>
          </cell>
          <cell r="D210" t="str">
            <v>3811 Cherry Street</v>
          </cell>
          <cell r="E210" t="str">
            <v>Newark</v>
          </cell>
          <cell r="F210" t="str">
            <v>CA</v>
          </cell>
          <cell r="G210" t="str">
            <v>94560</v>
          </cell>
          <cell r="H210" t="str">
            <v>US</v>
          </cell>
          <cell r="I210" t="str">
            <v>1234567890</v>
          </cell>
        </row>
        <row r="211">
          <cell r="A211" t="str">
            <v>DSF5</v>
          </cell>
          <cell r="B211" t="str">
            <v>DSF5</v>
          </cell>
          <cell r="C211" t="str">
            <v>Amazon.com Services, Inc.</v>
          </cell>
          <cell r="D211" t="str">
            <v>250 Utah Ave</v>
          </cell>
          <cell r="E211" t="str">
            <v>South San Francisco</v>
          </cell>
          <cell r="F211" t="str">
            <v>CA</v>
          </cell>
          <cell r="G211" t="str">
            <v>94080</v>
          </cell>
          <cell r="H211" t="str">
            <v>US</v>
          </cell>
          <cell r="I211" t="str">
            <v>1234567890</v>
          </cell>
        </row>
        <row r="212">
          <cell r="A212" t="str">
            <v>DSF6</v>
          </cell>
          <cell r="B212" t="str">
            <v>DSF6</v>
          </cell>
          <cell r="C212" t="str">
            <v>Amazon.com Services, Inc.</v>
          </cell>
          <cell r="D212" t="str">
            <v>6015 Giant Hwy</v>
          </cell>
          <cell r="E212" t="str">
            <v>Richmond</v>
          </cell>
          <cell r="F212" t="str">
            <v>CA</v>
          </cell>
          <cell r="G212" t="str">
            <v>94806</v>
          </cell>
          <cell r="H212" t="str">
            <v>US</v>
          </cell>
          <cell r="I212" t="str">
            <v>1234567890</v>
          </cell>
        </row>
        <row r="213">
          <cell r="A213" t="str">
            <v>UCA4</v>
          </cell>
          <cell r="B213" t="str">
            <v>UCA4</v>
          </cell>
          <cell r="C213" t="str">
            <v>Amazon.com Services, Inc.</v>
          </cell>
          <cell r="D213" t="str">
            <v>2006 McGaw Ave</v>
          </cell>
          <cell r="E213" t="str">
            <v>Irvine</v>
          </cell>
          <cell r="F213" t="str">
            <v>CA</v>
          </cell>
          <cell r="G213" t="str">
            <v>92614</v>
          </cell>
          <cell r="H213" t="str">
            <v>US</v>
          </cell>
          <cell r="I213" t="str">
            <v>1234567890</v>
          </cell>
        </row>
        <row r="214">
          <cell r="A214" t="str">
            <v>DLA5</v>
          </cell>
          <cell r="B214" t="str">
            <v>DLA5</v>
          </cell>
          <cell r="C214" t="str">
            <v>Amazon.com Services, Inc.</v>
          </cell>
          <cell r="D214" t="str">
            <v>6250 Sycamore Canyon Blvd</v>
          </cell>
          <cell r="E214" t="str">
            <v>Riverside</v>
          </cell>
          <cell r="F214" t="str">
            <v>CA</v>
          </cell>
          <cell r="G214" t="str">
            <v>92507</v>
          </cell>
          <cell r="H214" t="str">
            <v>US</v>
          </cell>
          <cell r="I214" t="str">
            <v>1234567890</v>
          </cell>
        </row>
        <row r="215">
          <cell r="A215" t="str">
            <v>ONT5</v>
          </cell>
          <cell r="B215" t="str">
            <v>ONT5</v>
          </cell>
          <cell r="C215" t="str">
            <v>Amazon.com Services, Inc.</v>
          </cell>
          <cell r="D215" t="str">
            <v>2020 E.Central Ave.</v>
          </cell>
          <cell r="E215" t="str">
            <v>San Bernardino</v>
          </cell>
          <cell r="F215" t="str">
            <v>CA</v>
          </cell>
          <cell r="G215" t="str">
            <v>92408</v>
          </cell>
          <cell r="H215" t="str">
            <v>US</v>
          </cell>
          <cell r="I215" t="str">
            <v>1234567890</v>
          </cell>
        </row>
        <row r="216">
          <cell r="A216" t="str">
            <v>DSD1</v>
          </cell>
          <cell r="B216" t="str">
            <v>DSD1</v>
          </cell>
          <cell r="C216" t="str">
            <v>Amazon.com Services, Inc.</v>
          </cell>
          <cell r="D216" t="str">
            <v>16550 Via Esprillo</v>
          </cell>
          <cell r="E216" t="str">
            <v>San Diego</v>
          </cell>
          <cell r="F216" t="str">
            <v>CA</v>
          </cell>
          <cell r="G216" t="str">
            <v>92127</v>
          </cell>
          <cell r="H216" t="str">
            <v>US</v>
          </cell>
          <cell r="I216" t="str">
            <v>1234567890</v>
          </cell>
        </row>
        <row r="217">
          <cell r="A217" t="str">
            <v>PDX7</v>
          </cell>
          <cell r="B217" t="str">
            <v>PDX7</v>
          </cell>
          <cell r="C217" t="str">
            <v>Amazon.com Services, Inc.</v>
          </cell>
          <cell r="D217" t="str">
            <v>4775 Depot Ct SE</v>
          </cell>
          <cell r="E217" t="str">
            <v>Salem</v>
          </cell>
          <cell r="F217" t="str">
            <v>OR</v>
          </cell>
          <cell r="G217" t="str">
            <v>97317</v>
          </cell>
          <cell r="H217" t="str">
            <v>US</v>
          </cell>
          <cell r="I217" t="str">
            <v>1234567890</v>
          </cell>
        </row>
        <row r="218">
          <cell r="A218" t="str">
            <v>DLA2</v>
          </cell>
          <cell r="B218" t="str">
            <v>DLA2</v>
          </cell>
          <cell r="C218" t="str">
            <v>Amazon.com Services, Inc.</v>
          </cell>
          <cell r="D218" t="str">
            <v>5650 Dolly Ave</v>
          </cell>
          <cell r="E218" t="str">
            <v>Buena Park</v>
          </cell>
          <cell r="F218" t="str">
            <v>CA</v>
          </cell>
          <cell r="G218" t="str">
            <v>90621</v>
          </cell>
          <cell r="H218" t="str">
            <v>US</v>
          </cell>
          <cell r="I218" t="str">
            <v>1234567890</v>
          </cell>
        </row>
        <row r="219">
          <cell r="A219" t="str">
            <v>DLA1</v>
          </cell>
          <cell r="B219" t="str">
            <v>DLA1</v>
          </cell>
          <cell r="C219" t="str">
            <v>Amazon.com Services, Inc.</v>
          </cell>
          <cell r="D219" t="str">
            <v>900 W Florence Ave</v>
          </cell>
          <cell r="E219" t="str">
            <v>Inglewood</v>
          </cell>
          <cell r="F219" t="str">
            <v>CA</v>
          </cell>
          <cell r="G219" t="str">
            <v>90301</v>
          </cell>
          <cell r="H219" t="str">
            <v>US</v>
          </cell>
          <cell r="I219" t="str">
            <v>1234567890</v>
          </cell>
        </row>
        <row r="220">
          <cell r="A220" t="str">
            <v>UCA2</v>
          </cell>
          <cell r="B220" t="str">
            <v>UCA2</v>
          </cell>
          <cell r="C220" t="str">
            <v>Amazon.com Services, Inc.</v>
          </cell>
          <cell r="D220" t="str">
            <v>2400 Marine Ave Suite 102</v>
          </cell>
          <cell r="E220" t="str">
            <v>Redondo Beach</v>
          </cell>
          <cell r="F220" t="str">
            <v>CA</v>
          </cell>
          <cell r="G220" t="str">
            <v>90278</v>
          </cell>
          <cell r="H220" t="str">
            <v>US</v>
          </cell>
          <cell r="I220" t="str">
            <v>1234567890</v>
          </cell>
        </row>
        <row r="221">
          <cell r="A221" t="str">
            <v>DLA8</v>
          </cell>
          <cell r="B221" t="str">
            <v>DLA8</v>
          </cell>
          <cell r="C221" t="str">
            <v>Amazon.com Services, Inc.</v>
          </cell>
          <cell r="D221" t="str">
            <v>2815 W El Segundo Blvd</v>
          </cell>
          <cell r="E221" t="str">
            <v>Hawthorne</v>
          </cell>
          <cell r="F221" t="str">
            <v>CA</v>
          </cell>
          <cell r="G221" t="str">
            <v>90250</v>
          </cell>
          <cell r="H221" t="str">
            <v>US</v>
          </cell>
          <cell r="I221" t="str">
            <v>1234567890</v>
          </cell>
        </row>
        <row r="222">
          <cell r="A222" t="str">
            <v>DLA3</v>
          </cell>
          <cell r="B222" t="str">
            <v>DLA3</v>
          </cell>
          <cell r="C222" t="str">
            <v>Amazon.com Services, Inc.</v>
          </cell>
          <cell r="D222" t="str">
            <v>5829 Smithway St</v>
          </cell>
          <cell r="E222" t="str">
            <v>Commerce</v>
          </cell>
          <cell r="F222" t="str">
            <v>CA</v>
          </cell>
          <cell r="G222" t="str">
            <v>90040</v>
          </cell>
          <cell r="H222" t="str">
            <v>US</v>
          </cell>
          <cell r="I222" t="str">
            <v>1234567890</v>
          </cell>
        </row>
        <row r="223">
          <cell r="A223" t="str">
            <v>UCA5</v>
          </cell>
          <cell r="B223" t="str">
            <v>UCA5</v>
          </cell>
          <cell r="C223" t="str">
            <v>Amazon.com Services, Inc.</v>
          </cell>
          <cell r="D223" t="str">
            <v>3334 N San Fernando Rd</v>
          </cell>
          <cell r="E223" t="str">
            <v>Los Angeles</v>
          </cell>
          <cell r="F223" t="str">
            <v>CA</v>
          </cell>
          <cell r="G223" t="str">
            <v>90065</v>
          </cell>
          <cell r="H223" t="str">
            <v>US</v>
          </cell>
          <cell r="I223" t="str">
            <v>1234567890</v>
          </cell>
        </row>
        <row r="224">
          <cell r="A224" t="str">
            <v>UAZ1</v>
          </cell>
          <cell r="B224" t="str">
            <v>UAZ1</v>
          </cell>
          <cell r="C224" t="str">
            <v>Amazon.com Services, Inc.</v>
          </cell>
          <cell r="D224" t="str">
            <v>500 S 48th St</v>
          </cell>
          <cell r="E224" t="str">
            <v>Phoenix</v>
          </cell>
          <cell r="F224" t="str">
            <v>AZ</v>
          </cell>
          <cell r="G224" t="str">
            <v>85034</v>
          </cell>
          <cell r="H224" t="str">
            <v>US</v>
          </cell>
          <cell r="I224" t="str">
            <v>1234567890</v>
          </cell>
        </row>
        <row r="225">
          <cell r="A225" t="str">
            <v>DEN5</v>
          </cell>
          <cell r="B225" t="str">
            <v>DEN5</v>
          </cell>
          <cell r="C225" t="str">
            <v>Amazon.com Services, Inc.</v>
          </cell>
          <cell r="D225" t="str">
            <v>19799 E 36th Dr</v>
          </cell>
          <cell r="E225" t="str">
            <v>Aurora</v>
          </cell>
          <cell r="F225" t="str">
            <v>CO</v>
          </cell>
          <cell r="G225" t="str">
            <v>80011</v>
          </cell>
          <cell r="H225" t="str">
            <v>US</v>
          </cell>
          <cell r="I225" t="str">
            <v>1234567890</v>
          </cell>
        </row>
        <row r="226">
          <cell r="A226" t="str">
            <v>SAT5</v>
          </cell>
          <cell r="B226" t="str">
            <v>SAT5</v>
          </cell>
          <cell r="C226" t="str">
            <v>Amazon.com Services, Inc.</v>
          </cell>
          <cell r="D226" t="str">
            <v>1410 S. Callaghan Road</v>
          </cell>
          <cell r="E226" t="str">
            <v>San Antonio</v>
          </cell>
          <cell r="F226" t="str">
            <v>TX</v>
          </cell>
          <cell r="G226" t="str">
            <v>78227</v>
          </cell>
          <cell r="H226" t="str">
            <v>US</v>
          </cell>
          <cell r="I226" t="str">
            <v>1234567890</v>
          </cell>
        </row>
        <row r="227">
          <cell r="A227" t="str">
            <v>UTX3</v>
          </cell>
          <cell r="B227" t="str">
            <v>UTX3</v>
          </cell>
          <cell r="C227" t="str">
            <v>Amazon.com Services, Inc.</v>
          </cell>
          <cell r="D227" t="str">
            <v>4221 Way Out W Dr #200</v>
          </cell>
          <cell r="E227" t="str">
            <v>Houston</v>
          </cell>
          <cell r="F227" t="str">
            <v>TX</v>
          </cell>
          <cell r="G227" t="str">
            <v>77092</v>
          </cell>
          <cell r="H227" t="str">
            <v>US</v>
          </cell>
          <cell r="I227" t="str">
            <v>1234567890</v>
          </cell>
        </row>
        <row r="228">
          <cell r="A228" t="str">
            <v>FTW3</v>
          </cell>
          <cell r="B228" t="str">
            <v>FTW3</v>
          </cell>
          <cell r="C228" t="str">
            <v>Amazon.com Services, Inc.</v>
          </cell>
          <cell r="D228" t="str">
            <v>15201 Heritage Pkwy</v>
          </cell>
          <cell r="E228" t="str">
            <v>Fort Worth</v>
          </cell>
          <cell r="F228" t="str">
            <v>TX</v>
          </cell>
          <cell r="G228" t="str">
            <v>76177</v>
          </cell>
          <cell r="H228" t="str">
            <v>US</v>
          </cell>
          <cell r="I228" t="str">
            <v>1234567890</v>
          </cell>
        </row>
        <row r="229">
          <cell r="A229" t="str">
            <v>FTW4</v>
          </cell>
          <cell r="B229" t="str">
            <v>FTW4</v>
          </cell>
          <cell r="C229" t="str">
            <v>Amazon.com Services, Inc.</v>
          </cell>
          <cell r="D229" t="str">
            <v>15201 Heritage Pkwy</v>
          </cell>
          <cell r="E229" t="str">
            <v>Fort Worth</v>
          </cell>
          <cell r="F229" t="str">
            <v>TX</v>
          </cell>
          <cell r="G229" t="str">
            <v>76177</v>
          </cell>
          <cell r="H229" t="str">
            <v>US</v>
          </cell>
          <cell r="I229" t="str">
            <v>1234567890</v>
          </cell>
        </row>
        <row r="230">
          <cell r="A230" t="str">
            <v>PTX1</v>
          </cell>
          <cell r="B230" t="str">
            <v>PTX1</v>
          </cell>
          <cell r="C230" t="str">
            <v>Amazon.com Services, Inc.</v>
          </cell>
          <cell r="D230" t="str">
            <v>2101 Danieldale Rd</v>
          </cell>
          <cell r="E230" t="str">
            <v>Lancaster</v>
          </cell>
          <cell r="F230" t="str">
            <v>TX</v>
          </cell>
          <cell r="G230" t="str">
            <v>75134</v>
          </cell>
          <cell r="H230" t="str">
            <v>US</v>
          </cell>
          <cell r="I230" t="str">
            <v>1234567890</v>
          </cell>
        </row>
        <row r="231">
          <cell r="A231" t="str">
            <v>DFW1</v>
          </cell>
          <cell r="B231" t="str">
            <v>DFW1</v>
          </cell>
          <cell r="C231" t="str">
            <v>Amazon.com Services, Inc.</v>
          </cell>
          <cell r="D231" t="str">
            <v>7243 Grady Niblo Rd</v>
          </cell>
          <cell r="E231" t="str">
            <v>Dallas</v>
          </cell>
          <cell r="F231" t="str">
            <v>TX</v>
          </cell>
          <cell r="G231" t="str">
            <v>75236</v>
          </cell>
          <cell r="H231" t="str">
            <v>US</v>
          </cell>
          <cell r="I231" t="str">
            <v>1234567890</v>
          </cell>
        </row>
        <row r="232">
          <cell r="A232" t="str">
            <v>DPA7</v>
          </cell>
          <cell r="B232" t="str">
            <v>DPA7</v>
          </cell>
          <cell r="C232" t="str">
            <v>Amazon.com Services, Inc.</v>
          </cell>
          <cell r="D232" t="str">
            <v>9851 Fallbrook Pines</v>
          </cell>
          <cell r="E232" t="str">
            <v>Houston</v>
          </cell>
          <cell r="F232" t="str">
            <v>TX</v>
          </cell>
          <cell r="G232" t="str">
            <v>77064</v>
          </cell>
          <cell r="H232" t="str">
            <v>US</v>
          </cell>
          <cell r="I232" t="str">
            <v>1234567890</v>
          </cell>
        </row>
        <row r="233">
          <cell r="A233" t="str">
            <v>MCI5</v>
          </cell>
          <cell r="B233" t="str">
            <v>MCI5</v>
          </cell>
          <cell r="C233" t="str">
            <v>Amazon.com Services, Inc.</v>
          </cell>
          <cell r="D233" t="str">
            <v>16851 W 113th St</v>
          </cell>
          <cell r="E233" t="str">
            <v>Lenexa</v>
          </cell>
          <cell r="F233" t="str">
            <v>KS</v>
          </cell>
          <cell r="G233" t="str">
            <v>66219</v>
          </cell>
          <cell r="H233" t="str">
            <v>US</v>
          </cell>
          <cell r="I233" t="str">
            <v>1234567890</v>
          </cell>
        </row>
        <row r="234">
          <cell r="A234" t="str">
            <v>STL6</v>
          </cell>
          <cell r="B234" t="str">
            <v>STL6</v>
          </cell>
          <cell r="C234" t="str">
            <v>Amazon.com Services, Inc.</v>
          </cell>
          <cell r="D234" t="str">
            <v>3931 Lakeview Corporate Dr</v>
          </cell>
          <cell r="E234" t="str">
            <v>Hartford</v>
          </cell>
          <cell r="F234" t="str">
            <v>IL</v>
          </cell>
          <cell r="G234" t="str">
            <v>62048</v>
          </cell>
          <cell r="H234" t="str">
            <v>US</v>
          </cell>
          <cell r="I234" t="str">
            <v>1234567890</v>
          </cell>
        </row>
        <row r="235">
          <cell r="A235" t="str">
            <v>MDW5</v>
          </cell>
          <cell r="B235" t="str">
            <v>MDW5</v>
          </cell>
          <cell r="C235" t="str">
            <v>Amazon.com Services, Inc.</v>
          </cell>
          <cell r="D235" t="str">
            <v>16825 Churnovic Ln</v>
          </cell>
          <cell r="E235" t="str">
            <v>Crest Hill</v>
          </cell>
          <cell r="F235" t="str">
            <v>IL</v>
          </cell>
          <cell r="G235" t="str">
            <v>60435</v>
          </cell>
          <cell r="H235" t="str">
            <v>US</v>
          </cell>
          <cell r="I235" t="str">
            <v>1234567890</v>
          </cell>
        </row>
        <row r="236">
          <cell r="A236" t="str">
            <v>DCH1</v>
          </cell>
          <cell r="B236" t="str">
            <v>DCH1</v>
          </cell>
          <cell r="C236" t="str">
            <v>Amazon.com Services, Inc.</v>
          </cell>
          <cell r="D236" t="str">
            <v>2801 S Western Ave</v>
          </cell>
          <cell r="E236" t="str">
            <v>Chicago</v>
          </cell>
          <cell r="F236" t="str">
            <v>IL</v>
          </cell>
          <cell r="G236" t="str">
            <v>60608</v>
          </cell>
          <cell r="H236" t="str">
            <v>US</v>
          </cell>
          <cell r="I236" t="str">
            <v>1234567890</v>
          </cell>
        </row>
        <row r="237">
          <cell r="A237" t="str">
            <v>UMN1</v>
          </cell>
          <cell r="B237" t="str">
            <v>UMN1</v>
          </cell>
          <cell r="C237" t="str">
            <v>Amazon.com Services, Inc.</v>
          </cell>
          <cell r="D237" t="str">
            <v>763 Kasota Ave SE</v>
          </cell>
          <cell r="E237" t="str">
            <v>Minneapolis</v>
          </cell>
          <cell r="F237" t="str">
            <v>MN</v>
          </cell>
          <cell r="G237" t="str">
            <v>55414</v>
          </cell>
          <cell r="H237" t="str">
            <v>US</v>
          </cell>
          <cell r="I237" t="str">
            <v>1234567890</v>
          </cell>
        </row>
        <row r="238">
          <cell r="A238" t="str">
            <v>MSP5</v>
          </cell>
          <cell r="B238" t="str">
            <v>MSP5</v>
          </cell>
          <cell r="C238" t="str">
            <v>Amazon.com Services, Inc.</v>
          </cell>
          <cell r="D238" t="str">
            <v>5825 11th Ave E</v>
          </cell>
          <cell r="E238" t="str">
            <v>Shakopee</v>
          </cell>
          <cell r="F238" t="str">
            <v>MN</v>
          </cell>
          <cell r="G238" t="str">
            <v>55379</v>
          </cell>
          <cell r="H238" t="str">
            <v>US</v>
          </cell>
          <cell r="I238" t="str">
            <v>1234567890</v>
          </cell>
        </row>
        <row r="239">
          <cell r="A239" t="str">
            <v>MKE5</v>
          </cell>
          <cell r="B239" t="str">
            <v>MKE5</v>
          </cell>
          <cell r="C239" t="str">
            <v>Amazon.com Services, Inc.</v>
          </cell>
          <cell r="D239" t="str">
            <v>11211 Burlington Road</v>
          </cell>
          <cell r="E239" t="str">
            <v>Kenosha</v>
          </cell>
          <cell r="F239" t="str">
            <v>WI</v>
          </cell>
          <cell r="G239" t="str">
            <v>53144</v>
          </cell>
          <cell r="H239" t="str">
            <v>US</v>
          </cell>
          <cell r="I239" t="str">
            <v>1234567890</v>
          </cell>
        </row>
        <row r="240">
          <cell r="A240" t="str">
            <v>DML1</v>
          </cell>
          <cell r="B240" t="str">
            <v>DML1</v>
          </cell>
          <cell r="C240" t="str">
            <v>Amazon.com Services, Inc.</v>
          </cell>
          <cell r="D240" t="str">
            <v>3935 W Mitchell St</v>
          </cell>
          <cell r="E240" t="str">
            <v>Milwaukee</v>
          </cell>
          <cell r="F240" t="str">
            <v>WI</v>
          </cell>
          <cell r="G240" t="str">
            <v>53215</v>
          </cell>
          <cell r="H240" t="str">
            <v>US</v>
          </cell>
          <cell r="I240" t="str">
            <v>1234567890</v>
          </cell>
        </row>
        <row r="241">
          <cell r="A241" t="str">
            <v>DTW5</v>
          </cell>
          <cell r="B241" t="str">
            <v>DTW5</v>
          </cell>
          <cell r="C241" t="str">
            <v>Amazon.com Services, Inc.</v>
          </cell>
          <cell r="D241" t="str">
            <v>19991 Brownstown Center Dr</v>
          </cell>
          <cell r="E241" t="str">
            <v>Brownstown Charter Twp</v>
          </cell>
          <cell r="F241" t="str">
            <v>MI</v>
          </cell>
          <cell r="G241" t="str">
            <v>48183</v>
          </cell>
          <cell r="H241" t="str">
            <v>US</v>
          </cell>
          <cell r="I241" t="str">
            <v>1234567890</v>
          </cell>
        </row>
        <row r="242">
          <cell r="A242" t="str">
            <v>CLE5</v>
          </cell>
          <cell r="B242" t="str">
            <v>CLE5</v>
          </cell>
          <cell r="C242" t="str">
            <v>Amazon.com Services, Inc.</v>
          </cell>
          <cell r="D242" t="str">
            <v>8685 Independence Pkwy</v>
          </cell>
          <cell r="E242" t="str">
            <v>Twinsburg</v>
          </cell>
          <cell r="F242" t="str">
            <v>OH</v>
          </cell>
          <cell r="G242" t="str">
            <v>44087</v>
          </cell>
          <cell r="H242" t="str">
            <v>US</v>
          </cell>
          <cell r="I242" t="str">
            <v>1234567890</v>
          </cell>
        </row>
        <row r="243">
          <cell r="A243" t="str">
            <v>UOH2</v>
          </cell>
          <cell r="B243" t="str">
            <v>UOH2</v>
          </cell>
          <cell r="C243" t="str">
            <v>Amazon.com Services, Inc.</v>
          </cell>
          <cell r="D243" t="str">
            <v>4401 Equity Dr</v>
          </cell>
          <cell r="E243" t="str">
            <v>Columbus</v>
          </cell>
          <cell r="F243" t="str">
            <v>OH</v>
          </cell>
          <cell r="G243" t="str">
            <v>43228</v>
          </cell>
          <cell r="H243" t="str">
            <v>US</v>
          </cell>
          <cell r="I243" t="str">
            <v>1234567890</v>
          </cell>
        </row>
        <row r="244">
          <cell r="A244" t="str">
            <v>LEX3</v>
          </cell>
          <cell r="B244" t="str">
            <v>LEX3</v>
          </cell>
          <cell r="C244" t="str">
            <v>Amazon.com Services, Inc.</v>
          </cell>
          <cell r="D244" t="str">
            <v>1850 Mercer Rd</v>
          </cell>
          <cell r="E244" t="str">
            <v>Lexington,</v>
          </cell>
          <cell r="F244" t="str">
            <v>KY</v>
          </cell>
          <cell r="G244" t="str">
            <v>40511</v>
          </cell>
          <cell r="H244" t="str">
            <v>US</v>
          </cell>
          <cell r="I244" t="str">
            <v>1234567890</v>
          </cell>
        </row>
        <row r="245">
          <cell r="A245" t="str">
            <v>LUK7</v>
          </cell>
          <cell r="B245" t="str">
            <v>LUK7</v>
          </cell>
          <cell r="C245" t="str">
            <v>Amazon.com Services, Inc.</v>
          </cell>
          <cell r="D245" t="str">
            <v>649 Omega Pkwy</v>
          </cell>
          <cell r="E245" t="str">
            <v>Shepherdsville</v>
          </cell>
          <cell r="F245" t="str">
            <v>KY</v>
          </cell>
          <cell r="G245" t="str">
            <v>40165</v>
          </cell>
          <cell r="H245" t="str">
            <v>US</v>
          </cell>
          <cell r="I245" t="str">
            <v>1234567890</v>
          </cell>
        </row>
        <row r="246">
          <cell r="A246" t="str">
            <v>BNA5</v>
          </cell>
          <cell r="B246" t="str">
            <v>BNA5</v>
          </cell>
          <cell r="C246" t="str">
            <v>Amazon.com Services, Inc.</v>
          </cell>
          <cell r="D246" t="str">
            <v>50 Airways Blvd</v>
          </cell>
          <cell r="E246" t="str">
            <v>Nashville</v>
          </cell>
          <cell r="F246" t="str">
            <v>TN</v>
          </cell>
          <cell r="G246" t="str">
            <v>37217</v>
          </cell>
          <cell r="H246" t="str">
            <v>US</v>
          </cell>
          <cell r="I246" t="str">
            <v>1234567890</v>
          </cell>
        </row>
        <row r="247">
          <cell r="A247" t="str">
            <v>MCO5</v>
          </cell>
          <cell r="B247" t="str">
            <v>MCO5</v>
          </cell>
          <cell r="C247" t="str">
            <v>Amazon.com Services, Inc.</v>
          </cell>
          <cell r="D247" t="str">
            <v>205 Deen Still Road</v>
          </cell>
          <cell r="E247" t="str">
            <v>Davenport</v>
          </cell>
          <cell r="F247" t="str">
            <v>FL</v>
          </cell>
          <cell r="G247" t="str">
            <v>33897</v>
          </cell>
          <cell r="H247" t="str">
            <v>US</v>
          </cell>
          <cell r="I247" t="str">
            <v>1234567890</v>
          </cell>
        </row>
        <row r="248">
          <cell r="A248" t="str">
            <v>MIA5</v>
          </cell>
          <cell r="B248" t="str">
            <v>MIA5</v>
          </cell>
          <cell r="C248" t="str">
            <v>Amazon.com Services, Inc.</v>
          </cell>
          <cell r="D248" t="str">
            <v>1900 NW 132nd Place</v>
          </cell>
          <cell r="E248" t="str">
            <v>Doral (Miami)</v>
          </cell>
          <cell r="F248" t="str">
            <v>FL</v>
          </cell>
          <cell r="G248" t="str">
            <v>33182</v>
          </cell>
          <cell r="H248" t="str">
            <v>US</v>
          </cell>
          <cell r="I248" t="str">
            <v>1234567890</v>
          </cell>
        </row>
        <row r="249">
          <cell r="A249" t="str">
            <v>DMI2</v>
          </cell>
          <cell r="B249" t="str">
            <v>DMI2</v>
          </cell>
          <cell r="C249" t="str">
            <v>Amazon.com Services, Inc.</v>
          </cell>
          <cell r="D249" t="str">
            <v>15600 NW 15th Ave</v>
          </cell>
          <cell r="E249" t="str">
            <v>Miami Gardens</v>
          </cell>
          <cell r="F249" t="str">
            <v>FL</v>
          </cell>
          <cell r="G249" t="str">
            <v>33169</v>
          </cell>
          <cell r="H249" t="str">
            <v>US</v>
          </cell>
          <cell r="I249" t="str">
            <v>1234567890</v>
          </cell>
        </row>
        <row r="250">
          <cell r="A250" t="str">
            <v>UFL4</v>
          </cell>
          <cell r="B250" t="str">
            <v>UFL4</v>
          </cell>
          <cell r="C250" t="str">
            <v>Amazon.com Services, Inc.</v>
          </cell>
          <cell r="D250" t="str">
            <v>7469 Kingspointe Pkwy</v>
          </cell>
          <cell r="E250" t="str">
            <v>Orlando</v>
          </cell>
          <cell r="F250" t="str">
            <v>FL</v>
          </cell>
          <cell r="G250" t="str">
            <v>32819</v>
          </cell>
          <cell r="H250" t="str">
            <v>US</v>
          </cell>
          <cell r="I250" t="str">
            <v>1234567890</v>
          </cell>
        </row>
        <row r="251">
          <cell r="A251" t="str">
            <v>DJX1</v>
          </cell>
          <cell r="B251" t="str">
            <v>DJX1</v>
          </cell>
          <cell r="C251" t="str">
            <v>Amazon.com Services, Inc.</v>
          </cell>
          <cell r="D251" t="str">
            <v>11084 Cabot Commerce Cir Ste 200</v>
          </cell>
          <cell r="E251" t="str">
            <v>Jacksonville</v>
          </cell>
          <cell r="F251" t="str">
            <v>FL</v>
          </cell>
          <cell r="G251" t="str">
            <v>32226</v>
          </cell>
          <cell r="H251" t="str">
            <v>US</v>
          </cell>
          <cell r="I251" t="str">
            <v>1234567890</v>
          </cell>
        </row>
        <row r="252">
          <cell r="A252" t="str">
            <v>JAX5</v>
          </cell>
          <cell r="B252" t="str">
            <v>JAX5</v>
          </cell>
          <cell r="C252" t="str">
            <v>Amazon.com Services, Inc.</v>
          </cell>
          <cell r="D252" t="str">
            <v>4948 Bulls Bay Hwy</v>
          </cell>
          <cell r="E252" t="str">
            <v>Jacksonville</v>
          </cell>
          <cell r="F252" t="str">
            <v>FL</v>
          </cell>
          <cell r="G252" t="str">
            <v>32219</v>
          </cell>
          <cell r="H252" t="str">
            <v>US</v>
          </cell>
          <cell r="I252" t="str">
            <v>1234567890</v>
          </cell>
        </row>
        <row r="253">
          <cell r="A253" t="str">
            <v>CAE3</v>
          </cell>
          <cell r="B253" t="str">
            <v>CAE3</v>
          </cell>
          <cell r="C253" t="str">
            <v>Amazon.com Services, Inc.</v>
          </cell>
          <cell r="D253" t="str">
            <v>222 Old Wire Rd</v>
          </cell>
          <cell r="E253" t="str">
            <v>West Columbia</v>
          </cell>
          <cell r="F253" t="str">
            <v>SC</v>
          </cell>
          <cell r="G253" t="str">
            <v>29172</v>
          </cell>
          <cell r="H253" t="str">
            <v>US</v>
          </cell>
          <cell r="I253" t="str">
            <v>1234567890</v>
          </cell>
        </row>
        <row r="254">
          <cell r="A254" t="str">
            <v>CLT5</v>
          </cell>
          <cell r="B254" t="str">
            <v>CLT5</v>
          </cell>
          <cell r="C254" t="str">
            <v>Amazon.com Services, Inc.</v>
          </cell>
          <cell r="D254" t="str">
            <v>7035 Northwinds Drive</v>
          </cell>
          <cell r="E254" t="str">
            <v>Concord</v>
          </cell>
          <cell r="F254" t="str">
            <v>NC</v>
          </cell>
          <cell r="G254" t="str">
            <v>28027</v>
          </cell>
          <cell r="H254" t="str">
            <v>US</v>
          </cell>
          <cell r="I254" t="str">
            <v>1234567890</v>
          </cell>
        </row>
        <row r="255">
          <cell r="A255" t="str">
            <v>RDU5</v>
          </cell>
          <cell r="B255" t="str">
            <v>RDU5</v>
          </cell>
          <cell r="C255" t="str">
            <v>Amazon.com Services, Inc.</v>
          </cell>
          <cell r="D255" t="str">
            <v>1805 TW Alexander Dr</v>
          </cell>
          <cell r="E255" t="str">
            <v>Durham</v>
          </cell>
          <cell r="F255" t="str">
            <v>NC</v>
          </cell>
          <cell r="G255" t="str">
            <v>27703</v>
          </cell>
          <cell r="H255" t="str">
            <v>US</v>
          </cell>
          <cell r="I255" t="str">
            <v>1234567890</v>
          </cell>
        </row>
        <row r="256">
          <cell r="A256" t="str">
            <v>BWI5</v>
          </cell>
          <cell r="B256" t="str">
            <v>BWI5</v>
          </cell>
          <cell r="C256" t="str">
            <v>Amazon.com Services, Inc.</v>
          </cell>
          <cell r="D256" t="str">
            <v>5001 Holabird Ave</v>
          </cell>
          <cell r="E256" t="str">
            <v>Baltimore</v>
          </cell>
          <cell r="F256" t="str">
            <v>MD</v>
          </cell>
          <cell r="G256" t="str">
            <v>21224</v>
          </cell>
          <cell r="H256" t="str">
            <v>US</v>
          </cell>
          <cell r="I256" t="str">
            <v>1234567890</v>
          </cell>
        </row>
        <row r="257">
          <cell r="A257" t="str">
            <v>DDC2</v>
          </cell>
          <cell r="B257" t="str">
            <v>DDC2</v>
          </cell>
          <cell r="C257" t="str">
            <v>Amazon.com Services, Inc.</v>
          </cell>
          <cell r="D257" t="str">
            <v>861 Gude Drive,</v>
          </cell>
          <cell r="E257" t="str">
            <v>Rockville</v>
          </cell>
          <cell r="F257" t="str">
            <v>MD</v>
          </cell>
          <cell r="G257" t="str">
            <v>20850</v>
          </cell>
          <cell r="H257" t="str">
            <v>US</v>
          </cell>
          <cell r="I257" t="str">
            <v>1234567890</v>
          </cell>
        </row>
        <row r="258">
          <cell r="A258" t="str">
            <v>PHL9</v>
          </cell>
          <cell r="B258" t="str">
            <v>PHL9</v>
          </cell>
          <cell r="C258" t="str">
            <v>Amazon.com Services, Inc.</v>
          </cell>
          <cell r="D258" t="str">
            <v>560 Merrimac Ave</v>
          </cell>
          <cell r="E258" t="str">
            <v>Middletown</v>
          </cell>
          <cell r="F258" t="str">
            <v>DE</v>
          </cell>
          <cell r="G258" t="str">
            <v>19709</v>
          </cell>
          <cell r="H258" t="str">
            <v>US</v>
          </cell>
          <cell r="I258" t="str">
            <v>1234567890</v>
          </cell>
        </row>
        <row r="259">
          <cell r="A259" t="str">
            <v>DPH1</v>
          </cell>
          <cell r="B259" t="str">
            <v>DPH1</v>
          </cell>
          <cell r="C259" t="str">
            <v>Amazon.com Services, Inc.</v>
          </cell>
          <cell r="D259" t="str">
            <v>4219 Richmond St</v>
          </cell>
          <cell r="E259" t="str">
            <v>Philadelphia</v>
          </cell>
          <cell r="F259" t="str">
            <v>PA</v>
          </cell>
          <cell r="G259" t="str">
            <v>19137</v>
          </cell>
          <cell r="H259" t="str">
            <v>US</v>
          </cell>
          <cell r="I259" t="str">
            <v>1234567890</v>
          </cell>
        </row>
        <row r="260">
          <cell r="A260" t="str">
            <v>PIT5</v>
          </cell>
          <cell r="B260" t="str">
            <v>PIT5</v>
          </cell>
          <cell r="C260" t="str">
            <v>Amazon.com Services, Inc.</v>
          </cell>
          <cell r="D260" t="str">
            <v>2250 Roswell Drive</v>
          </cell>
          <cell r="E260" t="str">
            <v>Pittsburgh</v>
          </cell>
          <cell r="F260" t="str">
            <v>PA</v>
          </cell>
          <cell r="G260" t="str">
            <v>15205</v>
          </cell>
          <cell r="H260" t="str">
            <v>US</v>
          </cell>
          <cell r="I260" t="str">
            <v>1234567890</v>
          </cell>
        </row>
        <row r="261">
          <cell r="A261" t="str">
            <v>ACY5</v>
          </cell>
          <cell r="B261" t="str">
            <v>ACY5</v>
          </cell>
          <cell r="C261" t="str">
            <v>Amazon.com Services, Inc.</v>
          </cell>
          <cell r="D261" t="str">
            <v>2277 Center Square Rd</v>
          </cell>
          <cell r="E261" t="str">
            <v>Logan Township</v>
          </cell>
          <cell r="F261" t="str">
            <v>NJ</v>
          </cell>
          <cell r="G261" t="str">
            <v>08085</v>
          </cell>
          <cell r="H261" t="str">
            <v>US</v>
          </cell>
          <cell r="I261" t="str">
            <v>1234567890</v>
          </cell>
        </row>
        <row r="262">
          <cell r="A262" t="str">
            <v>DEW1</v>
          </cell>
          <cell r="B262" t="str">
            <v>DEW1</v>
          </cell>
          <cell r="C262" t="str">
            <v>Amazon.com Services, Inc.</v>
          </cell>
          <cell r="D262" t="str">
            <v>2 Empire Blvd</v>
          </cell>
          <cell r="E262" t="str">
            <v>Moonachie</v>
          </cell>
          <cell r="F262" t="str">
            <v>NJ</v>
          </cell>
          <cell r="G262" t="str">
            <v>07074</v>
          </cell>
          <cell r="H262" t="str">
            <v>US</v>
          </cell>
          <cell r="I262" t="str">
            <v>1234567890</v>
          </cell>
        </row>
        <row r="263">
          <cell r="A263" t="str">
            <v>EWR8</v>
          </cell>
          <cell r="B263" t="str">
            <v>EWR8</v>
          </cell>
          <cell r="C263" t="str">
            <v>Amazon.com Services, Inc.</v>
          </cell>
          <cell r="D263" t="str">
            <v>698 US-46</v>
          </cell>
          <cell r="E263" t="str">
            <v>Teterboro</v>
          </cell>
          <cell r="F263" t="str">
            <v>NJ</v>
          </cell>
          <cell r="G263" t="str">
            <v>07608</v>
          </cell>
          <cell r="H263" t="str">
            <v>US</v>
          </cell>
          <cell r="I263" t="str">
            <v>1234567890</v>
          </cell>
        </row>
        <row r="264">
          <cell r="A264" t="str">
            <v>CDW5</v>
          </cell>
          <cell r="B264" t="str">
            <v>CDW5</v>
          </cell>
          <cell r="C264" t="str">
            <v>Amazon.com Services, Inc.</v>
          </cell>
          <cell r="D264" t="str">
            <v>380 Middlesex Ave</v>
          </cell>
          <cell r="E264" t="str">
            <v>Carteret</v>
          </cell>
          <cell r="F264" t="str">
            <v>NJ</v>
          </cell>
          <cell r="G264" t="str">
            <v>07008</v>
          </cell>
          <cell r="H264" t="str">
            <v>US</v>
          </cell>
          <cell r="I264" t="str">
            <v>1234567890</v>
          </cell>
        </row>
        <row r="265">
          <cell r="A265" t="str">
            <v>BDL5</v>
          </cell>
          <cell r="B265" t="str">
            <v>BDL5</v>
          </cell>
          <cell r="C265" t="str">
            <v>Amazon.com Services, Inc.</v>
          </cell>
          <cell r="D265" t="str">
            <v>29 Research Pkwy</v>
          </cell>
          <cell r="E265" t="str">
            <v>Meriden</v>
          </cell>
          <cell r="F265" t="str">
            <v>CT</v>
          </cell>
          <cell r="G265" t="str">
            <v>06450</v>
          </cell>
          <cell r="H265" t="str">
            <v>US</v>
          </cell>
          <cell r="I265" t="str">
            <v>1234567890</v>
          </cell>
        </row>
        <row r="266">
          <cell r="A266" t="str">
            <v>DBO1</v>
          </cell>
          <cell r="B266" t="str">
            <v>DBO1</v>
          </cell>
          <cell r="C266" t="str">
            <v>Amazon.com Services, Inc.</v>
          </cell>
          <cell r="D266" t="str">
            <v>117-241 Beacham St</v>
          </cell>
          <cell r="E266" t="str">
            <v>Chelsea</v>
          </cell>
          <cell r="F266" t="str">
            <v>MA</v>
          </cell>
          <cell r="G266" t="str">
            <v>02150</v>
          </cell>
          <cell r="H266" t="str">
            <v>US</v>
          </cell>
          <cell r="I266" t="str">
            <v>1234567890</v>
          </cell>
        </row>
        <row r="267">
          <cell r="A267" t="str">
            <v>BOS5</v>
          </cell>
          <cell r="B267" t="str">
            <v>BOS5</v>
          </cell>
          <cell r="C267" t="str">
            <v>Amazon.com Services, Inc.</v>
          </cell>
          <cell r="D267" t="str">
            <v>1000 Tech Center Drive</v>
          </cell>
          <cell r="E267" t="str">
            <v>Stoughton</v>
          </cell>
          <cell r="F267" t="str">
            <v>MA</v>
          </cell>
          <cell r="G267" t="str">
            <v>02072</v>
          </cell>
          <cell r="H267" t="str">
            <v>US</v>
          </cell>
          <cell r="I267" t="str">
            <v>1234567890</v>
          </cell>
        </row>
        <row r="268">
          <cell r="A268" t="str">
            <v>ACY2</v>
          </cell>
          <cell r="B268" t="str">
            <v>ACY2</v>
          </cell>
          <cell r="C268" t="str">
            <v>Amazon.com Services, Inc.</v>
          </cell>
          <cell r="D268" t="str">
            <v>1101 E PEARL ST</v>
          </cell>
          <cell r="E268" t="str">
            <v>Burlington</v>
          </cell>
          <cell r="F268" t="str">
            <v>NJ</v>
          </cell>
          <cell r="G268" t="str">
            <v>08016</v>
          </cell>
          <cell r="H268" t="str">
            <v>US</v>
          </cell>
          <cell r="I268" t="str">
            <v>1234567890</v>
          </cell>
        </row>
        <row r="269">
          <cell r="A269" t="str">
            <v>UTX7</v>
          </cell>
          <cell r="B269" t="str">
            <v>UTX7</v>
          </cell>
          <cell r="C269" t="str">
            <v>Amazon.com Services, Inc.</v>
          </cell>
          <cell r="D269" t="str">
            <v>4601 Gold Spike Dr</v>
          </cell>
          <cell r="E269" t="str">
            <v>Fort Worth</v>
          </cell>
          <cell r="F269" t="str">
            <v>TX</v>
          </cell>
          <cell r="G269" t="str">
            <v>76106</v>
          </cell>
          <cell r="H269" t="str">
            <v>US</v>
          </cell>
          <cell r="I269" t="str">
            <v>1234567890</v>
          </cell>
        </row>
        <row r="270">
          <cell r="A270" t="str">
            <v>DPH4</v>
          </cell>
          <cell r="B270" t="str">
            <v>DPH4</v>
          </cell>
          <cell r="C270" t="str">
            <v>Amazon.com Services, Inc.</v>
          </cell>
          <cell r="D270" t="str">
            <v>1500 Johnson Way</v>
          </cell>
          <cell r="E270" t="str">
            <v>New Castle</v>
          </cell>
          <cell r="F270" t="str">
            <v>DE</v>
          </cell>
          <cell r="G270" t="str">
            <v>19720</v>
          </cell>
          <cell r="H270" t="str">
            <v>US</v>
          </cell>
          <cell r="I270" t="str">
            <v>1234567890</v>
          </cell>
        </row>
        <row r="271">
          <cell r="A271" t="str">
            <v>ABE8</v>
          </cell>
          <cell r="B271" t="str">
            <v>ABE8</v>
          </cell>
          <cell r="C271" t="str">
            <v>Amazon.com Services, Inc.</v>
          </cell>
          <cell r="D271" t="str">
            <v>401 Independence Rd</v>
          </cell>
          <cell r="E271" t="str">
            <v>Florence</v>
          </cell>
          <cell r="F271" t="str">
            <v>NJ</v>
          </cell>
          <cell r="G271" t="str">
            <v>08518</v>
          </cell>
          <cell r="H271" t="str">
            <v>US</v>
          </cell>
          <cell r="I271" t="str">
            <v>1234567890</v>
          </cell>
        </row>
        <row r="272">
          <cell r="A272" t="str">
            <v>ATL7</v>
          </cell>
          <cell r="B272" t="str">
            <v>ATL7</v>
          </cell>
          <cell r="C272" t="str">
            <v>Amazon.com Services, Inc.</v>
          </cell>
          <cell r="D272" t="str">
            <v>6855 Shannon Pkwy S</v>
          </cell>
          <cell r="E272" t="str">
            <v>Union City</v>
          </cell>
          <cell r="F272" t="str">
            <v>GA</v>
          </cell>
          <cell r="G272" t="str">
            <v>30291</v>
          </cell>
          <cell r="H272" t="str">
            <v>US</v>
          </cell>
          <cell r="I272" t="str">
            <v>1234567890</v>
          </cell>
        </row>
        <row r="273">
          <cell r="A273" t="str">
            <v>UGA4</v>
          </cell>
          <cell r="B273" t="str">
            <v>UGA4</v>
          </cell>
          <cell r="C273" t="str">
            <v>Amazon.com Services, Inc.</v>
          </cell>
          <cell r="D273" t="str">
            <v>2232 Northmont Pkwy Suite 100</v>
          </cell>
          <cell r="E273" t="str">
            <v>Duluth</v>
          </cell>
          <cell r="F273" t="str">
            <v>GA</v>
          </cell>
          <cell r="G273" t="str">
            <v>30096</v>
          </cell>
          <cell r="H273" t="str">
            <v>US</v>
          </cell>
          <cell r="I273" t="str">
            <v>1234567890</v>
          </cell>
        </row>
        <row r="274">
          <cell r="A274" t="str">
            <v>AVP8</v>
          </cell>
          <cell r="B274" t="str">
            <v>AVP8</v>
          </cell>
          <cell r="C274" t="str">
            <v>Amazon.com Services, Inc.</v>
          </cell>
          <cell r="D274" t="str">
            <v>250 Enterprise Way</v>
          </cell>
          <cell r="E274" t="str">
            <v>Pittston</v>
          </cell>
          <cell r="F274" t="str">
            <v>PA</v>
          </cell>
          <cell r="G274" t="str">
            <v>18640</v>
          </cell>
          <cell r="H274" t="str">
            <v>US</v>
          </cell>
          <cell r="I274" t="str">
            <v>1234567890</v>
          </cell>
        </row>
        <row r="275">
          <cell r="A275" t="str">
            <v>BFI6</v>
          </cell>
          <cell r="B275" t="str">
            <v>BFI6</v>
          </cell>
          <cell r="C275" t="str">
            <v>Amazon.com Services, Inc.</v>
          </cell>
          <cell r="D275" t="str">
            <v>20202 84th Ave S</v>
          </cell>
          <cell r="E275" t="str">
            <v>Kent</v>
          </cell>
          <cell r="F275" t="str">
            <v>WA</v>
          </cell>
          <cell r="G275" t="str">
            <v>98032</v>
          </cell>
          <cell r="H275" t="str">
            <v>US</v>
          </cell>
          <cell r="I275" t="str">
            <v>1234567890</v>
          </cell>
        </row>
        <row r="276">
          <cell r="A276" t="str">
            <v>BOS6</v>
          </cell>
          <cell r="B276" t="str">
            <v>BOS6</v>
          </cell>
          <cell r="C276" t="str">
            <v>Amazon.com Services, Inc.</v>
          </cell>
          <cell r="D276" t="str">
            <v>201 Beacham Street</v>
          </cell>
          <cell r="E276" t="str">
            <v>Everett</v>
          </cell>
          <cell r="F276" t="str">
            <v>MA</v>
          </cell>
          <cell r="G276" t="str">
            <v>02149</v>
          </cell>
          <cell r="H276" t="str">
            <v>US</v>
          </cell>
          <cell r="I276" t="str">
            <v>1234567890</v>
          </cell>
        </row>
        <row r="277">
          <cell r="A277" t="str">
            <v>BWI6</v>
          </cell>
          <cell r="B277" t="str">
            <v>BWI6</v>
          </cell>
          <cell r="C277" t="str">
            <v>Amazon.com Services, Inc.</v>
          </cell>
          <cell r="D277" t="str">
            <v>5617 Industrial Dr Suite C</v>
          </cell>
          <cell r="E277" t="str">
            <v>Springfield</v>
          </cell>
          <cell r="F277" t="str">
            <v>VA</v>
          </cell>
          <cell r="G277" t="str">
            <v>22151</v>
          </cell>
          <cell r="H277" t="str">
            <v>US</v>
          </cell>
          <cell r="I277" t="str">
            <v>1234567890</v>
          </cell>
        </row>
        <row r="278">
          <cell r="A278" t="str">
            <v>CVG7</v>
          </cell>
          <cell r="B278" t="str">
            <v>CVG7</v>
          </cell>
          <cell r="C278" t="str">
            <v>Amazon.com Services, Inc.</v>
          </cell>
          <cell r="D278" t="str">
            <v>2285 Litton Lane</v>
          </cell>
          <cell r="E278" t="str">
            <v>Hebron</v>
          </cell>
          <cell r="F278" t="str">
            <v>KY</v>
          </cell>
          <cell r="G278" t="str">
            <v>41048</v>
          </cell>
          <cell r="H278" t="str">
            <v>US</v>
          </cell>
          <cell r="I278" t="str">
            <v>1234567890</v>
          </cell>
        </row>
        <row r="279">
          <cell r="A279" t="str">
            <v>DAL6</v>
          </cell>
          <cell r="B279" t="str">
            <v>DAL6</v>
          </cell>
          <cell r="C279" t="str">
            <v>Amazon.com Services, Inc.</v>
          </cell>
          <cell r="D279" t="str">
            <v>4601 Gold Spike Drive</v>
          </cell>
          <cell r="E279" t="str">
            <v>Fort Worth</v>
          </cell>
          <cell r="F279" t="str">
            <v>TX</v>
          </cell>
          <cell r="G279" t="str">
            <v>76106</v>
          </cell>
          <cell r="H279" t="str">
            <v>US</v>
          </cell>
          <cell r="I279" t="str">
            <v>1234567890</v>
          </cell>
        </row>
        <row r="280">
          <cell r="A280" t="str">
            <v>DEN6</v>
          </cell>
          <cell r="B280" t="str">
            <v>DEN6</v>
          </cell>
          <cell r="C280" t="str">
            <v>Amazon.com Services, Inc.</v>
          </cell>
          <cell r="D280" t="str">
            <v>480 East 55th Avenue</v>
          </cell>
          <cell r="E280" t="str">
            <v>Denver</v>
          </cell>
          <cell r="F280" t="str">
            <v>CO</v>
          </cell>
          <cell r="G280" t="str">
            <v>80216</v>
          </cell>
          <cell r="H280" t="str">
            <v>US</v>
          </cell>
          <cell r="I280" t="str">
            <v>1234567890</v>
          </cell>
        </row>
        <row r="281">
          <cell r="A281" t="str">
            <v>DFW9</v>
          </cell>
          <cell r="B281" t="str">
            <v>DFW9</v>
          </cell>
          <cell r="C281" t="str">
            <v>Amazon.com Services, Inc.</v>
          </cell>
          <cell r="D281" t="str">
            <v>2700 Regent Boulevard</v>
          </cell>
          <cell r="E281" t="str">
            <v>Irving</v>
          </cell>
          <cell r="F281" t="str">
            <v>TX</v>
          </cell>
          <cell r="G281" t="str">
            <v>75063</v>
          </cell>
          <cell r="H281" t="str">
            <v>US</v>
          </cell>
          <cell r="I281" t="str">
            <v>1234567890</v>
          </cell>
        </row>
        <row r="282">
          <cell r="A282" t="str">
            <v>EWR6</v>
          </cell>
          <cell r="B282" t="str">
            <v>EWR6</v>
          </cell>
          <cell r="C282" t="str">
            <v>Amazon.com Services, Inc.</v>
          </cell>
          <cell r="D282" t="str">
            <v>275 Omar Ave</v>
          </cell>
          <cell r="E282" t="str">
            <v>Avenel</v>
          </cell>
          <cell r="F282" t="str">
            <v>NJ</v>
          </cell>
          <cell r="G282" t="str">
            <v>07001</v>
          </cell>
          <cell r="H282" t="str">
            <v>US</v>
          </cell>
          <cell r="I282" t="str">
            <v>1234567890</v>
          </cell>
        </row>
        <row r="283">
          <cell r="A283" t="str">
            <v>HCA6</v>
          </cell>
          <cell r="B283" t="str">
            <v>HCA6</v>
          </cell>
          <cell r="C283" t="str">
            <v>Amazon.com Services, Inc.</v>
          </cell>
          <cell r="D283" t="str">
            <v>2821 Marion Dr 109</v>
          </cell>
          <cell r="E283" t="str">
            <v>Las Vegas</v>
          </cell>
          <cell r="F283" t="str">
            <v>NV</v>
          </cell>
          <cell r="G283" t="str">
            <v>89115</v>
          </cell>
          <cell r="H283" t="str">
            <v>US</v>
          </cell>
          <cell r="I283" t="str">
            <v>1234567890</v>
          </cell>
        </row>
        <row r="284">
          <cell r="A284" t="str">
            <v>HTX2</v>
          </cell>
          <cell r="B284" t="str">
            <v>HTX2</v>
          </cell>
          <cell r="C284" t="str">
            <v>Amazon.com Services, Inc.</v>
          </cell>
          <cell r="D284" t="str">
            <v>4221 Way Out West Drive Suite #200</v>
          </cell>
          <cell r="E284" t="str">
            <v>Houston</v>
          </cell>
          <cell r="F284" t="str">
            <v>TX</v>
          </cell>
          <cell r="G284" t="str">
            <v>77092</v>
          </cell>
          <cell r="H284" t="str">
            <v>US</v>
          </cell>
          <cell r="I284" t="str">
            <v>1234567890</v>
          </cell>
        </row>
        <row r="285">
          <cell r="A285" t="str">
            <v>UWA6</v>
          </cell>
          <cell r="B285" t="str">
            <v>UWA6</v>
          </cell>
          <cell r="C285" t="str">
            <v>Amazon.com Services, Inc.</v>
          </cell>
          <cell r="D285" t="str">
            <v>20280 84th Ave S</v>
          </cell>
          <cell r="E285" t="str">
            <v>Kent</v>
          </cell>
          <cell r="F285" t="str">
            <v>WA</v>
          </cell>
          <cell r="G285" t="str">
            <v>98032</v>
          </cell>
          <cell r="H285" t="str">
            <v>US</v>
          </cell>
          <cell r="I285" t="str">
            <v>1234567890</v>
          </cell>
        </row>
        <row r="286">
          <cell r="A286" t="str">
            <v>IND7</v>
          </cell>
          <cell r="B286" t="str">
            <v>IND7</v>
          </cell>
          <cell r="C286" t="str">
            <v>Amazon.com Services, Inc.</v>
          </cell>
          <cell r="D286" t="str">
            <v>9101 Orly Drive</v>
          </cell>
          <cell r="E286" t="str">
            <v>Indianapolis</v>
          </cell>
          <cell r="F286" t="str">
            <v>IN</v>
          </cell>
          <cell r="G286" t="str">
            <v>46241</v>
          </cell>
          <cell r="H286" t="str">
            <v>US</v>
          </cell>
          <cell r="I286" t="str">
            <v>1234567890</v>
          </cell>
        </row>
        <row r="287">
          <cell r="A287" t="str">
            <v>LAX6</v>
          </cell>
          <cell r="B287" t="str">
            <v>LAX6</v>
          </cell>
          <cell r="C287" t="str">
            <v>Amazon.com Services, Inc.</v>
          </cell>
          <cell r="D287" t="str">
            <v>5119 District Blvd #100</v>
          </cell>
          <cell r="E287" t="str">
            <v>Vernon</v>
          </cell>
          <cell r="F287" t="str">
            <v>CA</v>
          </cell>
          <cell r="G287" t="str">
            <v>90058</v>
          </cell>
          <cell r="H287" t="str">
            <v>US</v>
          </cell>
          <cell r="I287" t="str">
            <v>1234567890</v>
          </cell>
        </row>
        <row r="288">
          <cell r="A288" t="str">
            <v>MCI7</v>
          </cell>
          <cell r="B288" t="str">
            <v>MCI7</v>
          </cell>
          <cell r="C288" t="str">
            <v>Amazon.com Services, Inc.</v>
          </cell>
          <cell r="D288" t="str">
            <v>27200 W 157th Street</v>
          </cell>
          <cell r="E288" t="str">
            <v>New Century</v>
          </cell>
          <cell r="F288" t="str">
            <v>KS</v>
          </cell>
          <cell r="G288" t="str">
            <v>66031</v>
          </cell>
          <cell r="H288" t="str">
            <v>US</v>
          </cell>
          <cell r="I288" t="str">
            <v>1234567890</v>
          </cell>
        </row>
        <row r="289">
          <cell r="A289" t="str">
            <v>OAK6</v>
          </cell>
          <cell r="B289" t="str">
            <v>OAK6</v>
          </cell>
          <cell r="C289" t="str">
            <v>Amazon.com Services, Inc.</v>
          </cell>
          <cell r="D289" t="str">
            <v>38811 Cherry St.</v>
          </cell>
          <cell r="E289" t="str">
            <v>Newark</v>
          </cell>
          <cell r="F289" t="str">
            <v>CA</v>
          </cell>
          <cell r="G289" t="str">
            <v>94560</v>
          </cell>
          <cell r="H289" t="str">
            <v>US</v>
          </cell>
          <cell r="I289" t="str">
            <v>1234567890</v>
          </cell>
        </row>
        <row r="290">
          <cell r="A290" t="str">
            <v>OAK7</v>
          </cell>
          <cell r="B290" t="str">
            <v>OAK7</v>
          </cell>
          <cell r="C290" t="str">
            <v>Amazon.com Services, Inc.</v>
          </cell>
          <cell r="D290" t="str">
            <v>38811 Cherry St.</v>
          </cell>
          <cell r="E290" t="str">
            <v>Newark</v>
          </cell>
          <cell r="F290" t="str">
            <v>CA</v>
          </cell>
          <cell r="G290" t="str">
            <v>94560</v>
          </cell>
          <cell r="H290" t="str">
            <v>US</v>
          </cell>
          <cell r="I290" t="str">
            <v>1234567890</v>
          </cell>
        </row>
        <row r="291">
          <cell r="A291" t="str">
            <v>ONT4</v>
          </cell>
          <cell r="B291" t="str">
            <v>ONT4</v>
          </cell>
          <cell r="C291" t="str">
            <v>Amazon.com Services, Inc.</v>
          </cell>
          <cell r="D291" t="str">
            <v>1910 E Central Ave</v>
          </cell>
          <cell r="E291" t="str">
            <v>San Bernardino</v>
          </cell>
          <cell r="F291" t="str">
            <v>CA</v>
          </cell>
          <cell r="G291" t="str">
            <v>92408</v>
          </cell>
          <cell r="H291" t="str">
            <v>US</v>
          </cell>
          <cell r="I291" t="str">
            <v>1234567890</v>
          </cell>
        </row>
        <row r="292">
          <cell r="A292" t="str">
            <v>ONT9</v>
          </cell>
          <cell r="B292" t="str">
            <v>ONT9</v>
          </cell>
          <cell r="C292" t="str">
            <v>Amazon.com Services, Inc.</v>
          </cell>
          <cell r="D292" t="str">
            <v>2125 W San Bernardino Ave</v>
          </cell>
          <cell r="E292" t="str">
            <v>Redlands</v>
          </cell>
          <cell r="F292" t="str">
            <v>CA</v>
          </cell>
          <cell r="G292" t="str">
            <v>92374</v>
          </cell>
          <cell r="H292" t="str">
            <v>US</v>
          </cell>
          <cell r="I292" t="str">
            <v>1234567890</v>
          </cell>
        </row>
        <row r="293">
          <cell r="A293" t="str">
            <v>PIL1</v>
          </cell>
          <cell r="B293" t="str">
            <v>PIL1</v>
          </cell>
          <cell r="C293" t="str">
            <v>Amazon.com Services, Inc.</v>
          </cell>
          <cell r="D293" t="str">
            <v>1615 Commerce Pkwy</v>
          </cell>
          <cell r="E293" t="str">
            <v>Horn Lake</v>
          </cell>
          <cell r="F293" t="str">
            <v>MS</v>
          </cell>
          <cell r="G293" t="str">
            <v>38637</v>
          </cell>
          <cell r="H293" t="str">
            <v>US</v>
          </cell>
          <cell r="I293" t="str">
            <v>1234567890</v>
          </cell>
        </row>
        <row r="294">
          <cell r="A294" t="str">
            <v>POH1</v>
          </cell>
          <cell r="B294" t="str">
            <v>POH1</v>
          </cell>
          <cell r="C294" t="str">
            <v>Amazon.com Services, Inc.</v>
          </cell>
          <cell r="D294" t="str">
            <v>3880 Groveport Road</v>
          </cell>
          <cell r="E294" t="str">
            <v>Obetz</v>
          </cell>
          <cell r="F294" t="str">
            <v>OH</v>
          </cell>
          <cell r="G294" t="str">
            <v>43207</v>
          </cell>
          <cell r="H294" t="str">
            <v>US</v>
          </cell>
          <cell r="I294" t="str">
            <v>1234567890</v>
          </cell>
        </row>
        <row r="295">
          <cell r="A295" t="str">
            <v>SJC9</v>
          </cell>
          <cell r="B295" t="str">
            <v>SJC9</v>
          </cell>
          <cell r="C295" t="str">
            <v>Amazon.com Services, Inc.</v>
          </cell>
          <cell r="D295" t="str">
            <v>455 Valley Drive</v>
          </cell>
          <cell r="E295" t="str">
            <v>Brisbane</v>
          </cell>
          <cell r="F295" t="str">
            <v>CA</v>
          </cell>
          <cell r="G295" t="str">
            <v>94005</v>
          </cell>
          <cell r="H295" t="str">
            <v>US</v>
          </cell>
          <cell r="I295" t="str">
            <v>1234567890</v>
          </cell>
        </row>
        <row r="296">
          <cell r="A296" t="str">
            <v>SNA6</v>
          </cell>
          <cell r="B296" t="str">
            <v>SNA6</v>
          </cell>
          <cell r="C296" t="str">
            <v>Amazon.com Services, Inc.</v>
          </cell>
          <cell r="D296" t="str">
            <v>5250 Goodman Road</v>
          </cell>
          <cell r="E296" t="str">
            <v>Eastvale</v>
          </cell>
          <cell r="F296" t="str">
            <v>CA</v>
          </cell>
          <cell r="G296" t="str">
            <v>91752</v>
          </cell>
          <cell r="H296" t="str">
            <v>US</v>
          </cell>
          <cell r="I296" t="str">
            <v>1234567890</v>
          </cell>
        </row>
        <row r="297">
          <cell r="A297" t="str">
            <v>SNA7</v>
          </cell>
          <cell r="B297" t="str">
            <v>SNA7</v>
          </cell>
          <cell r="C297" t="str">
            <v>Amazon.com Services, Inc.</v>
          </cell>
          <cell r="D297" t="str">
            <v>555 East Orange Show Rd</v>
          </cell>
          <cell r="E297" t="str">
            <v>San Bernadino</v>
          </cell>
          <cell r="F297" t="str">
            <v>CA</v>
          </cell>
          <cell r="G297" t="str">
            <v>92408</v>
          </cell>
          <cell r="H297" t="str">
            <v>US</v>
          </cell>
          <cell r="I297" t="str">
            <v>1234567890</v>
          </cell>
        </row>
        <row r="298">
          <cell r="A298" t="str">
            <v>SNA8</v>
          </cell>
          <cell r="B298" t="str">
            <v>SNA8</v>
          </cell>
          <cell r="C298" t="str">
            <v>Amazon.com Services, Inc.</v>
          </cell>
          <cell r="D298" t="str">
            <v>555 East Orange Show Rd</v>
          </cell>
          <cell r="E298" t="str">
            <v>San Bernadino</v>
          </cell>
          <cell r="F298" t="str">
            <v>CA</v>
          </cell>
          <cell r="G298" t="str">
            <v>92408</v>
          </cell>
          <cell r="H298" t="str">
            <v>US</v>
          </cell>
          <cell r="I298" t="str">
            <v>1234567890</v>
          </cell>
        </row>
        <row r="299">
          <cell r="A299" t="str">
            <v>UCA1</v>
          </cell>
          <cell r="B299" t="str">
            <v>UCA1</v>
          </cell>
          <cell r="C299" t="str">
            <v>Amazon.com Services, Inc.</v>
          </cell>
          <cell r="D299" t="str">
            <v>888 Tennessee St</v>
          </cell>
          <cell r="E299" t="str">
            <v>San Francisco</v>
          </cell>
          <cell r="F299" t="str">
            <v>CA</v>
          </cell>
          <cell r="G299" t="str">
            <v>94107</v>
          </cell>
          <cell r="H299" t="str">
            <v>US</v>
          </cell>
          <cell r="I299" t="str">
            <v>1234567890</v>
          </cell>
        </row>
        <row r="300">
          <cell r="A300" t="str">
            <v>UCA7</v>
          </cell>
          <cell r="B300" t="str">
            <v>UCA7</v>
          </cell>
          <cell r="C300" t="str">
            <v>Amazon.com Services, Inc.</v>
          </cell>
          <cell r="D300" t="str">
            <v>222 Commercial St.</v>
          </cell>
          <cell r="E300" t="str">
            <v>Sunnyvale</v>
          </cell>
          <cell r="F300" t="str">
            <v>CA</v>
          </cell>
          <cell r="G300" t="str">
            <v>94085</v>
          </cell>
          <cell r="H300" t="str">
            <v>US</v>
          </cell>
          <cell r="I300" t="str">
            <v>1234567890</v>
          </cell>
        </row>
        <row r="301">
          <cell r="A301" t="str">
            <v>UNC2</v>
          </cell>
          <cell r="B301" t="str">
            <v>UNC2</v>
          </cell>
          <cell r="C301" t="str">
            <v>Amazon.com Services, Inc.</v>
          </cell>
          <cell r="D301" t="str">
            <v>3200 Bush St</v>
          </cell>
          <cell r="E301" t="str">
            <v>Raleigh</v>
          </cell>
          <cell r="F301" t="str">
            <v>NC</v>
          </cell>
          <cell r="G301" t="str">
            <v>27609</v>
          </cell>
          <cell r="H301" t="str">
            <v>US</v>
          </cell>
          <cell r="I301" t="str">
            <v>1234567890</v>
          </cell>
        </row>
        <row r="302">
          <cell r="A302" t="str">
            <v>UOR1</v>
          </cell>
          <cell r="B302" t="str">
            <v>UOR1</v>
          </cell>
          <cell r="C302" t="str">
            <v>Amazon.com Services, Inc.</v>
          </cell>
          <cell r="D302" t="str">
            <v>2104 NW York St</v>
          </cell>
          <cell r="E302" t="str">
            <v>Portland</v>
          </cell>
          <cell r="F302" t="str">
            <v>OR</v>
          </cell>
          <cell r="G302" t="str">
            <v>97210</v>
          </cell>
          <cell r="H302" t="str">
            <v>US</v>
          </cell>
          <cell r="I302" t="str">
            <v>1234567890</v>
          </cell>
        </row>
        <row r="303">
          <cell r="A303" t="str">
            <v>UTX5</v>
          </cell>
          <cell r="B303" t="str">
            <v>UTX5</v>
          </cell>
          <cell r="C303" t="str">
            <v>Amazon.com Services, Inc.</v>
          </cell>
          <cell r="D303" t="str">
            <v>4848 Perrin Creek Ste 680</v>
          </cell>
          <cell r="E303" t="str">
            <v>San Antonio</v>
          </cell>
          <cell r="F303" t="str">
            <v>TX</v>
          </cell>
          <cell r="G303" t="str">
            <v>78217</v>
          </cell>
          <cell r="H303" t="str">
            <v>US</v>
          </cell>
          <cell r="I303" t="str">
            <v>1234567890</v>
          </cell>
        </row>
        <row r="304">
          <cell r="A304" t="str">
            <v>UVA1</v>
          </cell>
          <cell r="B304" t="str">
            <v>UVA1</v>
          </cell>
          <cell r="C304" t="str">
            <v>Amazon.com Services, Inc.</v>
          </cell>
          <cell r="D304" t="str">
            <v>5617 Industrial Dr. Suite A</v>
          </cell>
          <cell r="E304" t="str">
            <v>Springfiled</v>
          </cell>
          <cell r="F304" t="str">
            <v>VA</v>
          </cell>
          <cell r="G304" t="str">
            <v>22151</v>
          </cell>
          <cell r="H304" t="str">
            <v>US</v>
          </cell>
          <cell r="I304" t="str">
            <v>1234567890</v>
          </cell>
        </row>
        <row r="305">
          <cell r="A305" t="str">
            <v>UWA1</v>
          </cell>
          <cell r="B305" t="str">
            <v>UWA1</v>
          </cell>
          <cell r="C305" t="str">
            <v>Amazon.com Services, Inc.</v>
          </cell>
          <cell r="D305" t="str">
            <v>11710 118th Ave NE Building B</v>
          </cell>
          <cell r="E305" t="str">
            <v>Kirkland</v>
          </cell>
          <cell r="F305" t="str">
            <v>WA</v>
          </cell>
          <cell r="G305" t="str">
            <v>98034</v>
          </cell>
          <cell r="H305" t="str">
            <v>US</v>
          </cell>
          <cell r="I305" t="str">
            <v>1234567890</v>
          </cell>
        </row>
        <row r="306">
          <cell r="A306" t="str">
            <v>UWA2</v>
          </cell>
          <cell r="B306" t="str">
            <v>UWA2</v>
          </cell>
          <cell r="C306" t="str">
            <v>Amazon.com Services, Inc.</v>
          </cell>
          <cell r="D306" t="str">
            <v>13537 Aurora Ave N</v>
          </cell>
          <cell r="E306" t="str">
            <v>Seattle</v>
          </cell>
          <cell r="F306" t="str">
            <v>WA</v>
          </cell>
          <cell r="G306" t="str">
            <v>98133</v>
          </cell>
          <cell r="H306" t="str">
            <v>US</v>
          </cell>
          <cell r="I306" t="str">
            <v>1234567890</v>
          </cell>
        </row>
        <row r="307">
          <cell r="A307" t="str">
            <v>LFT1</v>
          </cell>
          <cell r="B307" t="str">
            <v>LFT1</v>
          </cell>
          <cell r="C307" t="str">
            <v>Amazon.com Services, Inc.</v>
          </cell>
          <cell r="D307" t="str">
            <v>3550 NE EVANGELINE TRWY</v>
          </cell>
          <cell r="E307" t="str">
            <v>CARENCRO</v>
          </cell>
          <cell r="F307" t="str">
            <v>LA</v>
          </cell>
          <cell r="G307" t="str">
            <v>70520</v>
          </cell>
          <cell r="H307" t="str">
            <v>US</v>
          </cell>
          <cell r="I307" t="str">
            <v>1234567890</v>
          </cell>
        </row>
        <row r="308">
          <cell r="A308" t="str">
            <v>SAT4</v>
          </cell>
          <cell r="B308" t="str">
            <v>SAT4</v>
          </cell>
          <cell r="C308" t="str">
            <v>Amazon.com Services, Inc.</v>
          </cell>
          <cell r="D308" t="str">
            <v>10384 W US Hwy 90</v>
          </cell>
          <cell r="E308" t="str">
            <v>San Antonio</v>
          </cell>
          <cell r="F308" t="str">
            <v>TX</v>
          </cell>
          <cell r="G308" t="str">
            <v>78245</v>
          </cell>
          <cell r="H308" t="str">
            <v>US</v>
          </cell>
          <cell r="I308" t="str">
            <v>1234567890</v>
          </cell>
        </row>
        <row r="309">
          <cell r="A309" t="str">
            <v>TPA3</v>
          </cell>
          <cell r="B309" t="str">
            <v>TPA3</v>
          </cell>
          <cell r="C309" t="str">
            <v>Amazon.com Services, Inc.</v>
          </cell>
          <cell r="D309" t="str">
            <v>676 C Fred Jones Blvd</v>
          </cell>
          <cell r="E309" t="str">
            <v>Auburndale</v>
          </cell>
          <cell r="F309" t="str">
            <v>FL</v>
          </cell>
          <cell r="G309" t="str">
            <v>33823</v>
          </cell>
          <cell r="H309" t="str">
            <v>US</v>
          </cell>
          <cell r="I309" t="str">
            <v>1234567890</v>
          </cell>
        </row>
        <row r="310">
          <cell r="A310" t="str">
            <v>kRB7</v>
          </cell>
          <cell r="B310" t="str">
            <v>kRB7</v>
          </cell>
          <cell r="C310" t="str">
            <v>Amazon.com Services, Inc.</v>
          </cell>
          <cell r="D310" t="str">
            <v>36900 W 4th St</v>
          </cell>
          <cell r="E310" t="str">
            <v>Beaumont</v>
          </cell>
          <cell r="F310" t="str">
            <v>CA</v>
          </cell>
          <cell r="G310" t="str">
            <v>92223</v>
          </cell>
          <cell r="H310" t="str">
            <v>US</v>
          </cell>
          <cell r="I310" t="str">
            <v>1234567890</v>
          </cell>
        </row>
        <row r="311">
          <cell r="A311" t="str">
            <v>SLC2</v>
          </cell>
          <cell r="B311" t="str">
            <v>SLC2</v>
          </cell>
          <cell r="C311" t="str">
            <v>Amazon.com Services, Inc.</v>
          </cell>
          <cell r="D311" t="str">
            <v>7148 W. Old Bingham Hwy</v>
          </cell>
          <cell r="E311" t="str">
            <v>West Jordan</v>
          </cell>
          <cell r="F311" t="str">
            <v>UT</v>
          </cell>
          <cell r="G311" t="str">
            <v>84081</v>
          </cell>
          <cell r="H311" t="str">
            <v>US</v>
          </cell>
          <cell r="I311" t="str">
            <v>1234567890</v>
          </cell>
        </row>
        <row r="312">
          <cell r="A312" t="str">
            <v>DEN8</v>
          </cell>
          <cell r="B312" t="str">
            <v>DEN8</v>
          </cell>
          <cell r="C312" t="str">
            <v>Amazon.com Services, Inc.</v>
          </cell>
          <cell r="D312" t="str">
            <v>21000 E 13th Ave</v>
          </cell>
          <cell r="E312" t="str">
            <v>AURORA</v>
          </cell>
          <cell r="F312" t="str">
            <v>CO</v>
          </cell>
          <cell r="G312" t="str">
            <v>80018</v>
          </cell>
          <cell r="H312" t="str">
            <v>US</v>
          </cell>
          <cell r="I312" t="str">
            <v>1234567890</v>
          </cell>
        </row>
        <row r="313">
          <cell r="A313" t="str">
            <v>CMH7</v>
          </cell>
          <cell r="B313" t="str">
            <v>CMH7</v>
          </cell>
          <cell r="C313" t="str">
            <v>Amazon.com Services, Inc.</v>
          </cell>
          <cell r="D313" t="str">
            <v>1245 BEECH RD SW</v>
          </cell>
          <cell r="E313" t="str">
            <v>NEW ALBANY</v>
          </cell>
          <cell r="F313" t="str">
            <v>OH</v>
          </cell>
          <cell r="G313" t="str">
            <v>43054</v>
          </cell>
          <cell r="H313" t="str">
            <v>US</v>
          </cell>
          <cell r="I313" t="str">
            <v>1234567890</v>
          </cell>
        </row>
        <row r="314">
          <cell r="A314" t="str">
            <v>SAV3</v>
          </cell>
          <cell r="B314" t="str">
            <v>SAV3</v>
          </cell>
          <cell r="C314" t="str">
            <v>Amazon.com Services, Inc.</v>
          </cell>
          <cell r="D314" t="str">
            <v>7001 Skipper Rd</v>
          </cell>
          <cell r="E314" t="str">
            <v>Macon</v>
          </cell>
          <cell r="F314" t="str">
            <v>GA</v>
          </cell>
          <cell r="G314" t="str">
            <v>31216-6427</v>
          </cell>
          <cell r="H314" t="str">
            <v>US</v>
          </cell>
          <cell r="I314" t="str">
            <v>1234567890</v>
          </cell>
        </row>
        <row r="315">
          <cell r="A315" t="str">
            <v>BFL2</v>
          </cell>
          <cell r="B315" t="str">
            <v>BFL2</v>
          </cell>
          <cell r="C315" t="str">
            <v>Amazon.com Services, Inc.</v>
          </cell>
          <cell r="D315" t="str">
            <v>4500 EXPRESS AVE</v>
          </cell>
          <cell r="E315" t="str">
            <v>SHAFTER</v>
          </cell>
          <cell r="F315" t="str">
            <v>CA</v>
          </cell>
          <cell r="G315" t="str">
            <v>93263</v>
          </cell>
          <cell r="H315" t="str">
            <v>US</v>
          </cell>
          <cell r="I315" t="str">
            <v>1234567890</v>
          </cell>
        </row>
        <row r="316">
          <cell r="A316" t="str">
            <v>OLM1</v>
          </cell>
          <cell r="B316" t="str">
            <v>OLM1</v>
          </cell>
          <cell r="C316" t="str">
            <v>Amazon.com Services, Inc.</v>
          </cell>
          <cell r="D316" t="str">
            <v>3300 HOGUM BAY RD NE</v>
          </cell>
          <cell r="E316" t="str">
            <v>OLYMPIA</v>
          </cell>
          <cell r="F316" t="str">
            <v>WA</v>
          </cell>
          <cell r="G316" t="str">
            <v>98516-3111</v>
          </cell>
          <cell r="H316" t="str">
            <v>US</v>
          </cell>
          <cell r="I316" t="str">
            <v>1234567890</v>
          </cell>
        </row>
        <row r="317">
          <cell r="A317" t="str">
            <v>SMF6</v>
          </cell>
          <cell r="B317" t="str">
            <v>SMF6</v>
          </cell>
          <cell r="C317" t="str">
            <v>Amazon.com Services, Inc.</v>
          </cell>
          <cell r="D317" t="str">
            <v>4930 ALLBAUGH DR</v>
          </cell>
          <cell r="E317" t="str">
            <v>SACRAMENTO</v>
          </cell>
          <cell r="F317" t="str">
            <v>CA</v>
          </cell>
          <cell r="G317" t="str">
            <v>95837-9109</v>
          </cell>
          <cell r="H317" t="str">
            <v>US</v>
          </cell>
          <cell r="I317" t="str">
            <v>1234567890</v>
          </cell>
        </row>
        <row r="318">
          <cell r="A318" t="str">
            <v>BDL6</v>
          </cell>
          <cell r="B318" t="str">
            <v>BDL6</v>
          </cell>
          <cell r="C318" t="str">
            <v>Amazon.com Services, Inc.</v>
          </cell>
          <cell r="D318" t="str">
            <v>120 County Line Drive</v>
          </cell>
          <cell r="E318" t="str">
            <v>CROMWELL</v>
          </cell>
          <cell r="F318" t="str">
            <v>CT</v>
          </cell>
          <cell r="G318" t="str">
            <v>06416</v>
          </cell>
          <cell r="H318" t="str">
            <v>US</v>
          </cell>
          <cell r="I318" t="str">
            <v>1234567890</v>
          </cell>
        </row>
        <row r="319">
          <cell r="A319" t="str">
            <v>FTW5</v>
          </cell>
          <cell r="B319" t="str">
            <v>FTW5</v>
          </cell>
          <cell r="C319" t="str">
            <v>Amazon.com Services, Inc.</v>
          </cell>
          <cell r="D319" t="str">
            <v>1475 AKRON WAY</v>
          </cell>
          <cell r="E319" t="str">
            <v>FORNEY</v>
          </cell>
          <cell r="F319" t="str">
            <v>TX</v>
          </cell>
          <cell r="G319" t="str">
            <v>75126-3566</v>
          </cell>
          <cell r="H319" t="str">
            <v>US</v>
          </cell>
          <cell r="I319" t="str">
            <v>1234567890</v>
          </cell>
        </row>
        <row r="320">
          <cell r="A320" t="str">
            <v>XLX1</v>
          </cell>
          <cell r="B320" t="str">
            <v>XLX1</v>
          </cell>
          <cell r="C320" t="str">
            <v>Amazon.com Services, Inc.</v>
          </cell>
          <cell r="D320" t="str">
            <v>1115 Wesel Blvd</v>
          </cell>
          <cell r="E320" t="str">
            <v>HAGERSTOWN</v>
          </cell>
          <cell r="F320" t="str">
            <v>MD</v>
          </cell>
          <cell r="G320" t="str">
            <v>21740</v>
          </cell>
          <cell r="H320" t="str">
            <v>US</v>
          </cell>
          <cell r="I320" t="str">
            <v>1234567890</v>
          </cell>
        </row>
        <row r="321">
          <cell r="A321" t="str">
            <v>FTW9</v>
          </cell>
          <cell r="B321" t="str">
            <v>FTW9</v>
          </cell>
          <cell r="C321" t="str">
            <v>Amazon.com Services, Inc.</v>
          </cell>
          <cell r="D321" t="str">
            <v>944 W Sandy Lake Rd</v>
          </cell>
          <cell r="E321" t="str">
            <v>COPPELL</v>
          </cell>
          <cell r="F321" t="str">
            <v>TX</v>
          </cell>
          <cell r="G321" t="str">
            <v>75019</v>
          </cell>
          <cell r="H321" t="str">
            <v>US</v>
          </cell>
          <cell r="I321" t="str">
            <v>1234567890</v>
          </cell>
        </row>
        <row r="322">
          <cell r="A322" t="str">
            <v>CMH6</v>
          </cell>
          <cell r="B322" t="str">
            <v>CMH6</v>
          </cell>
          <cell r="C322" t="str">
            <v>Amazon.com Services, Inc.</v>
          </cell>
          <cell r="D322" t="str">
            <v>3538 TRADEPORT CT</v>
          </cell>
          <cell r="E322" t="str">
            <v>LOCKBOURNE</v>
          </cell>
          <cell r="F322" t="str">
            <v>OH</v>
          </cell>
          <cell r="G322" t="str">
            <v>43137</v>
          </cell>
          <cell r="H322" t="str">
            <v>US</v>
          </cell>
          <cell r="I322" t="str">
            <v>1234567890</v>
          </cell>
        </row>
        <row r="323">
          <cell r="A323" t="str">
            <v>XLX6</v>
          </cell>
          <cell r="B323" t="str">
            <v>XLX6</v>
          </cell>
          <cell r="C323" t="str">
            <v>Amazon.com Services, Inc.</v>
          </cell>
          <cell r="D323" t="str">
            <v>12220 Carolina Logistics Drive</v>
          </cell>
          <cell r="E323" t="str">
            <v>PINEVILLE</v>
          </cell>
          <cell r="F323" t="str">
            <v>NC</v>
          </cell>
          <cell r="G323" t="str">
            <v>28134</v>
          </cell>
          <cell r="H323" t="str">
            <v>US</v>
          </cell>
          <cell r="I323" t="str">
            <v>1234567890</v>
          </cell>
        </row>
        <row r="324">
          <cell r="A324" t="str">
            <v>BFI9</v>
          </cell>
          <cell r="B324" t="str">
            <v>BFI9</v>
          </cell>
          <cell r="C324" t="str">
            <v>Amazon.com Services, Inc.</v>
          </cell>
          <cell r="D324" t="str">
            <v>3230 INTERNATIONAL PL</v>
          </cell>
          <cell r="E324" t="str">
            <v>DUPONT</v>
          </cell>
          <cell r="F324" t="str">
            <v>WA</v>
          </cell>
          <cell r="G324" t="str">
            <v>98327</v>
          </cell>
          <cell r="H324" t="str">
            <v>US</v>
          </cell>
          <cell r="I324" t="str">
            <v>1234567890</v>
          </cell>
        </row>
        <row r="325">
          <cell r="A325" t="str">
            <v>STL8</v>
          </cell>
          <cell r="B325" t="str">
            <v>STL8</v>
          </cell>
          <cell r="C325" t="str">
            <v>Amazon.com Services, Inc.</v>
          </cell>
          <cell r="D325" t="str">
            <v>4000 Premier Parkway</v>
          </cell>
          <cell r="E325" t="str">
            <v>SAINT PETERS</v>
          </cell>
          <cell r="F325" t="str">
            <v>MO</v>
          </cell>
          <cell r="G325" t="str">
            <v>63376</v>
          </cell>
          <cell r="H325" t="str">
            <v>US</v>
          </cell>
          <cell r="I325" t="str">
            <v>1234567890</v>
          </cell>
        </row>
        <row r="326">
          <cell r="A326" t="str">
            <v>CMH4</v>
          </cell>
          <cell r="B326" t="str">
            <v>CMH4</v>
          </cell>
          <cell r="C326" t="str">
            <v>Amazon.com Services, Inc.</v>
          </cell>
          <cell r="D326" t="str">
            <v>1550 W Main Street</v>
          </cell>
          <cell r="E326" t="str">
            <v>WEST JEFFERSON</v>
          </cell>
          <cell r="F326" t="str">
            <v>OH</v>
          </cell>
          <cell r="G326" t="str">
            <v>43162-9747</v>
          </cell>
          <cell r="H326" t="str">
            <v>US</v>
          </cell>
          <cell r="I326" t="str">
            <v>1234567890</v>
          </cell>
        </row>
        <row r="327">
          <cell r="A327" t="str">
            <v>GRR1</v>
          </cell>
          <cell r="B327" t="str">
            <v>GRR1</v>
          </cell>
          <cell r="C327" t="str">
            <v>Amazon.com Services, Inc.</v>
          </cell>
          <cell r="D327" t="str">
            <v>4500 68th Street SE</v>
          </cell>
          <cell r="E327" t="str">
            <v>CALEDONIA</v>
          </cell>
          <cell r="F327" t="str">
            <v>MI</v>
          </cell>
          <cell r="G327" t="str">
            <v>49316</v>
          </cell>
          <cell r="H327" t="str">
            <v>US</v>
          </cell>
          <cell r="I327" t="str">
            <v>1234567890</v>
          </cell>
        </row>
        <row r="328">
          <cell r="A328" t="str">
            <v>CLE2</v>
          </cell>
          <cell r="B328" t="str">
            <v>CLE2</v>
          </cell>
          <cell r="C328" t="str">
            <v>Amazon.com Services, Inc.</v>
          </cell>
          <cell r="D328" t="str">
            <v>21500 Emery Rd</v>
          </cell>
          <cell r="E328" t="str">
            <v>North Randall</v>
          </cell>
          <cell r="F328" t="str">
            <v>OH</v>
          </cell>
          <cell r="G328" t="str">
            <v>44128</v>
          </cell>
          <cell r="H328" t="str">
            <v>US</v>
          </cell>
          <cell r="I328" t="str">
            <v>1234567890</v>
          </cell>
        </row>
        <row r="329">
          <cell r="A329" t="str">
            <v>JAX7</v>
          </cell>
          <cell r="B329" t="str">
            <v>JAX7</v>
          </cell>
          <cell r="C329" t="str">
            <v>Amazon.com Services, Inc.</v>
          </cell>
          <cell r="D329" t="str">
            <v>10501 COLD STORAGE RD</v>
          </cell>
          <cell r="E329" t="str">
            <v>JACKSONVILLE</v>
          </cell>
          <cell r="F329" t="str">
            <v>FL</v>
          </cell>
          <cell r="G329" t="str">
            <v>32218-8545</v>
          </cell>
          <cell r="H329" t="str">
            <v>US</v>
          </cell>
          <cell r="I329" t="str">
            <v>1234567890</v>
          </cell>
        </row>
        <row r="330">
          <cell r="A330" t="str">
            <v>CLT4</v>
          </cell>
          <cell r="B330" t="str">
            <v>CLT4</v>
          </cell>
          <cell r="C330" t="str">
            <v>Amazon.com Services, Inc.</v>
          </cell>
          <cell r="D330" t="str">
            <v>8000 TUCKASEEGEE RD</v>
          </cell>
          <cell r="E330" t="str">
            <v>CHARLOTTE</v>
          </cell>
          <cell r="F330" t="str">
            <v>NC</v>
          </cell>
          <cell r="G330" t="str">
            <v>28214-2633</v>
          </cell>
          <cell r="H330" t="str">
            <v>US</v>
          </cell>
          <cell r="I330" t="str">
            <v>1234567890</v>
          </cell>
        </row>
        <row r="331">
          <cell r="A331" t="str">
            <v>MDT4</v>
          </cell>
          <cell r="B331" t="str">
            <v>MDT4</v>
          </cell>
          <cell r="C331" t="str">
            <v>Amazon.com Services, Inc.</v>
          </cell>
          <cell r="D331" t="str">
            <v>5125 Commerce Dr</v>
          </cell>
          <cell r="E331" t="str">
            <v>York</v>
          </cell>
          <cell r="F331" t="str">
            <v>PA</v>
          </cell>
          <cell r="G331" t="str">
            <v>17408</v>
          </cell>
          <cell r="H331" t="str">
            <v>US</v>
          </cell>
          <cell r="I331" t="str">
            <v>1234567890</v>
          </cell>
        </row>
        <row r="332">
          <cell r="A332" t="str">
            <v>AMA1</v>
          </cell>
          <cell r="B332" t="str">
            <v>AMA1</v>
          </cell>
          <cell r="C332" t="str">
            <v>Amazon.com Services, Inc.</v>
          </cell>
          <cell r="D332" t="str">
            <v>8590 NE 24th Ave</v>
          </cell>
          <cell r="E332" t="str">
            <v>Amarillo</v>
          </cell>
          <cell r="F332" t="str">
            <v>TX</v>
          </cell>
          <cell r="G332" t="str">
            <v>79108-7749</v>
          </cell>
          <cell r="H332" t="str">
            <v>US</v>
          </cell>
          <cell r="I332" t="str">
            <v>1234567890</v>
          </cell>
        </row>
        <row r="333">
          <cell r="A333" t="str">
            <v>FOE1</v>
          </cell>
          <cell r="B333" t="str">
            <v>FOE1</v>
          </cell>
          <cell r="C333" t="str">
            <v>Amazon.com Services, Inc.</v>
          </cell>
          <cell r="D333" t="str">
            <v>9400 LEAVENWORTH RD</v>
          </cell>
          <cell r="E333" t="str">
            <v>KANSAS CITY</v>
          </cell>
          <cell r="F333" t="str">
            <v>KS</v>
          </cell>
          <cell r="G333" t="str">
            <v>66109-3665</v>
          </cell>
          <cell r="H333" t="str">
            <v>US</v>
          </cell>
          <cell r="I333" t="str">
            <v>1234567890</v>
          </cell>
        </row>
        <row r="334">
          <cell r="A334" t="str">
            <v>AKR1</v>
          </cell>
          <cell r="B334" t="str">
            <v>AKR1</v>
          </cell>
          <cell r="C334" t="str">
            <v>Amazon.com Services, Inc.</v>
          </cell>
          <cell r="D334" t="str">
            <v>4747 Rebar Ave NE</v>
          </cell>
          <cell r="E334" t="str">
            <v>CANTON</v>
          </cell>
          <cell r="F334" t="str">
            <v>OH</v>
          </cell>
          <cell r="G334" t="str">
            <v>44705</v>
          </cell>
          <cell r="H334" t="str">
            <v>US</v>
          </cell>
          <cell r="I334" t="str">
            <v>1234567890</v>
          </cell>
        </row>
        <row r="335">
          <cell r="A335" t="str">
            <v>SWF2</v>
          </cell>
          <cell r="B335" t="str">
            <v>SWF2</v>
          </cell>
          <cell r="C335" t="str">
            <v>Amazon.com Services, Inc.</v>
          </cell>
          <cell r="D335" t="str">
            <v>76 Patriot Way</v>
          </cell>
          <cell r="E335" t="str">
            <v>Hopewell Junction</v>
          </cell>
          <cell r="F335" t="str">
            <v>NY</v>
          </cell>
          <cell r="G335" t="str">
            <v>12533-6159</v>
          </cell>
          <cell r="H335" t="str">
            <v>US</v>
          </cell>
          <cell r="I335" t="str">
            <v>1234567890</v>
          </cell>
        </row>
        <row r="336">
          <cell r="A336" t="str">
            <v>XIX6</v>
          </cell>
          <cell r="B336" t="str">
            <v>XIX6</v>
          </cell>
          <cell r="C336" t="str">
            <v>Amazon.com Services, Inc.</v>
          </cell>
          <cell r="D336" t="str">
            <v>10681 Production Ave</v>
          </cell>
          <cell r="E336" t="str">
            <v>San Bernardino</v>
          </cell>
          <cell r="F336" t="str">
            <v>CA</v>
          </cell>
          <cell r="G336" t="str">
            <v>92337</v>
          </cell>
          <cell r="H336" t="str">
            <v>US</v>
          </cell>
          <cell r="I336" t="str">
            <v>1234567890</v>
          </cell>
        </row>
        <row r="337">
          <cell r="A337" t="str">
            <v>IAH3</v>
          </cell>
          <cell r="B337" t="str">
            <v>IAH3</v>
          </cell>
          <cell r="C337" t="str">
            <v>Amazon.com Services, Inc.</v>
          </cell>
          <cell r="D337" t="str">
            <v>15525 Milner Road</v>
          </cell>
          <cell r="E337" t="str">
            <v>HOUSTON</v>
          </cell>
          <cell r="F337" t="str">
            <v>TX</v>
          </cell>
          <cell r="G337" t="str">
            <v>77032</v>
          </cell>
          <cell r="H337" t="str">
            <v>US</v>
          </cell>
          <cell r="I337" t="str">
            <v>1234567890</v>
          </cell>
        </row>
        <row r="338">
          <cell r="A338" t="str">
            <v>RFD2</v>
          </cell>
          <cell r="B338" t="str">
            <v>RFD2</v>
          </cell>
          <cell r="C338" t="str">
            <v>Amazon.com Services, Inc.</v>
          </cell>
          <cell r="D338" t="str">
            <v>11500 Freeman Rd</v>
          </cell>
          <cell r="E338" t="str">
            <v>Huntley</v>
          </cell>
          <cell r="F338" t="str">
            <v>IL</v>
          </cell>
          <cell r="G338" t="str">
            <v>60142</v>
          </cell>
          <cell r="H338" t="str">
            <v>US</v>
          </cell>
          <cell r="I338" t="str">
            <v>1234567890</v>
          </cell>
        </row>
        <row r="339">
          <cell r="A339" t="str">
            <v>CHO1</v>
          </cell>
          <cell r="B339" t="str">
            <v>CHO1</v>
          </cell>
          <cell r="C339" t="str">
            <v>Amazon.com Services, Inc.</v>
          </cell>
          <cell r="D339" t="str">
            <v>32 Trader Rd</v>
          </cell>
          <cell r="E339" t="str">
            <v>Fishersville</v>
          </cell>
          <cell r="F339" t="str">
            <v>VA</v>
          </cell>
          <cell r="G339" t="str">
            <v>22939</v>
          </cell>
          <cell r="H339" t="str">
            <v>US</v>
          </cell>
          <cell r="I339" t="str">
            <v>1234567890</v>
          </cell>
        </row>
        <row r="340">
          <cell r="A340" t="str">
            <v>RDU2</v>
          </cell>
          <cell r="B340" t="str">
            <v>RDU2</v>
          </cell>
          <cell r="C340" t="str">
            <v>Amazon.com Services, Inc.</v>
          </cell>
          <cell r="D340" t="str">
            <v>2150 US-70 BUS</v>
          </cell>
          <cell r="E340" t="str">
            <v>Smithfield</v>
          </cell>
          <cell r="F340" t="str">
            <v>NC</v>
          </cell>
          <cell r="G340" t="str">
            <v>27577</v>
          </cell>
          <cell r="H340" t="str">
            <v>US</v>
          </cell>
          <cell r="I340" t="str">
            <v>1234567890</v>
          </cell>
        </row>
        <row r="341">
          <cell r="A341" t="str">
            <v>SCK8</v>
          </cell>
          <cell r="B341" t="str">
            <v>SCK8</v>
          </cell>
          <cell r="C341" t="str">
            <v>Amazon.com Services, Inc.</v>
          </cell>
          <cell r="D341" t="str">
            <v>4700 Wilbur Ave</v>
          </cell>
          <cell r="E341" t="str">
            <v>Oakley</v>
          </cell>
          <cell r="F341" t="str">
            <v>CA</v>
          </cell>
          <cell r="G341" t="str">
            <v>94561</v>
          </cell>
          <cell r="H341" t="str">
            <v>US</v>
          </cell>
          <cell r="I341" t="str">
            <v>1234567890</v>
          </cell>
        </row>
        <row r="342">
          <cell r="A342" t="str">
            <v>PBI3</v>
          </cell>
          <cell r="B342" t="str">
            <v>PBI3</v>
          </cell>
          <cell r="C342" t="str">
            <v>Amazon.com Services, Inc.</v>
          </cell>
          <cell r="D342" t="str">
            <v>7600 LTC Parkway</v>
          </cell>
          <cell r="E342" t="str">
            <v>PORT SAINT LUCIE</v>
          </cell>
          <cell r="F342" t="str">
            <v>FL</v>
          </cell>
          <cell r="G342" t="str">
            <v>34986</v>
          </cell>
          <cell r="H342" t="str">
            <v>CN</v>
          </cell>
          <cell r="I342" t="str">
            <v>0000000000</v>
          </cell>
        </row>
        <row r="343">
          <cell r="A343" t="str">
            <v>RYY2</v>
          </cell>
          <cell r="B343" t="str">
            <v>RYY2</v>
          </cell>
          <cell r="C343" t="str">
            <v>AMAZON.COM SERVICES, INC.</v>
          </cell>
          <cell r="D343" t="str">
            <v>1250 Cassville W hite Road</v>
          </cell>
          <cell r="E343" t="str">
            <v>White</v>
          </cell>
          <cell r="F343" t="str">
            <v>GA</v>
          </cell>
          <cell r="G343" t="str">
            <v>30184</v>
          </cell>
          <cell r="H343" t="str">
            <v>CN</v>
          </cell>
          <cell r="I343" t="str">
            <v>0000000000</v>
          </cell>
        </row>
        <row r="344">
          <cell r="A344" t="str">
            <v>VGT2-UPS</v>
          </cell>
          <cell r="B344" t="str">
            <v>VGT2-UPS</v>
          </cell>
          <cell r="C344" t="str">
            <v>Amazon.com Services, Inc.</v>
          </cell>
          <cell r="D344" t="str">
            <v>20701 Krameria Awenue</v>
          </cell>
          <cell r="E344" t="str">
            <v>March Air Reserve Base</v>
          </cell>
          <cell r="F344" t="str">
            <v>CA</v>
          </cell>
          <cell r="G344" t="str">
            <v>92518</v>
          </cell>
          <cell r="H344" t="str">
            <v>US</v>
          </cell>
          <cell r="I344" t="str">
            <v>0000000000</v>
          </cell>
        </row>
        <row r="345">
          <cell r="A345" t="str">
            <v>VGT2</v>
          </cell>
          <cell r="B345" t="str">
            <v>VGT2</v>
          </cell>
          <cell r="C345" t="str">
            <v>Amazon.com Services, Inc.</v>
          </cell>
          <cell r="D345" t="str">
            <v>6401 Howdy Wells Ave</v>
          </cell>
          <cell r="E345" t="str">
            <v>LAS VEGAS</v>
          </cell>
          <cell r="F345" t="str">
            <v>NV</v>
          </cell>
          <cell r="G345" t="str">
            <v>89115-2013</v>
          </cell>
          <cell r="H345" t="str">
            <v>US</v>
          </cell>
          <cell r="I345" t="str">
            <v>0000000000</v>
          </cell>
        </row>
        <row r="346">
          <cell r="A346" t="str">
            <v>HOU7</v>
          </cell>
          <cell r="B346" t="str">
            <v>HOU7</v>
          </cell>
          <cell r="C346" t="str">
            <v>Amazon.com Services, Inc.</v>
          </cell>
          <cell r="D346" t="str">
            <v>16225 TOMBALL PKWYBLDG A</v>
          </cell>
          <cell r="E346" t="str">
            <v>HOUSTON</v>
          </cell>
          <cell r="F346" t="str">
            <v>TX</v>
          </cell>
          <cell r="G346" t="str">
            <v>77064-1111</v>
          </cell>
          <cell r="H346" t="str">
            <v>US</v>
          </cell>
          <cell r="I346" t="str">
            <v>0000000000</v>
          </cell>
        </row>
        <row r="347">
          <cell r="A347" t="str">
            <v>SWF2-</v>
          </cell>
          <cell r="B347" t="str">
            <v>SWF2-</v>
          </cell>
          <cell r="C347" t="str">
            <v>Amazon.com Services, Inc.</v>
          </cell>
          <cell r="D347" t="str">
            <v>SWF2 a UPS Yonkers,557 uckahoe Road</v>
          </cell>
          <cell r="E347" t="str">
            <v>Yonkers</v>
          </cell>
          <cell r="F347" t="str">
            <v>NY</v>
          </cell>
          <cell r="G347" t="str">
            <v>10710</v>
          </cell>
          <cell r="H347" t="str">
            <v>US</v>
          </cell>
          <cell r="I347" t="str">
            <v>0000000000</v>
          </cell>
        </row>
        <row r="348">
          <cell r="A348" t="str">
            <v>KRB5</v>
          </cell>
          <cell r="B348" t="str">
            <v>KRB5</v>
          </cell>
          <cell r="C348" t="str">
            <v>Amazon.com Services, Inc.</v>
          </cell>
          <cell r="D348" t="str">
            <v>600 Principio Pkwy W</v>
          </cell>
          <cell r="E348" t="str">
            <v>North East</v>
          </cell>
          <cell r="F348" t="str">
            <v>MD</v>
          </cell>
          <cell r="G348" t="str">
            <v>21901</v>
          </cell>
          <cell r="H348" t="str">
            <v>US</v>
          </cell>
          <cell r="I348" t="str">
            <v>0000000000</v>
          </cell>
        </row>
        <row r="349">
          <cell r="A349" t="str">
            <v>AVP9</v>
          </cell>
          <cell r="B349" t="str">
            <v>AVP9</v>
          </cell>
          <cell r="C349" t="str">
            <v>Amazon.com Services, Inc.</v>
          </cell>
          <cell r="D349" t="str">
            <v>45 VALLEY VIEW DR</v>
          </cell>
          <cell r="E349" t="str">
            <v>JESSUP</v>
          </cell>
          <cell r="F349" t="str">
            <v>PA</v>
          </cell>
          <cell r="G349" t="str">
            <v>18434</v>
          </cell>
          <cell r="H349" t="str">
            <v>US</v>
          </cell>
          <cell r="I349" t="str">
            <v>0000000000</v>
          </cell>
        </row>
        <row r="350">
          <cell r="A350" t="str">
            <v>IUSL</v>
          </cell>
          <cell r="B350" t="str">
            <v>IUSL</v>
          </cell>
          <cell r="C350" t="str">
            <v>Amazon.com Services, Inc.</v>
          </cell>
          <cell r="D350" t="str">
            <v>600 PRINCIPIO PKWY W</v>
          </cell>
          <cell r="E350" t="str">
            <v>NORTH EAST</v>
          </cell>
          <cell r="F350" t="str">
            <v>MD</v>
          </cell>
          <cell r="G350" t="str">
            <v>21901-2914</v>
          </cell>
          <cell r="H350" t="str">
            <v>US</v>
          </cell>
          <cell r="I350" t="str">
            <v>0000000000</v>
          </cell>
        </row>
        <row r="351">
          <cell r="A351" t="str">
            <v>ORF2-</v>
          </cell>
          <cell r="B351" t="str">
            <v>ORF2-</v>
          </cell>
          <cell r="C351" t="str">
            <v>Amazon.com Services, Inc.</v>
          </cell>
          <cell r="D351" t="str">
            <v>9603 Coach Road</v>
          </cell>
          <cell r="E351" t="str">
            <v>Richmond</v>
          </cell>
          <cell r="F351" t="str">
            <v>VA</v>
          </cell>
          <cell r="G351" t="str">
            <v>23297</v>
          </cell>
          <cell r="H351" t="str">
            <v>US</v>
          </cell>
          <cell r="I351" t="str">
            <v>0000000000</v>
          </cell>
        </row>
        <row r="352">
          <cell r="A352" t="str">
            <v>SMF7</v>
          </cell>
          <cell r="B352" t="str">
            <v>SMF7</v>
          </cell>
          <cell r="C352" t="str">
            <v>Amazon.com Services, Inc.</v>
          </cell>
          <cell r="D352" t="str">
            <v>4800 Midway Road</v>
          </cell>
          <cell r="E352" t="str">
            <v>VACAVILLE</v>
          </cell>
          <cell r="F352" t="str">
            <v>CA</v>
          </cell>
          <cell r="G352" t="str">
            <v>95688-9626</v>
          </cell>
          <cell r="H352" t="str">
            <v>US</v>
          </cell>
          <cell r="I352" t="str">
            <v>0000000000</v>
          </cell>
        </row>
        <row r="353">
          <cell r="A353" t="str">
            <v>SCK3</v>
          </cell>
          <cell r="B353" t="str">
            <v>SCK3</v>
          </cell>
          <cell r="C353" t="str">
            <v>Amazon.com Services, Inc.</v>
          </cell>
          <cell r="D353" t="str">
            <v>3565 N AIRPORT WAY</v>
          </cell>
          <cell r="E353" t="str">
            <v>MANTECA</v>
          </cell>
          <cell r="F353" t="str">
            <v>CA</v>
          </cell>
          <cell r="G353" t="str">
            <v>95336-8696</v>
          </cell>
          <cell r="H353" t="str">
            <v>US</v>
          </cell>
          <cell r="I353" t="str">
            <v>0000000000</v>
          </cell>
        </row>
        <row r="354">
          <cell r="A354" t="str">
            <v>HGR2</v>
          </cell>
          <cell r="B354" t="str">
            <v>HGR2</v>
          </cell>
          <cell r="C354" t="str">
            <v>Amazon.com Services, Inc.</v>
          </cell>
          <cell r="D354" t="str">
            <v>1115 WESEL BLVD</v>
          </cell>
          <cell r="E354" t="str">
            <v>HAGERSTOWN</v>
          </cell>
          <cell r="F354" t="str">
            <v>MD</v>
          </cell>
          <cell r="G354" t="str">
            <v>21740-8126</v>
          </cell>
          <cell r="H354" t="str">
            <v>US</v>
          </cell>
          <cell r="I354" t="str">
            <v>0000000000</v>
          </cell>
        </row>
        <row r="355">
          <cell r="A355" t="str">
            <v>CLT6</v>
          </cell>
          <cell r="B355" t="str">
            <v>CLT6</v>
          </cell>
          <cell r="C355" t="str">
            <v>Amazon.com Services, Inc.</v>
          </cell>
          <cell r="D355" t="str">
            <v>12220 Carolina Logistics Drive</v>
          </cell>
          <cell r="E355" t="str">
            <v>PINEVILLE</v>
          </cell>
          <cell r="F355" t="str">
            <v>NC</v>
          </cell>
          <cell r="G355" t="str">
            <v>28134-9457</v>
          </cell>
          <cell r="H355" t="str">
            <v>US</v>
          </cell>
          <cell r="I355" t="str">
            <v>0000000000</v>
          </cell>
        </row>
        <row r="356">
          <cell r="A356" t="str">
            <v>MQJ2</v>
          </cell>
          <cell r="B356" t="str">
            <v>MQJ2</v>
          </cell>
          <cell r="C356" t="str">
            <v>Amazon.com Services, Inc.</v>
          </cell>
          <cell r="D356" t="str">
            <v>19 BOB GLIDDEN BLVD</v>
          </cell>
          <cell r="E356" t="str">
            <v>WHITELAND</v>
          </cell>
          <cell r="F356" t="str">
            <v>IN</v>
          </cell>
          <cell r="G356" t="str">
            <v>46184-9108</v>
          </cell>
          <cell r="H356" t="str">
            <v>US</v>
          </cell>
          <cell r="I356" t="str">
            <v>0000000000</v>
          </cell>
        </row>
        <row r="357">
          <cell r="A357" t="str">
            <v>MEM8</v>
          </cell>
          <cell r="B357" t="str">
            <v>MEM8</v>
          </cell>
          <cell r="C357" t="str">
            <v>Amazon.com Services, Inc.</v>
          </cell>
          <cell r="D357" t="str">
            <v>850 GATEWAY GLOBAL DR</v>
          </cell>
          <cell r="E357" t="str">
            <v>BYHALIA</v>
          </cell>
          <cell r="F357" t="str">
            <v>MS</v>
          </cell>
          <cell r="G357" t="str">
            <v>38611-6040</v>
          </cell>
          <cell r="H357" t="str">
            <v>US</v>
          </cell>
          <cell r="I357" t="str">
            <v>0000000000</v>
          </cell>
        </row>
        <row r="358">
          <cell r="A358" t="str">
            <v>RFD4</v>
          </cell>
          <cell r="B358" t="str">
            <v>RFD4</v>
          </cell>
          <cell r="C358" t="str">
            <v>Amazon.com Services, Inc.</v>
          </cell>
          <cell r="D358" t="str">
            <v>11400 Venture Court</v>
          </cell>
          <cell r="E358" t="str">
            <v>HUNTLEY</v>
          </cell>
          <cell r="F358" t="str">
            <v>IL</v>
          </cell>
          <cell r="G358" t="str">
            <v>60142</v>
          </cell>
          <cell r="H358" t="str">
            <v>US</v>
          </cell>
          <cell r="I358" t="str">
            <v>0000000000</v>
          </cell>
        </row>
        <row r="359">
          <cell r="A359" t="str">
            <v>ABE9</v>
          </cell>
          <cell r="B359" t="str">
            <v>ABE9</v>
          </cell>
          <cell r="C359" t="str">
            <v>Amazon.com Services, Inc.</v>
          </cell>
          <cell r="D359" t="str">
            <v>100 Quality Circle suite 106</v>
          </cell>
          <cell r="E359" t="str">
            <v>Harrisburg</v>
          </cell>
          <cell r="F359" t="str">
            <v>PA</v>
          </cell>
          <cell r="G359" t="str">
            <v>17112</v>
          </cell>
          <cell r="H359" t="str">
            <v>US</v>
          </cell>
          <cell r="I359" t="str">
            <v>0000000000</v>
          </cell>
        </row>
        <row r="360">
          <cell r="A360" t="str">
            <v>AFW1</v>
          </cell>
          <cell r="B360" t="str">
            <v>AFW1</v>
          </cell>
          <cell r="C360" t="str">
            <v>Amazon.com Services, Inc.</v>
          </cell>
          <cell r="D360" t="str">
            <v>1851 NE LOOP 820</v>
          </cell>
          <cell r="E360" t="str">
            <v>FORT WORTH</v>
          </cell>
          <cell r="F360" t="str">
            <v>TX</v>
          </cell>
          <cell r="G360" t="str">
            <v>76131-1694</v>
          </cell>
          <cell r="H360" t="str">
            <v>US</v>
          </cell>
          <cell r="I360" t="str">
            <v>0000000000</v>
          </cell>
        </row>
        <row r="361">
          <cell r="A361" t="str">
            <v>AKC1</v>
          </cell>
          <cell r="B361" t="str">
            <v>AKC1</v>
          </cell>
          <cell r="C361" t="str">
            <v>Amazon.com Services, Inc.</v>
          </cell>
          <cell r="D361" t="str">
            <v>2450 ROMIG RD</v>
          </cell>
          <cell r="E361" t="str">
            <v>AKRON</v>
          </cell>
          <cell r="F361" t="str">
            <v>OH</v>
          </cell>
          <cell r="G361" t="str">
            <v>44320-3827</v>
          </cell>
          <cell r="H361" t="str">
            <v>US</v>
          </cell>
          <cell r="I361" t="str">
            <v>0000000000</v>
          </cell>
        </row>
        <row r="362">
          <cell r="A362" t="str">
            <v>ATL2</v>
          </cell>
          <cell r="B362" t="str">
            <v>ATL2</v>
          </cell>
          <cell r="C362" t="str">
            <v>Amazon.com Services, Inc.</v>
          </cell>
          <cell r="D362" t="str">
            <v>2255 W PARK PLACE BLVD</v>
          </cell>
          <cell r="E362" t="str">
            <v>STONE MOUNTAIN</v>
          </cell>
          <cell r="F362" t="str">
            <v>GA</v>
          </cell>
          <cell r="G362" t="str">
            <v>30087-3506</v>
          </cell>
          <cell r="H362" t="str">
            <v>US</v>
          </cell>
          <cell r="I362" t="str">
            <v>0000000000</v>
          </cell>
        </row>
        <row r="363">
          <cell r="A363" t="str">
            <v>AZA4</v>
          </cell>
          <cell r="B363" t="str">
            <v>AZA4</v>
          </cell>
          <cell r="C363" t="str">
            <v>Amazon.com Services, Inc.</v>
          </cell>
          <cell r="D363" t="str">
            <v>3333 S 59TH AVE</v>
          </cell>
          <cell r="E363" t="str">
            <v>PHOENIX</v>
          </cell>
          <cell r="F363" t="str">
            <v>AZ</v>
          </cell>
          <cell r="G363" t="str">
            <v>85043-7904</v>
          </cell>
          <cell r="H363" t="str">
            <v>US</v>
          </cell>
          <cell r="I363" t="str">
            <v>0000000000</v>
          </cell>
        </row>
        <row r="364">
          <cell r="A364" t="str">
            <v>BDL3</v>
          </cell>
          <cell r="B364" t="str">
            <v>BDL3</v>
          </cell>
          <cell r="C364" t="str">
            <v>Amazon.com Services, Inc.</v>
          </cell>
          <cell r="D364" t="str">
            <v>409 Washington Avenue</v>
          </cell>
          <cell r="E364" t="str">
            <v>North Haven</v>
          </cell>
          <cell r="F364" t="str">
            <v>CT</v>
          </cell>
          <cell r="G364" t="str">
            <v>06473-1307</v>
          </cell>
          <cell r="H364" t="str">
            <v>US</v>
          </cell>
          <cell r="I364" t="str">
            <v>0000000000</v>
          </cell>
        </row>
        <row r="365">
          <cell r="A365" t="str">
            <v>BNA6-FEDEX</v>
          </cell>
          <cell r="B365" t="str">
            <v>BNA6-FEDEX</v>
          </cell>
          <cell r="C365" t="str">
            <v>Amazon.com Services, Inc.</v>
          </cell>
          <cell r="D365" t="str">
            <v>3875 GUTHRIE HWY</v>
          </cell>
          <cell r="E365" t="str">
            <v>CLARKSVILLE</v>
          </cell>
          <cell r="F365" t="str">
            <v>TN</v>
          </cell>
          <cell r="G365" t="str">
            <v>37040-5502</v>
          </cell>
          <cell r="H365" t="str">
            <v>US</v>
          </cell>
          <cell r="I365" t="str">
            <v>0000000000</v>
          </cell>
        </row>
        <row r="366">
          <cell r="A366" t="str">
            <v>BOI2</v>
          </cell>
          <cell r="B366" t="str">
            <v>BOI2</v>
          </cell>
          <cell r="C366" t="str">
            <v>Amazon.com Services, Inc.</v>
          </cell>
          <cell r="D366" t="str">
            <v>5295 E. Franklin Road</v>
          </cell>
          <cell r="E366" t="str">
            <v>NAMPA</v>
          </cell>
          <cell r="F366" t="str">
            <v>ID</v>
          </cell>
          <cell r="G366" t="str">
            <v>83687-5548</v>
          </cell>
          <cell r="H366" t="str">
            <v>US</v>
          </cell>
          <cell r="I366" t="str">
            <v>0000000000</v>
          </cell>
        </row>
        <row r="367">
          <cell r="A367" t="str">
            <v>BWI1-</v>
          </cell>
          <cell r="B367" t="str">
            <v>BWI1-</v>
          </cell>
          <cell r="C367" t="str">
            <v>Amazon.com Services, Inc.</v>
          </cell>
          <cell r="D367" t="str">
            <v>45121 GLOBAL PLAZA</v>
          </cell>
          <cell r="E367" t="str">
            <v>STERLING</v>
          </cell>
          <cell r="F367" t="str">
            <v>VA</v>
          </cell>
          <cell r="G367" t="str">
            <v>20166-2058</v>
          </cell>
          <cell r="H367" t="str">
            <v>US</v>
          </cell>
          <cell r="I367" t="str">
            <v>0000000000</v>
          </cell>
        </row>
        <row r="368">
          <cell r="A368" t="str">
            <v>CLE3</v>
          </cell>
          <cell r="B368" t="str">
            <v>CLE3</v>
          </cell>
          <cell r="C368" t="str">
            <v>Amazon.com Services, Inc.</v>
          </cell>
          <cell r="D368" t="str">
            <v>1155 Babbitt Road</v>
          </cell>
          <cell r="E368" t="str">
            <v>Euclid</v>
          </cell>
          <cell r="F368" t="str">
            <v>OH</v>
          </cell>
          <cell r="G368" t="str">
            <v>44132-2703</v>
          </cell>
          <cell r="H368" t="str">
            <v>US</v>
          </cell>
          <cell r="I368" t="str">
            <v>0000000000</v>
          </cell>
        </row>
        <row r="369">
          <cell r="A369" t="str">
            <v>CSG1</v>
          </cell>
          <cell r="B369" t="str">
            <v>CSG1</v>
          </cell>
          <cell r="C369" t="str">
            <v>Amazon.com Services, Inc.</v>
          </cell>
          <cell r="D369" t="str">
            <v>280 BRIDGEPORT BLVD,</v>
          </cell>
          <cell r="E369" t="str">
            <v>Moreland</v>
          </cell>
          <cell r="F369" t="str">
            <v>GA</v>
          </cell>
          <cell r="G369" t="str">
            <v>30259-2867</v>
          </cell>
          <cell r="H369" t="str">
            <v>US</v>
          </cell>
          <cell r="I369" t="str">
            <v>0000000000</v>
          </cell>
        </row>
        <row r="370">
          <cell r="A370" t="str">
            <v>CVG8</v>
          </cell>
          <cell r="B370" t="str">
            <v>CVG8</v>
          </cell>
          <cell r="C370" t="str">
            <v>Amazon.com Services, Inc.</v>
          </cell>
          <cell r="D370" t="str">
            <v>7968 Kentucky Drive Suite 2 &amp; 3</v>
          </cell>
          <cell r="E370" t="str">
            <v>Florence</v>
          </cell>
          <cell r="F370" t="str">
            <v>KY</v>
          </cell>
          <cell r="G370" t="str">
            <v>41042</v>
          </cell>
          <cell r="H370" t="str">
            <v>US</v>
          </cell>
          <cell r="I370" t="str">
            <v>0000000000</v>
          </cell>
        </row>
        <row r="371">
          <cell r="A371" t="str">
            <v>DAL2</v>
          </cell>
          <cell r="B371" t="str">
            <v>DAL2</v>
          </cell>
          <cell r="C371" t="str">
            <v>Amazon.com Services, Inc.</v>
          </cell>
          <cell r="D371" t="str">
            <v>2601 S. A irfield D rive</v>
          </cell>
          <cell r="E371" t="str">
            <v>DFW  Airport</v>
          </cell>
          <cell r="F371" t="str">
            <v>TX</v>
          </cell>
          <cell r="G371" t="str">
            <v>75261</v>
          </cell>
          <cell r="H371" t="str">
            <v>US</v>
          </cell>
          <cell r="I371" t="str">
            <v>0000000000</v>
          </cell>
        </row>
        <row r="372">
          <cell r="A372" t="str">
            <v>DAL3</v>
          </cell>
          <cell r="B372" t="str">
            <v>DAL3</v>
          </cell>
          <cell r="C372" t="str">
            <v>Amazon.com Services, Inc.</v>
          </cell>
          <cell r="D372" t="str">
            <v>1301 Chalk Hill Road</v>
          </cell>
          <cell r="E372" t="str">
            <v>DALLAS</v>
          </cell>
          <cell r="F372" t="str">
            <v>TX</v>
          </cell>
          <cell r="G372" t="str">
            <v>75211</v>
          </cell>
          <cell r="H372" t="str">
            <v>US</v>
          </cell>
          <cell r="I372" t="str">
            <v>0000000000</v>
          </cell>
        </row>
        <row r="373">
          <cell r="A373" t="str">
            <v>DAVID</v>
          </cell>
          <cell r="B373" t="str">
            <v>DAVID</v>
          </cell>
          <cell r="C373" t="str">
            <v>Amazon.com Services, Inc.</v>
          </cell>
          <cell r="D373" t="str">
            <v>4970 Joule Street</v>
          </cell>
          <cell r="E373" t="str">
            <v>RENO</v>
          </cell>
          <cell r="F373" t="str">
            <v>NV</v>
          </cell>
          <cell r="G373" t="str">
            <v>89502</v>
          </cell>
          <cell r="H373" t="str">
            <v>US</v>
          </cell>
          <cell r="I373" t="str">
            <v>0000000000</v>
          </cell>
        </row>
        <row r="374">
          <cell r="A374" t="str">
            <v>DCH3</v>
          </cell>
          <cell r="B374" t="str">
            <v>DCH3</v>
          </cell>
          <cell r="C374" t="str">
            <v>Amazon.com Services, Inc.</v>
          </cell>
          <cell r="D374" t="str">
            <v>待完善</v>
          </cell>
          <cell r="E374" t="str">
            <v>Lisle</v>
          </cell>
          <cell r="F374" t="str">
            <v>IL</v>
          </cell>
          <cell r="G374" t="str">
            <v>60532</v>
          </cell>
          <cell r="H374" t="str">
            <v>US</v>
          </cell>
          <cell r="I374" t="str">
            <v>0000000000</v>
          </cell>
        </row>
        <row r="375">
          <cell r="A375" t="str">
            <v>DDA4</v>
          </cell>
          <cell r="B375" t="str">
            <v>DDA4</v>
          </cell>
          <cell r="C375" t="str">
            <v>Amazon.com Services, Inc.</v>
          </cell>
          <cell r="D375" t="str">
            <v>2250 Roswell Drive 2700 Regent Blvd</v>
          </cell>
          <cell r="E375" t="str">
            <v>Dallas</v>
          </cell>
          <cell r="F375" t="str">
            <v>TX</v>
          </cell>
          <cell r="G375" t="str">
            <v>75261</v>
          </cell>
          <cell r="H375" t="str">
            <v>US</v>
          </cell>
          <cell r="I375" t="str">
            <v>0000000000</v>
          </cell>
        </row>
        <row r="376">
          <cell r="A376" t="str">
            <v>DFTY</v>
          </cell>
          <cell r="B376" t="str">
            <v>DFTY</v>
          </cell>
          <cell r="C376" t="str">
            <v>Amazon.com Services, Inc.</v>
          </cell>
          <cell r="D376" t="str">
            <v>172 Trade Street</v>
          </cell>
          <cell r="E376" t="str">
            <v>Lexington</v>
          </cell>
          <cell r="F376" t="str">
            <v>KY</v>
          </cell>
          <cell r="G376" t="str">
            <v>40511</v>
          </cell>
          <cell r="H376" t="str">
            <v>US</v>
          </cell>
          <cell r="I376" t="str">
            <v>0000000000</v>
          </cell>
        </row>
        <row r="377">
          <cell r="A377" t="str">
            <v>DHO2</v>
          </cell>
          <cell r="B377" t="str">
            <v>DHO2</v>
          </cell>
          <cell r="C377" t="str">
            <v>Amazon.com Services, Inc.</v>
          </cell>
          <cell r="D377" t="str">
            <v>8120 Humble Westfield Rd</v>
          </cell>
          <cell r="E377" t="str">
            <v>Humble</v>
          </cell>
          <cell r="F377" t="str">
            <v>TX</v>
          </cell>
          <cell r="G377" t="str">
            <v>77338</v>
          </cell>
          <cell r="H377" t="str">
            <v>US</v>
          </cell>
          <cell r="I377" t="str">
            <v>0000000000</v>
          </cell>
        </row>
        <row r="378">
          <cell r="A378" t="str">
            <v>DMI1</v>
          </cell>
          <cell r="B378" t="str">
            <v>DMI1</v>
          </cell>
          <cell r="C378" t="str">
            <v>Amazon.com Services, Inc.</v>
          </cell>
          <cell r="D378" t="str">
            <v>1900 NW 132nd Place</v>
          </cell>
          <cell r="E378" t="str">
            <v>Doral(Miami)</v>
          </cell>
          <cell r="F378" t="str">
            <v>FL</v>
          </cell>
          <cell r="G378" t="str">
            <v>33182</v>
          </cell>
          <cell r="H378" t="str">
            <v>US</v>
          </cell>
          <cell r="I378" t="str">
            <v>0000000000</v>
          </cell>
        </row>
        <row r="379">
          <cell r="A379" t="str">
            <v>DNY1</v>
          </cell>
          <cell r="B379" t="str">
            <v>DNY1</v>
          </cell>
          <cell r="C379" t="str">
            <v>Amazon.com Services, Inc.</v>
          </cell>
          <cell r="D379" t="str">
            <v>301 Blair Road</v>
          </cell>
          <cell r="E379" t="str">
            <v>Woodbridge</v>
          </cell>
          <cell r="F379" t="str">
            <v>NJ</v>
          </cell>
          <cell r="G379" t="str">
            <v>7001</v>
          </cell>
          <cell r="H379" t="str">
            <v>US</v>
          </cell>
          <cell r="I379" t="str">
            <v>0000000000</v>
          </cell>
        </row>
        <row r="380">
          <cell r="A380" t="str">
            <v>DNY2</v>
          </cell>
          <cell r="B380" t="str">
            <v>DNY2</v>
          </cell>
          <cell r="C380" t="str">
            <v>Amazon.com Services, Inc.</v>
          </cell>
          <cell r="D380" t="str">
            <v>301 Blair Road</v>
          </cell>
          <cell r="E380" t="str">
            <v>Woodbridge</v>
          </cell>
          <cell r="F380" t="str">
            <v>NJ</v>
          </cell>
          <cell r="G380" t="str">
            <v>7001</v>
          </cell>
          <cell r="H380" t="str">
            <v>US</v>
          </cell>
          <cell r="I380" t="str">
            <v>0000000000</v>
          </cell>
        </row>
        <row r="381">
          <cell r="A381" t="str">
            <v>DNY3</v>
          </cell>
          <cell r="B381" t="str">
            <v>DNY3</v>
          </cell>
          <cell r="C381" t="str">
            <v>Amazon.com Services, Inc.</v>
          </cell>
          <cell r="D381" t="str">
            <v>301 Blair Road</v>
          </cell>
          <cell r="E381" t="str">
            <v>Woodbridge</v>
          </cell>
          <cell r="F381" t="str">
            <v>NJ</v>
          </cell>
          <cell r="G381" t="str">
            <v>7001</v>
          </cell>
          <cell r="H381" t="str">
            <v>US</v>
          </cell>
          <cell r="I381" t="str">
            <v>0000000000</v>
          </cell>
        </row>
        <row r="382">
          <cell r="A382" t="str">
            <v>DNY4</v>
          </cell>
          <cell r="B382" t="str">
            <v>DNY4</v>
          </cell>
          <cell r="C382" t="str">
            <v>Amazon.com Services, Inc.</v>
          </cell>
          <cell r="D382" t="str">
            <v>201 Grumman Road W</v>
          </cell>
          <cell r="E382" t="str">
            <v>Woodbridge</v>
          </cell>
          <cell r="F382" t="str">
            <v>NJ</v>
          </cell>
          <cell r="G382" t="str">
            <v>7001</v>
          </cell>
          <cell r="H382" t="str">
            <v>US</v>
          </cell>
          <cell r="I382" t="str">
            <v>0000000000</v>
          </cell>
        </row>
        <row r="383">
          <cell r="A383" t="str">
            <v>DPH3</v>
          </cell>
          <cell r="B383" t="str">
            <v>DPH3</v>
          </cell>
          <cell r="C383" t="str">
            <v>Amazon.com Services, Inc.</v>
          </cell>
          <cell r="D383" t="str">
            <v>2277 Center Square Rd</v>
          </cell>
          <cell r="E383" t="str">
            <v>Swedesboro</v>
          </cell>
          <cell r="F383" t="str">
            <v>NJ</v>
          </cell>
          <cell r="G383" t="str">
            <v>8085</v>
          </cell>
          <cell r="H383" t="str">
            <v>US</v>
          </cell>
          <cell r="I383" t="str">
            <v>0000000000</v>
          </cell>
        </row>
        <row r="384">
          <cell r="A384" t="str">
            <v>DPT1</v>
          </cell>
          <cell r="B384" t="str">
            <v>DPT1</v>
          </cell>
          <cell r="C384" t="str">
            <v>Amazon.com Services, Inc.</v>
          </cell>
          <cell r="D384" t="str">
            <v>2250 Roswell Drive</v>
          </cell>
          <cell r="E384" t="str">
            <v>Pittsburgh</v>
          </cell>
          <cell r="F384" t="str">
            <v>NJ</v>
          </cell>
          <cell r="G384" t="str">
            <v>15205</v>
          </cell>
          <cell r="H384" t="str">
            <v>US</v>
          </cell>
          <cell r="I384" t="str">
            <v>0000000000</v>
          </cell>
        </row>
        <row r="385">
          <cell r="A385" t="str">
            <v>DSM5</v>
          </cell>
          <cell r="B385" t="str">
            <v>DSM5</v>
          </cell>
          <cell r="C385" t="str">
            <v>Amazon.com Services, Inc.</v>
          </cell>
          <cell r="D385" t="str">
            <v>500 32nd Street SW</v>
          </cell>
          <cell r="E385" t="str">
            <v>BONDURANT</v>
          </cell>
          <cell r="F385" t="str">
            <v>IA</v>
          </cell>
          <cell r="G385" t="str">
            <v>50035-1447</v>
          </cell>
          <cell r="H385" t="str">
            <v>US</v>
          </cell>
          <cell r="I385" t="str">
            <v>0000000000</v>
          </cell>
        </row>
        <row r="386">
          <cell r="A386" t="str">
            <v>DTP1</v>
          </cell>
          <cell r="B386" t="str">
            <v>DTP1</v>
          </cell>
          <cell r="C386" t="str">
            <v>Amazon.com Services, Inc.</v>
          </cell>
          <cell r="D386" t="str">
            <v>8824 Adamo Dr, Tampa</v>
          </cell>
          <cell r="E386" t="str">
            <v>Ruskin</v>
          </cell>
          <cell r="F386" t="str">
            <v>FL</v>
          </cell>
          <cell r="G386" t="str">
            <v>33570</v>
          </cell>
          <cell r="H386" t="str">
            <v>US</v>
          </cell>
          <cell r="I386" t="str">
            <v>0000000000</v>
          </cell>
        </row>
        <row r="387">
          <cell r="A387" t="str">
            <v>FBW1</v>
          </cell>
          <cell r="B387" t="str">
            <v>FBW1</v>
          </cell>
          <cell r="C387" t="str">
            <v>Amazon.com Services, Inc.</v>
          </cell>
          <cell r="D387" t="str">
            <v>5501 HOLABIRD AVE</v>
          </cell>
          <cell r="E387" t="str">
            <v>Baltimore</v>
          </cell>
          <cell r="F387" t="str">
            <v>NJ</v>
          </cell>
          <cell r="G387" t="str">
            <v>21224</v>
          </cell>
          <cell r="H387" t="str">
            <v>US</v>
          </cell>
          <cell r="I387" t="str">
            <v>0000000000</v>
          </cell>
        </row>
        <row r="388">
          <cell r="A388" t="str">
            <v>FEW1</v>
          </cell>
          <cell r="B388" t="str">
            <v>FEW1</v>
          </cell>
          <cell r="C388" t="str">
            <v>Amazon.com Services, Inc.</v>
          </cell>
          <cell r="D388" t="str">
            <v>275 Omar Avenue</v>
          </cell>
          <cell r="E388" t="str">
            <v>Woodbridge</v>
          </cell>
          <cell r="F388" t="str">
            <v>NJ</v>
          </cell>
          <cell r="G388" t="str">
            <v>7001</v>
          </cell>
          <cell r="H388" t="str">
            <v>US</v>
          </cell>
          <cell r="I388" t="str">
            <v>0000000000</v>
          </cell>
        </row>
        <row r="389">
          <cell r="A389" t="str">
            <v>FFL1</v>
          </cell>
          <cell r="B389" t="str">
            <v>FFL1</v>
          </cell>
          <cell r="C389" t="str">
            <v>Amazon.com Services, Inc.</v>
          </cell>
          <cell r="D389" t="str">
            <v>1900 NW 132nd Place</v>
          </cell>
          <cell r="E389" t="str">
            <v>Doral(Miami)</v>
          </cell>
          <cell r="F389" t="str">
            <v>FL</v>
          </cell>
          <cell r="G389" t="str">
            <v>33182</v>
          </cell>
          <cell r="H389" t="str">
            <v>US</v>
          </cell>
          <cell r="I389" t="str">
            <v>0000000000</v>
          </cell>
        </row>
        <row r="390">
          <cell r="A390" t="str">
            <v>FTW2-</v>
          </cell>
          <cell r="B390" t="str">
            <v>FTW2-</v>
          </cell>
          <cell r="C390" t="str">
            <v>Amazon.com Services, Inc.</v>
          </cell>
          <cell r="D390" t="str">
            <v>2701 West Bethel Road</v>
          </cell>
          <cell r="E390" t="str">
            <v>Dallas</v>
          </cell>
          <cell r="F390" t="str">
            <v>TX</v>
          </cell>
          <cell r="G390" t="str">
            <v>75261</v>
          </cell>
          <cell r="H390" t="str">
            <v>US</v>
          </cell>
          <cell r="I390" t="str">
            <v>0000000000</v>
          </cell>
        </row>
        <row r="391">
          <cell r="A391" t="str">
            <v>GEG1</v>
          </cell>
          <cell r="B391" t="str">
            <v>GEG1</v>
          </cell>
          <cell r="C391" t="str">
            <v>Amazon.com Services, Inc.</v>
          </cell>
          <cell r="D391" t="str">
            <v>10010 West Geiger Boulevard</v>
          </cell>
          <cell r="E391" t="str">
            <v>SPOKANE</v>
          </cell>
          <cell r="F391" t="str">
            <v>WA</v>
          </cell>
          <cell r="G391" t="str">
            <v>99224-9471</v>
          </cell>
          <cell r="H391" t="str">
            <v>US</v>
          </cell>
          <cell r="I391" t="str">
            <v>0000000000</v>
          </cell>
        </row>
        <row r="392">
          <cell r="A392" t="str">
            <v>GYR1</v>
          </cell>
          <cell r="B392" t="str">
            <v>GYR1</v>
          </cell>
          <cell r="C392" t="str">
            <v>Amazon.com Services, Inc.</v>
          </cell>
          <cell r="D392" t="str">
            <v>605 S BULLARD AVE</v>
          </cell>
          <cell r="E392" t="str">
            <v>GOODYEAR</v>
          </cell>
          <cell r="F392" t="str">
            <v>AZ</v>
          </cell>
          <cell r="G392" t="str">
            <v>85338</v>
          </cell>
          <cell r="H392" t="str">
            <v>US</v>
          </cell>
          <cell r="I392" t="str">
            <v>0000000000</v>
          </cell>
        </row>
        <row r="393">
          <cell r="A393" t="str">
            <v>HGA1</v>
          </cell>
          <cell r="B393" t="str">
            <v>HGA1</v>
          </cell>
          <cell r="C393" t="str">
            <v>Amazon.com Services, Inc.</v>
          </cell>
          <cell r="D393" t="str">
            <v>4200 North Commerce Road</v>
          </cell>
          <cell r="E393" t="str">
            <v>East Point</v>
          </cell>
          <cell r="F393" t="str">
            <v>GA</v>
          </cell>
          <cell r="G393" t="str">
            <v>30344</v>
          </cell>
          <cell r="H393" t="str">
            <v>US</v>
          </cell>
          <cell r="I393" t="str">
            <v>0000000000</v>
          </cell>
        </row>
        <row r="394">
          <cell r="A394" t="str">
            <v>HSV0</v>
          </cell>
          <cell r="B394" t="str">
            <v>HSV0</v>
          </cell>
          <cell r="C394" t="str">
            <v>Amazon.com Services, Inc.</v>
          </cell>
          <cell r="D394" t="str">
            <v>28869 Fanning Dr NW</v>
          </cell>
          <cell r="E394" t="str">
            <v>MADISON</v>
          </cell>
          <cell r="F394" t="str">
            <v>AL</v>
          </cell>
          <cell r="G394" t="str">
            <v>35756</v>
          </cell>
          <cell r="H394" t="str">
            <v>US</v>
          </cell>
          <cell r="I394" t="str">
            <v>0000000000</v>
          </cell>
        </row>
        <row r="395">
          <cell r="A395" t="str">
            <v>HSV2</v>
          </cell>
          <cell r="B395" t="str">
            <v>HSV2</v>
          </cell>
          <cell r="C395" t="str">
            <v>Amazon.com Services, Inc.</v>
          </cell>
          <cell r="D395" t="str">
            <v>28869 Fanning Dr NW</v>
          </cell>
          <cell r="E395" t="str">
            <v>MADISON</v>
          </cell>
          <cell r="F395" t="str">
            <v>AL</v>
          </cell>
          <cell r="G395" t="str">
            <v>35756</v>
          </cell>
          <cell r="H395" t="str">
            <v>US</v>
          </cell>
          <cell r="I395" t="str">
            <v>0000000000</v>
          </cell>
        </row>
        <row r="396">
          <cell r="A396" t="str">
            <v>HWA3</v>
          </cell>
          <cell r="B396" t="str">
            <v>HWA3</v>
          </cell>
          <cell r="C396" t="str">
            <v>Amazon.com Services, Inc.</v>
          </cell>
          <cell r="D396" t="str">
            <v>20202 84th AVE S</v>
          </cell>
          <cell r="E396" t="str">
            <v>Kent</v>
          </cell>
          <cell r="F396" t="str">
            <v>WA</v>
          </cell>
          <cell r="G396" t="str">
            <v>98032</v>
          </cell>
          <cell r="H396" t="str">
            <v>US</v>
          </cell>
          <cell r="I396" t="str">
            <v>0000000000</v>
          </cell>
        </row>
        <row r="397">
          <cell r="A397" t="str">
            <v>ISE2</v>
          </cell>
          <cell r="B397" t="str">
            <v>ISE2</v>
          </cell>
          <cell r="C397" t="str">
            <v>Amazon.com Services, Inc.</v>
          </cell>
          <cell r="D397" t="str">
            <v>1227 124th Avenue NE Bldg. 2, Suite A200</v>
          </cell>
          <cell r="E397" t="str">
            <v>Bellevue</v>
          </cell>
          <cell r="F397" t="str">
            <v>WA</v>
          </cell>
          <cell r="G397" t="str">
            <v>98004</v>
          </cell>
          <cell r="H397" t="str">
            <v>US</v>
          </cell>
          <cell r="I397" t="str">
            <v>0000000000</v>
          </cell>
        </row>
        <row r="398">
          <cell r="A398" t="str">
            <v>ISE5</v>
          </cell>
          <cell r="B398" t="str">
            <v>ISE5</v>
          </cell>
          <cell r="C398" t="str">
            <v>Amazon.com Services, Inc.</v>
          </cell>
          <cell r="D398" t="str">
            <v>20202 84TH AVE SOUTH</v>
          </cell>
          <cell r="E398" t="str">
            <v>Kent</v>
          </cell>
          <cell r="F398" t="str">
            <v>WA</v>
          </cell>
          <cell r="G398" t="str">
            <v>98032</v>
          </cell>
          <cell r="H398" t="str">
            <v>US</v>
          </cell>
          <cell r="I398" t="str">
            <v>0000000000</v>
          </cell>
        </row>
        <row r="399">
          <cell r="A399" t="str">
            <v>IUSD</v>
          </cell>
          <cell r="B399" t="str">
            <v>IUSD</v>
          </cell>
          <cell r="C399" t="str">
            <v>Amazon.com Services, Inc.</v>
          </cell>
          <cell r="D399" t="str">
            <v>13515 48th St E</v>
          </cell>
          <cell r="E399" t="str">
            <v>Sumner</v>
          </cell>
          <cell r="F399" t="str">
            <v>WA</v>
          </cell>
          <cell r="G399" t="str">
            <v>98390</v>
          </cell>
          <cell r="H399" t="str">
            <v>US</v>
          </cell>
          <cell r="I399" t="str">
            <v>0000000000</v>
          </cell>
        </row>
        <row r="400">
          <cell r="A400" t="str">
            <v>IUSJ</v>
          </cell>
          <cell r="B400" t="str">
            <v>IUSJ</v>
          </cell>
          <cell r="C400" t="str">
            <v>Amazon.com Services, Inc.</v>
          </cell>
          <cell r="D400" t="str">
            <v>36900 West 4th Street</v>
          </cell>
          <cell r="E400" t="str">
            <v>BEAUMONT</v>
          </cell>
          <cell r="F400" t="str">
            <v>CA</v>
          </cell>
          <cell r="G400" t="str">
            <v>92223</v>
          </cell>
          <cell r="H400" t="str">
            <v>US</v>
          </cell>
          <cell r="I400" t="str">
            <v>0000000000</v>
          </cell>
        </row>
        <row r="401">
          <cell r="A401" t="str">
            <v>JSE2</v>
          </cell>
          <cell r="B401" t="str">
            <v>JSE2</v>
          </cell>
          <cell r="C401" t="str">
            <v>Amazon.com Services, Inc.</v>
          </cell>
          <cell r="D401" t="str">
            <v>575 Bellevue Square</v>
          </cell>
          <cell r="E401" t="str">
            <v>Bellevue</v>
          </cell>
          <cell r="F401" t="str">
            <v>WA</v>
          </cell>
          <cell r="G401" t="str">
            <v>98004</v>
          </cell>
          <cell r="H401" t="str">
            <v>US</v>
          </cell>
          <cell r="I401" t="str">
            <v>0000000000</v>
          </cell>
        </row>
        <row r="402">
          <cell r="A402" t="str">
            <v>JSE3</v>
          </cell>
          <cell r="B402" t="str">
            <v>JSE3</v>
          </cell>
          <cell r="C402" t="str">
            <v>Amazon.com Services, Inc.</v>
          </cell>
          <cell r="D402" t="str">
            <v>575 Bellevue Square</v>
          </cell>
          <cell r="E402" t="str">
            <v>Bellevue</v>
          </cell>
          <cell r="F402" t="str">
            <v>WA</v>
          </cell>
          <cell r="G402" t="str">
            <v>98004</v>
          </cell>
          <cell r="H402" t="str">
            <v>US</v>
          </cell>
          <cell r="I402" t="str">
            <v>0000000000</v>
          </cell>
        </row>
        <row r="403">
          <cell r="A403" t="str">
            <v>KDFW</v>
          </cell>
          <cell r="B403" t="str">
            <v>KDFW</v>
          </cell>
          <cell r="C403" t="str">
            <v>Amazon.com Services, Inc.</v>
          </cell>
          <cell r="D403" t="str">
            <v>Consolidated Aviation Services</v>
          </cell>
          <cell r="E403" t="str">
            <v>Dallas</v>
          </cell>
          <cell r="F403" t="str">
            <v>TX</v>
          </cell>
          <cell r="G403" t="str">
            <v>75261</v>
          </cell>
          <cell r="H403" t="str">
            <v>US</v>
          </cell>
          <cell r="I403" t="str">
            <v>0000000000</v>
          </cell>
        </row>
        <row r="404">
          <cell r="A404" t="str">
            <v>KYDC</v>
          </cell>
          <cell r="B404" t="str">
            <v>KYDC</v>
          </cell>
          <cell r="C404" t="str">
            <v>Amazon.com Services, Inc.</v>
          </cell>
          <cell r="D404" t="str">
            <v>3521 PO IN T PLEASANT RD</v>
          </cell>
          <cell r="E404" t="str">
            <v>Hebron</v>
          </cell>
          <cell r="F404" t="str">
            <v>KY</v>
          </cell>
          <cell r="G404" t="str">
            <v>41048</v>
          </cell>
          <cell r="H404" t="str">
            <v>US</v>
          </cell>
          <cell r="I404" t="str">
            <v>0000000000</v>
          </cell>
        </row>
        <row r="405">
          <cell r="A405" t="str">
            <v>LAS7</v>
          </cell>
          <cell r="B405" t="str">
            <v>LAS7</v>
          </cell>
          <cell r="C405" t="str">
            <v>Amazon.com Services, Inc.</v>
          </cell>
          <cell r="D405" t="str">
            <v>6001 East Tropical Parkway</v>
          </cell>
          <cell r="E405" t="str">
            <v>Las Vegas</v>
          </cell>
          <cell r="F405" t="str">
            <v>NV</v>
          </cell>
          <cell r="G405" t="str">
            <v>89115-1935</v>
          </cell>
          <cell r="H405" t="str">
            <v>US</v>
          </cell>
          <cell r="I405" t="str">
            <v>0000000000</v>
          </cell>
        </row>
        <row r="406">
          <cell r="A406" t="str">
            <v>LGA6</v>
          </cell>
          <cell r="B406" t="str">
            <v>LGA6</v>
          </cell>
          <cell r="C406" t="str">
            <v>Amazon.com Services, Inc.</v>
          </cell>
          <cell r="D406" t="str">
            <v>8003 Industrial Avenue</v>
          </cell>
          <cell r="E406" t="str">
            <v>Carteret</v>
          </cell>
          <cell r="F406" t="str">
            <v>NJ</v>
          </cell>
          <cell r="G406" t="str">
            <v>7008</v>
          </cell>
          <cell r="H406" t="str">
            <v>US</v>
          </cell>
          <cell r="I406" t="str">
            <v>0000000000</v>
          </cell>
        </row>
        <row r="407">
          <cell r="A407" t="str">
            <v>LGA7</v>
          </cell>
          <cell r="B407" t="str">
            <v>LGA7</v>
          </cell>
          <cell r="C407" t="str">
            <v>Amazon.com Services, Inc.</v>
          </cell>
          <cell r="D407" t="str">
            <v>380 Middlesex Avenue</v>
          </cell>
          <cell r="E407" t="str">
            <v>Carteret</v>
          </cell>
          <cell r="F407" t="str">
            <v>NJ</v>
          </cell>
          <cell r="G407" t="str">
            <v>7008</v>
          </cell>
          <cell r="H407" t="str">
            <v>US</v>
          </cell>
          <cell r="I407" t="str">
            <v>0000000000</v>
          </cell>
        </row>
        <row r="408">
          <cell r="A408" t="str">
            <v>LGA8</v>
          </cell>
          <cell r="B408" t="str">
            <v>LGA8</v>
          </cell>
          <cell r="C408" t="str">
            <v>Amazon.com Services, Inc.</v>
          </cell>
          <cell r="D408" t="str">
            <v>380 Middlesex Avenue</v>
          </cell>
          <cell r="E408" t="str">
            <v>Carteret</v>
          </cell>
          <cell r="F408" t="str">
            <v>NJ</v>
          </cell>
          <cell r="G408" t="str">
            <v>7008</v>
          </cell>
          <cell r="H408" t="str">
            <v>US</v>
          </cell>
          <cell r="I408" t="str">
            <v>0000000000</v>
          </cell>
        </row>
        <row r="409">
          <cell r="A409" t="str">
            <v>LGB7</v>
          </cell>
          <cell r="B409" t="str">
            <v>LGB7</v>
          </cell>
          <cell r="C409" t="str">
            <v>Amazon.com Services, Inc.</v>
          </cell>
          <cell r="D409" t="str">
            <v>1660 N. Linden Avenue</v>
          </cell>
          <cell r="E409" t="str">
            <v>Rialto</v>
          </cell>
          <cell r="F409" t="str">
            <v>CA</v>
          </cell>
          <cell r="G409" t="str">
            <v>92376-2427</v>
          </cell>
          <cell r="H409" t="str">
            <v>US</v>
          </cell>
          <cell r="I409" t="str">
            <v>0000000000</v>
          </cell>
        </row>
        <row r="410">
          <cell r="A410" t="str">
            <v>LGB9</v>
          </cell>
          <cell r="B410" t="str">
            <v>LGB9</v>
          </cell>
          <cell r="C410" t="str">
            <v>Amazon.com Services, Inc.</v>
          </cell>
          <cell r="D410" t="str">
            <v>4375 N Perris Blvd</v>
          </cell>
          <cell r="E410" t="str">
            <v>PERRIS</v>
          </cell>
          <cell r="F410" t="str">
            <v>CA</v>
          </cell>
          <cell r="G410" t="str">
            <v>92571-7901</v>
          </cell>
          <cell r="H410" t="str">
            <v>US</v>
          </cell>
          <cell r="I410" t="str">
            <v>0000000000</v>
          </cell>
        </row>
        <row r="411">
          <cell r="A411" t="str">
            <v>MCI3</v>
          </cell>
          <cell r="B411" t="str">
            <v>MCI3</v>
          </cell>
          <cell r="C411" t="str">
            <v>Amazon.com Services, Inc.</v>
          </cell>
          <cell r="D411" t="str">
            <v>2361 S. Withers Road</v>
          </cell>
          <cell r="E411" t="str">
            <v>LIBERTY</v>
          </cell>
          <cell r="F411" t="str">
            <v>MO</v>
          </cell>
          <cell r="G411" t="str">
            <v>64068</v>
          </cell>
          <cell r="H411" t="str">
            <v>US</v>
          </cell>
          <cell r="I411" t="str">
            <v>0000000000</v>
          </cell>
        </row>
        <row r="412">
          <cell r="A412" t="str">
            <v>MEM2</v>
          </cell>
          <cell r="B412" t="str">
            <v>MEM2</v>
          </cell>
          <cell r="C412" t="str">
            <v>Amazon.com Services, Inc.</v>
          </cell>
          <cell r="D412" t="str">
            <v>191 NORFOLK SOUTHERN WAY</v>
          </cell>
          <cell r="E412" t="str">
            <v>BYHALIA</v>
          </cell>
          <cell r="F412" t="str">
            <v>MS</v>
          </cell>
          <cell r="G412" t="str">
            <v>38611-2306</v>
          </cell>
          <cell r="H412" t="str">
            <v>US</v>
          </cell>
          <cell r="I412" t="str">
            <v>0000000000</v>
          </cell>
        </row>
        <row r="413">
          <cell r="A413" t="str">
            <v>MKE7</v>
          </cell>
          <cell r="B413" t="str">
            <v>MKE7</v>
          </cell>
          <cell r="C413" t="str">
            <v>Amazon.com Services, Inc.</v>
          </cell>
          <cell r="D413" t="str">
            <v>11211 Burlington Road</v>
          </cell>
          <cell r="E413" t="str">
            <v>Kenosha</v>
          </cell>
          <cell r="F413" t="str">
            <v>IL</v>
          </cell>
          <cell r="G413" t="str">
            <v>53144</v>
          </cell>
          <cell r="H413" t="str">
            <v>US</v>
          </cell>
          <cell r="I413" t="str">
            <v>0000000000</v>
          </cell>
        </row>
        <row r="414">
          <cell r="A414" t="str">
            <v>OKC1</v>
          </cell>
          <cell r="B414" t="str">
            <v>OKC1</v>
          </cell>
          <cell r="C414" t="str">
            <v>Amazon.com Services, Inc.</v>
          </cell>
          <cell r="D414" t="str">
            <v>9201 S Portland Avenue</v>
          </cell>
          <cell r="E414" t="str">
            <v>OKLAHOMA CITY</v>
          </cell>
          <cell r="F414" t="str">
            <v>OK</v>
          </cell>
          <cell r="G414" t="str">
            <v>73159-0003</v>
          </cell>
          <cell r="H414" t="str">
            <v>US</v>
          </cell>
          <cell r="I414" t="str">
            <v>0000000000</v>
          </cell>
        </row>
        <row r="415">
          <cell r="A415" t="str">
            <v>ONT3</v>
          </cell>
          <cell r="B415" t="str">
            <v>ONT3</v>
          </cell>
          <cell r="C415" t="str">
            <v>Amazon.com Services, Inc.</v>
          </cell>
          <cell r="D415" t="str">
            <v>1910 E Central Ave</v>
          </cell>
          <cell r="E415" t="str">
            <v>San Bernardino</v>
          </cell>
          <cell r="F415" t="str">
            <v>CA</v>
          </cell>
          <cell r="G415" t="str">
            <v>92408</v>
          </cell>
          <cell r="H415" t="str">
            <v>US</v>
          </cell>
          <cell r="I415" t="str">
            <v>0000000000</v>
          </cell>
        </row>
        <row r="416">
          <cell r="A416" t="str">
            <v>PBI2</v>
          </cell>
          <cell r="B416" t="str">
            <v>PBI2</v>
          </cell>
          <cell r="C416" t="str">
            <v>Amazon.com Services, Inc.</v>
          </cell>
          <cell r="D416" t="str">
            <v>14490 CORPORATE RD N</v>
          </cell>
          <cell r="E416" t="str">
            <v>JUPITER</v>
          </cell>
          <cell r="F416" t="str">
            <v>FL</v>
          </cell>
          <cell r="G416" t="str">
            <v>33478-6456</v>
          </cell>
          <cell r="H416" t="str">
            <v>US</v>
          </cell>
          <cell r="I416" t="str">
            <v>0000000000</v>
          </cell>
        </row>
        <row r="417">
          <cell r="A417" t="str">
            <v>PCA2</v>
          </cell>
          <cell r="B417" t="str">
            <v>PCA2</v>
          </cell>
          <cell r="C417" t="str">
            <v>Amazon.com Services, Inc.</v>
          </cell>
          <cell r="D417" t="str">
            <v>1650 East Central Avenue</v>
          </cell>
          <cell r="E417" t="str">
            <v>San Bernardino</v>
          </cell>
          <cell r="F417" t="str">
            <v>CA</v>
          </cell>
          <cell r="G417" t="str">
            <v>92408</v>
          </cell>
          <cell r="H417" t="str">
            <v>US</v>
          </cell>
          <cell r="I417" t="str">
            <v>0000000000</v>
          </cell>
        </row>
        <row r="418">
          <cell r="A418" t="str">
            <v>PDX6</v>
          </cell>
          <cell r="B418" t="str">
            <v>PDX6</v>
          </cell>
          <cell r="C418" t="str">
            <v>Amazon.com Services, Inc.</v>
          </cell>
          <cell r="D418" t="str">
            <v>15000 N. Lombard St</v>
          </cell>
          <cell r="E418" t="str">
            <v>Portland</v>
          </cell>
          <cell r="F418" t="str">
            <v>OR</v>
          </cell>
          <cell r="G418" t="str">
            <v>97203-6814</v>
          </cell>
          <cell r="H418" t="str">
            <v>US</v>
          </cell>
          <cell r="I418" t="str">
            <v>0000000000</v>
          </cell>
        </row>
        <row r="419">
          <cell r="A419" t="str">
            <v>PTS2</v>
          </cell>
          <cell r="B419" t="str">
            <v>PTS2</v>
          </cell>
          <cell r="C419" t="str">
            <v>Amazon.com Services, Inc.</v>
          </cell>
          <cell r="D419" t="str">
            <v>1002 ocean parkway</v>
          </cell>
          <cell r="E419" t="str">
            <v>Brooklyn</v>
          </cell>
          <cell r="F419" t="str">
            <v>NY</v>
          </cell>
          <cell r="G419" t="str">
            <v>11230</v>
          </cell>
          <cell r="H419" t="str">
            <v>US</v>
          </cell>
          <cell r="I419" t="str">
            <v>0000000000</v>
          </cell>
        </row>
        <row r="420">
          <cell r="A420" t="str">
            <v>QXY9</v>
          </cell>
          <cell r="B420" t="str">
            <v>QXY9</v>
          </cell>
          <cell r="C420" t="str">
            <v>Amazon.com Services, Inc.</v>
          </cell>
          <cell r="D420" t="str">
            <v>36900 W FOURTH ST</v>
          </cell>
          <cell r="E420" t="str">
            <v>BEAUMONT</v>
          </cell>
          <cell r="F420" t="str">
            <v>CA</v>
          </cell>
          <cell r="G420" t="str">
            <v>92223</v>
          </cell>
          <cell r="H420" t="str">
            <v>US</v>
          </cell>
          <cell r="I420" t="str">
            <v>0000000000</v>
          </cell>
        </row>
        <row r="421">
          <cell r="A421" t="str">
            <v>RDU1</v>
          </cell>
          <cell r="B421" t="str">
            <v>RDU1</v>
          </cell>
          <cell r="C421" t="str">
            <v>Amazon.com Services, Inc.</v>
          </cell>
          <cell r="D421" t="str">
            <v>4851 Jones Sausage Rd</v>
          </cell>
          <cell r="E421" t="str">
            <v>GARNER</v>
          </cell>
          <cell r="F421" t="str">
            <v>NC</v>
          </cell>
          <cell r="G421" t="str">
            <v>27529-9438</v>
          </cell>
          <cell r="H421" t="str">
            <v>US</v>
          </cell>
          <cell r="I421" t="str">
            <v>0000000000</v>
          </cell>
        </row>
        <row r="422">
          <cell r="A422" t="str">
            <v>RENO</v>
          </cell>
          <cell r="B422" t="str">
            <v>RENO</v>
          </cell>
          <cell r="C422" t="str">
            <v>Amazon.com Services, Inc.</v>
          </cell>
          <cell r="D422" t="str">
            <v>4970 Joule Street RENO</v>
          </cell>
          <cell r="E422" t="str">
            <v>Nevada</v>
          </cell>
          <cell r="F422" t="str">
            <v>NV</v>
          </cell>
          <cell r="G422" t="str">
            <v>89502</v>
          </cell>
          <cell r="H422" t="str">
            <v>US</v>
          </cell>
          <cell r="I422" t="str">
            <v>0000000000</v>
          </cell>
        </row>
        <row r="423">
          <cell r="A423" t="str">
            <v>RMN3-FEDEX</v>
          </cell>
          <cell r="B423" t="str">
            <v>RMN3-FEDEX</v>
          </cell>
          <cell r="C423" t="str">
            <v>Amazon.com Services, Inc.</v>
          </cell>
          <cell r="D423" t="str">
            <v>220 Centreport Parkway</v>
          </cell>
          <cell r="E423" t="str">
            <v>FREDERICKSBURG</v>
          </cell>
          <cell r="F423" t="str">
            <v>VA</v>
          </cell>
          <cell r="G423" t="str">
            <v>22406</v>
          </cell>
          <cell r="H423" t="str">
            <v>US</v>
          </cell>
          <cell r="I423" t="str">
            <v>0000000000</v>
          </cell>
        </row>
        <row r="424">
          <cell r="A424" t="str">
            <v>RMN3-UPS</v>
          </cell>
          <cell r="B424" t="str">
            <v>RMN3-UPS</v>
          </cell>
          <cell r="C424" t="str">
            <v>Amazon.com Services, Inc.</v>
          </cell>
          <cell r="D424" t="str">
            <v>2112 N Union Street</v>
          </cell>
          <cell r="E424" t="str">
            <v>Middletown</v>
          </cell>
          <cell r="F424" t="str">
            <v>PA</v>
          </cell>
          <cell r="G424" t="str">
            <v>17057</v>
          </cell>
          <cell r="H424" t="str">
            <v>US</v>
          </cell>
          <cell r="I424" t="str">
            <v>0000000000</v>
          </cell>
        </row>
        <row r="425">
          <cell r="A425" t="str">
            <v>RN04</v>
          </cell>
          <cell r="B425" t="str">
            <v>RN04</v>
          </cell>
          <cell r="C425" t="str">
            <v>Amazon.com Services, Inc.</v>
          </cell>
          <cell r="D425" t="str">
            <v>8000 North Virginia Street</v>
          </cell>
          <cell r="E425" t="str">
            <v>Reno</v>
          </cell>
          <cell r="F425" t="str">
            <v>NV</v>
          </cell>
          <cell r="G425" t="str">
            <v>89506</v>
          </cell>
          <cell r="H425" t="str">
            <v>US</v>
          </cell>
          <cell r="I425" t="str">
            <v>0000000000</v>
          </cell>
        </row>
        <row r="426">
          <cell r="A426" t="str">
            <v>RW02</v>
          </cell>
          <cell r="B426" t="str">
            <v>RW02</v>
          </cell>
          <cell r="C426" t="str">
            <v>Amazon.com Services, Inc.</v>
          </cell>
          <cell r="D426" t="str">
            <v>400 Arlington Blvd</v>
          </cell>
          <cell r="E426" t="str">
            <v>Swedesboro</v>
          </cell>
          <cell r="F426" t="str">
            <v>NJ</v>
          </cell>
          <cell r="G426" t="str">
            <v>8085</v>
          </cell>
          <cell r="H426" t="str">
            <v>US</v>
          </cell>
          <cell r="I426" t="str">
            <v>0000000000</v>
          </cell>
        </row>
        <row r="427">
          <cell r="A427" t="str">
            <v>SAT6</v>
          </cell>
          <cell r="B427" t="str">
            <v>SAT6</v>
          </cell>
          <cell r="C427" t="str">
            <v>Amazon.com Services, Inc.</v>
          </cell>
          <cell r="D427" t="str">
            <v>1346 Fortuna Road</v>
          </cell>
          <cell r="E427" t="str">
            <v>SAN MARCOS</v>
          </cell>
          <cell r="F427" t="str">
            <v>TX</v>
          </cell>
          <cell r="G427" t="str">
            <v>78666-0001</v>
          </cell>
          <cell r="H427" t="str">
            <v>US</v>
          </cell>
          <cell r="I427" t="str">
            <v>0000000000</v>
          </cell>
        </row>
        <row r="428">
          <cell r="A428" t="str">
            <v>SBD3</v>
          </cell>
          <cell r="B428" t="str">
            <v>SBD3</v>
          </cell>
          <cell r="C428" t="str">
            <v>Amazon.com Services, Inc.</v>
          </cell>
          <cell r="D428" t="str">
            <v>5990 N Cajon Blvd</v>
          </cell>
          <cell r="E428" t="str">
            <v>SAN BERNARDINO</v>
          </cell>
          <cell r="F428" t="str">
            <v>CA</v>
          </cell>
          <cell r="G428" t="str">
            <v>92407-1833</v>
          </cell>
          <cell r="H428" t="str">
            <v>US</v>
          </cell>
          <cell r="I428" t="str">
            <v>0000000000</v>
          </cell>
        </row>
        <row r="429">
          <cell r="A429" t="str">
            <v>SEA6-1</v>
          </cell>
          <cell r="B429" t="str">
            <v>SEA6-1</v>
          </cell>
          <cell r="C429" t="str">
            <v>Amazon.com Services, Inc.</v>
          </cell>
          <cell r="D429" t="str">
            <v>1227 124th Avenue Northeast</v>
          </cell>
          <cell r="E429" t="str">
            <v>Bellevue</v>
          </cell>
          <cell r="F429" t="str">
            <v>WA</v>
          </cell>
          <cell r="G429" t="str">
            <v>98004</v>
          </cell>
          <cell r="H429" t="str">
            <v>US</v>
          </cell>
          <cell r="I429" t="str">
            <v>0000000000</v>
          </cell>
        </row>
        <row r="430">
          <cell r="A430" t="str">
            <v>SLC3</v>
          </cell>
          <cell r="B430" t="str">
            <v>SLC3</v>
          </cell>
          <cell r="C430" t="str">
            <v>Amazon.com Services, Inc.</v>
          </cell>
          <cell r="D430" t="str">
            <v>355 N JOHN GLENN RD</v>
          </cell>
          <cell r="E430" t="str">
            <v>SALT LAKE CITY</v>
          </cell>
          <cell r="F430" t="str">
            <v>UT</v>
          </cell>
          <cell r="G430" t="str">
            <v>84116-4413</v>
          </cell>
          <cell r="H430" t="str">
            <v>US</v>
          </cell>
          <cell r="I430" t="str">
            <v>0000000000</v>
          </cell>
        </row>
        <row r="431">
          <cell r="A431" t="str">
            <v>STL7</v>
          </cell>
          <cell r="B431" t="str">
            <v>STL7</v>
          </cell>
          <cell r="C431" t="str">
            <v>Amazon.com Services, Inc.</v>
          </cell>
          <cell r="D431" t="str">
            <v>3931 Lakeview Corporate Drive</v>
          </cell>
          <cell r="E431" t="str">
            <v>Edwardsville</v>
          </cell>
          <cell r="F431" t="str">
            <v>IL</v>
          </cell>
          <cell r="G431" t="str">
            <v>62025</v>
          </cell>
          <cell r="H431" t="str">
            <v>US</v>
          </cell>
          <cell r="I431" t="str">
            <v>0000000000</v>
          </cell>
        </row>
        <row r="432">
          <cell r="A432" t="str">
            <v>SUAA</v>
          </cell>
          <cell r="B432" t="str">
            <v>SUAA</v>
          </cell>
          <cell r="C432" t="str">
            <v>Amazon.com Services, Inc.</v>
          </cell>
          <cell r="D432" t="str">
            <v>1201 Aviation Blvd</v>
          </cell>
          <cell r="E432" t="str">
            <v>Hebron</v>
          </cell>
          <cell r="F432" t="str">
            <v>KY</v>
          </cell>
          <cell r="G432" t="str">
            <v>41048</v>
          </cell>
          <cell r="H432" t="str">
            <v>US</v>
          </cell>
          <cell r="I432" t="str">
            <v>0000000000</v>
          </cell>
        </row>
        <row r="433">
          <cell r="A433" t="str">
            <v>TFC1</v>
          </cell>
          <cell r="B433" t="str">
            <v>TFC1</v>
          </cell>
          <cell r="C433" t="str">
            <v>Amazon.com Services, Inc.</v>
          </cell>
          <cell r="D433" t="str">
            <v>5050 West Mohave Street</v>
          </cell>
          <cell r="E433" t="str">
            <v>Phoenix</v>
          </cell>
          <cell r="F433" t="str">
            <v>AZ</v>
          </cell>
          <cell r="G433" t="str">
            <v>85043</v>
          </cell>
          <cell r="H433" t="str">
            <v>US</v>
          </cell>
          <cell r="I433" t="str">
            <v>0000000000</v>
          </cell>
        </row>
        <row r="434">
          <cell r="A434" t="str">
            <v>TIN1</v>
          </cell>
          <cell r="B434" t="str">
            <v>TIN1</v>
          </cell>
          <cell r="C434" t="str">
            <v>Amazon.com Services, Inc.</v>
          </cell>
          <cell r="D434" t="str">
            <v>710 S. Girls School Road</v>
          </cell>
          <cell r="E434" t="str">
            <v>Indianapolis</v>
          </cell>
          <cell r="F434" t="str">
            <v>IL</v>
          </cell>
          <cell r="G434" t="str">
            <v>46231</v>
          </cell>
          <cell r="H434" t="str">
            <v>US</v>
          </cell>
          <cell r="I434" t="str">
            <v>0000000000</v>
          </cell>
        </row>
        <row r="435">
          <cell r="A435" t="str">
            <v>TTN1</v>
          </cell>
          <cell r="B435" t="str">
            <v>TTN1</v>
          </cell>
          <cell r="C435" t="str">
            <v>Amazon.com Services, Inc.</v>
          </cell>
          <cell r="D435" t="str">
            <v>25 Hutchinson Road</v>
          </cell>
          <cell r="E435" t="str">
            <v>Robbinsville</v>
          </cell>
          <cell r="F435" t="str">
            <v>NJ</v>
          </cell>
          <cell r="G435" t="str">
            <v>8691</v>
          </cell>
          <cell r="H435" t="str">
            <v>US</v>
          </cell>
          <cell r="I435" t="str">
            <v>0000000000</v>
          </cell>
        </row>
        <row r="436">
          <cell r="A436" t="str">
            <v>TUL2</v>
          </cell>
          <cell r="B436" t="str">
            <v>TUL2</v>
          </cell>
          <cell r="C436" t="str">
            <v>Amazon.com Services, Inc.</v>
          </cell>
          <cell r="D436" t="str">
            <v>4040 North 125th East Avenue</v>
          </cell>
          <cell r="E436" t="str">
            <v>TULSA</v>
          </cell>
          <cell r="F436" t="str">
            <v>OK</v>
          </cell>
          <cell r="G436" t="str">
            <v>74116-2102</v>
          </cell>
          <cell r="H436" t="str">
            <v>US</v>
          </cell>
          <cell r="I436" t="str">
            <v>0000000000</v>
          </cell>
        </row>
        <row r="437">
          <cell r="A437" t="str">
            <v>UFL1</v>
          </cell>
          <cell r="B437" t="str">
            <v>UFL1</v>
          </cell>
          <cell r="C437" t="str">
            <v>Amazon.com Services, Inc.</v>
          </cell>
          <cell r="D437" t="str">
            <v>1900 NW 132nd Place</v>
          </cell>
          <cell r="E437" t="str">
            <v>Doral(Miami)</v>
          </cell>
          <cell r="F437" t="str">
            <v>FL</v>
          </cell>
          <cell r="G437" t="str">
            <v>33182</v>
          </cell>
          <cell r="H437" t="str">
            <v>US</v>
          </cell>
          <cell r="I437" t="str">
            <v>0000000000</v>
          </cell>
        </row>
        <row r="438">
          <cell r="A438" t="str">
            <v>UGA1</v>
          </cell>
          <cell r="B438" t="str">
            <v>UGA1</v>
          </cell>
          <cell r="C438" t="str">
            <v>Amazon.com Services, Inc.</v>
          </cell>
          <cell r="D438" t="str">
            <v>4200 North Commerce Road</v>
          </cell>
          <cell r="E438" t="str">
            <v>East Point</v>
          </cell>
          <cell r="F438" t="str">
            <v>GA</v>
          </cell>
          <cell r="G438" t="str">
            <v>30344</v>
          </cell>
          <cell r="H438" t="str">
            <v>US</v>
          </cell>
          <cell r="I438" t="str">
            <v>0000000000</v>
          </cell>
        </row>
        <row r="439">
          <cell r="A439" t="str">
            <v>UIN1</v>
          </cell>
          <cell r="B439" t="str">
            <v>UIN1</v>
          </cell>
          <cell r="C439" t="str">
            <v>Amazon.com Services, Inc.</v>
          </cell>
          <cell r="D439" t="str">
            <v>710 S. Girls School Road</v>
          </cell>
          <cell r="E439" t="str">
            <v>Indianapolis</v>
          </cell>
          <cell r="F439" t="str">
            <v>IL</v>
          </cell>
          <cell r="G439" t="str">
            <v>46231</v>
          </cell>
          <cell r="H439" t="str">
            <v>US</v>
          </cell>
          <cell r="I439" t="str">
            <v>0000000000</v>
          </cell>
        </row>
        <row r="440">
          <cell r="A440" t="str">
            <v>UTX1</v>
          </cell>
          <cell r="B440" t="str">
            <v>UTX1</v>
          </cell>
          <cell r="C440" t="str">
            <v>Amazon.com Services, Inc.</v>
          </cell>
          <cell r="D440" t="str">
            <v>?2700 Regent Blvd</v>
          </cell>
          <cell r="E440" t="str">
            <v>Dallas</v>
          </cell>
          <cell r="F440" t="str">
            <v>TX</v>
          </cell>
          <cell r="G440" t="str">
            <v>75261</v>
          </cell>
          <cell r="H440" t="str">
            <v>US</v>
          </cell>
          <cell r="I440" t="str">
            <v>0000000000</v>
          </cell>
        </row>
        <row r="441">
          <cell r="A441" t="str">
            <v>VUAT</v>
          </cell>
          <cell r="B441" t="str">
            <v>VUAT</v>
          </cell>
          <cell r="C441" t="str">
            <v>Amazon.com Services, Inc.</v>
          </cell>
          <cell r="D441" t="str">
            <v>6855 Shannon Pkwy,</v>
          </cell>
          <cell r="E441" t="str">
            <v>Union City</v>
          </cell>
          <cell r="F441" t="str">
            <v>GA</v>
          </cell>
          <cell r="G441" t="str">
            <v>30291</v>
          </cell>
          <cell r="H441" t="str">
            <v>US</v>
          </cell>
          <cell r="I441" t="str">
            <v>0000000000</v>
          </cell>
        </row>
        <row r="442">
          <cell r="A442" t="str">
            <v>VUBB</v>
          </cell>
          <cell r="B442" t="str">
            <v>VUBB</v>
          </cell>
          <cell r="C442" t="str">
            <v>Amazon.com Services, Inc.</v>
          </cell>
          <cell r="D442" t="str">
            <v>716 Airtech Parkway</v>
          </cell>
          <cell r="E442" t="str">
            <v>Plainfield</v>
          </cell>
          <cell r="F442" t="str">
            <v>IL</v>
          </cell>
          <cell r="G442" t="str">
            <v>46168</v>
          </cell>
          <cell r="H442" t="str">
            <v>US</v>
          </cell>
          <cell r="I442" t="str">
            <v>0000000000</v>
          </cell>
        </row>
        <row r="443">
          <cell r="A443" t="str">
            <v>VUCD</v>
          </cell>
          <cell r="B443" t="str">
            <v>VUCD</v>
          </cell>
          <cell r="C443" t="str">
            <v>Amazon.com Services, Inc.</v>
          </cell>
          <cell r="D443" t="str">
            <v>2500 142ND AVE E</v>
          </cell>
          <cell r="E443" t="str">
            <v>Sumner</v>
          </cell>
          <cell r="F443" t="str">
            <v>WA</v>
          </cell>
          <cell r="G443" t="str">
            <v>98390</v>
          </cell>
          <cell r="H443" t="str">
            <v>US</v>
          </cell>
          <cell r="I443" t="str">
            <v>0000000000</v>
          </cell>
        </row>
        <row r="444">
          <cell r="A444" t="str">
            <v>VUK2</v>
          </cell>
          <cell r="B444" t="str">
            <v>VUK2</v>
          </cell>
          <cell r="C444" t="str">
            <v>Amazon.com Services, Inc.</v>
          </cell>
          <cell r="D444" t="str">
            <v>2279 CENTER SQUARE RD</v>
          </cell>
          <cell r="E444" t="str">
            <v>Swedesboro</v>
          </cell>
          <cell r="F444" t="str">
            <v>NJ</v>
          </cell>
          <cell r="G444" t="str">
            <v>8085</v>
          </cell>
          <cell r="H444" t="str">
            <v>US</v>
          </cell>
          <cell r="I444" t="str">
            <v>0000000000</v>
          </cell>
        </row>
        <row r="445">
          <cell r="A445" t="str">
            <v>VUK4</v>
          </cell>
          <cell r="B445" t="str">
            <v>VUK4</v>
          </cell>
          <cell r="C445" t="str">
            <v>Amazon.com Services, Inc.</v>
          </cell>
          <cell r="D445" t="str">
            <v>3201 Centre Parkway</v>
          </cell>
          <cell r="E445" t="str">
            <v>East Point</v>
          </cell>
          <cell r="F445" t="str">
            <v>GA</v>
          </cell>
          <cell r="G445" t="str">
            <v>30344</v>
          </cell>
          <cell r="H445" t="str">
            <v>US</v>
          </cell>
          <cell r="I445" t="str">
            <v>0000000000</v>
          </cell>
        </row>
        <row r="446">
          <cell r="A446" t="str">
            <v>VUK5</v>
          </cell>
          <cell r="B446" t="str">
            <v>VUK5</v>
          </cell>
          <cell r="C446" t="str">
            <v>Amazon.com Services, Inc.</v>
          </cell>
          <cell r="D446" t="str">
            <v>1901 W Airfield Dr</v>
          </cell>
          <cell r="E446" t="str">
            <v>Dallas</v>
          </cell>
          <cell r="F446" t="str">
            <v>TX</v>
          </cell>
          <cell r="G446" t="str">
            <v>75261</v>
          </cell>
          <cell r="H446" t="str">
            <v>US</v>
          </cell>
          <cell r="I446" t="str">
            <v>0000000000</v>
          </cell>
        </row>
        <row r="447">
          <cell r="A447" t="str">
            <v>VUKB</v>
          </cell>
          <cell r="B447" t="str">
            <v>VUKB</v>
          </cell>
          <cell r="C447" t="str">
            <v>Amazon.com Services, Inc.</v>
          </cell>
          <cell r="D447" t="str">
            <v>675 Allen Road</v>
          </cell>
          <cell r="E447" t="str">
            <v>Carlisle</v>
          </cell>
          <cell r="F447" t="str">
            <v>MD</v>
          </cell>
          <cell r="G447" t="str">
            <v>17015</v>
          </cell>
          <cell r="H447" t="str">
            <v>US</v>
          </cell>
          <cell r="I447" t="str">
            <v>0000000000</v>
          </cell>
        </row>
        <row r="448">
          <cell r="A448" t="str">
            <v>VUKE</v>
          </cell>
          <cell r="B448" t="str">
            <v>VUKE</v>
          </cell>
          <cell r="C448" t="str">
            <v>Amazon.com Services, Inc.</v>
          </cell>
          <cell r="D448" t="str">
            <v>2279 CENTER SQUARE RD</v>
          </cell>
          <cell r="E448" t="str">
            <v>Swedesboro</v>
          </cell>
          <cell r="F448" t="str">
            <v>NJ</v>
          </cell>
          <cell r="G448" t="str">
            <v>8085</v>
          </cell>
          <cell r="H448" t="str">
            <v>US</v>
          </cell>
          <cell r="I448" t="str">
            <v>0000000000</v>
          </cell>
        </row>
        <row r="449">
          <cell r="A449" t="str">
            <v>VUKG</v>
          </cell>
          <cell r="B449" t="str">
            <v>VUKG</v>
          </cell>
          <cell r="C449" t="str">
            <v>Amazon.com Services, Inc.</v>
          </cell>
          <cell r="D449" t="str">
            <v>3201 Centre Parkway</v>
          </cell>
          <cell r="E449" t="str">
            <v>East Point</v>
          </cell>
          <cell r="F449" t="str">
            <v>GA</v>
          </cell>
          <cell r="G449" t="str">
            <v>30344</v>
          </cell>
          <cell r="H449" t="str">
            <v>US</v>
          </cell>
          <cell r="I449" t="str">
            <v>0000000000</v>
          </cell>
        </row>
        <row r="450">
          <cell r="A450" t="str">
            <v>VUKH</v>
          </cell>
          <cell r="B450" t="str">
            <v>VUKH</v>
          </cell>
          <cell r="C450" t="str">
            <v>Amazon.com Services, Inc.</v>
          </cell>
          <cell r="D450" t="str">
            <v>1901 W Airfield Dr</v>
          </cell>
          <cell r="E450" t="str">
            <v>Dallas</v>
          </cell>
          <cell r="F450" t="str">
            <v>TX</v>
          </cell>
          <cell r="G450" t="str">
            <v>75261</v>
          </cell>
          <cell r="H450" t="str">
            <v>US</v>
          </cell>
          <cell r="I450" t="str">
            <v>0000000000</v>
          </cell>
        </row>
        <row r="451">
          <cell r="A451" t="str">
            <v>VUMH</v>
          </cell>
          <cell r="B451" t="str">
            <v>VUMH</v>
          </cell>
          <cell r="C451" t="str">
            <v>Amazon.com Services, Inc.</v>
          </cell>
          <cell r="D451" t="str">
            <v>7968 Kentucky Drive</v>
          </cell>
          <cell r="E451" t="str">
            <v>Florence</v>
          </cell>
          <cell r="F451" t="str">
            <v>KY</v>
          </cell>
          <cell r="G451" t="str">
            <v>41042</v>
          </cell>
          <cell r="H451" t="str">
            <v>US</v>
          </cell>
          <cell r="I451" t="str">
            <v>0000000000</v>
          </cell>
        </row>
        <row r="452">
          <cell r="A452" t="str">
            <v>VUPC</v>
          </cell>
          <cell r="B452" t="str">
            <v>VUPC</v>
          </cell>
          <cell r="C452" t="str">
            <v>Amazon.com Services, Inc.</v>
          </cell>
          <cell r="D452" t="str">
            <v>1895 Marigold Ave</v>
          </cell>
          <cell r="E452" t="str">
            <v>Redlands</v>
          </cell>
          <cell r="F452" t="str">
            <v>CA</v>
          </cell>
          <cell r="G452" t="str">
            <v>92374</v>
          </cell>
          <cell r="H452" t="str">
            <v>US</v>
          </cell>
          <cell r="I452" t="str">
            <v>0000000000</v>
          </cell>
        </row>
        <row r="453">
          <cell r="A453" t="str">
            <v>VUPF</v>
          </cell>
          <cell r="B453" t="str">
            <v>VUPF</v>
          </cell>
          <cell r="C453" t="str">
            <v>Amazon.com Services, Inc.</v>
          </cell>
          <cell r="D453" t="str">
            <v>944 W Sandy Lake RD</v>
          </cell>
          <cell r="E453" t="str">
            <v>Coppell</v>
          </cell>
          <cell r="F453" t="str">
            <v>TX</v>
          </cell>
          <cell r="G453" t="str">
            <v>75019</v>
          </cell>
          <cell r="H453" t="str">
            <v>US</v>
          </cell>
          <cell r="I453" t="str">
            <v>0000000000</v>
          </cell>
        </row>
        <row r="454">
          <cell r="A454" t="str">
            <v>VUPG</v>
          </cell>
          <cell r="B454" t="str">
            <v>VUPG</v>
          </cell>
          <cell r="C454" t="str">
            <v>Amazon.com Services, Inc.</v>
          </cell>
          <cell r="D454" t="str">
            <v>16110 Cosmos Street</v>
          </cell>
          <cell r="E454" t="str">
            <v>Moreno Valley</v>
          </cell>
          <cell r="F454" t="str">
            <v>CA</v>
          </cell>
          <cell r="G454" t="str">
            <v>92551</v>
          </cell>
          <cell r="H454" t="str">
            <v>US</v>
          </cell>
          <cell r="I454" t="str">
            <v>0000000000</v>
          </cell>
        </row>
        <row r="455">
          <cell r="A455" t="str">
            <v>VUPI</v>
          </cell>
          <cell r="B455" t="str">
            <v>VUPI</v>
          </cell>
          <cell r="C455" t="str">
            <v>Amazon.com Services, Inc.</v>
          </cell>
          <cell r="D455" t="str">
            <v>740 Prologis Parkway</v>
          </cell>
          <cell r="E455" t="str">
            <v>ROMEOVILLE</v>
          </cell>
          <cell r="F455" t="str">
            <v>IL</v>
          </cell>
          <cell r="G455" t="str">
            <v>60446</v>
          </cell>
          <cell r="H455" t="str">
            <v>US</v>
          </cell>
          <cell r="I455" t="str">
            <v>0000000000</v>
          </cell>
        </row>
        <row r="456">
          <cell r="A456" t="str">
            <v>VUPK</v>
          </cell>
          <cell r="B456" t="str">
            <v>VUPK</v>
          </cell>
          <cell r="C456" t="str">
            <v>Amazon.com Services, Inc.</v>
          </cell>
          <cell r="D456" t="str">
            <v>6720 Oakley Industrial Blvd</v>
          </cell>
          <cell r="E456" t="str">
            <v>Union City</v>
          </cell>
          <cell r="F456" t="str">
            <v>GA</v>
          </cell>
          <cell r="G456" t="str">
            <v>30291</v>
          </cell>
          <cell r="H456" t="str">
            <v>US</v>
          </cell>
          <cell r="I456" t="str">
            <v>0000000000</v>
          </cell>
        </row>
        <row r="457">
          <cell r="A457" t="str">
            <v>VUPL</v>
          </cell>
          <cell r="B457" t="str">
            <v>VUPL</v>
          </cell>
          <cell r="C457" t="str">
            <v>Amazon.com Services, Inc.</v>
          </cell>
          <cell r="D457" t="str">
            <v>25300 Globe Street</v>
          </cell>
          <cell r="E457" t="str">
            <v>Moreno Valley</v>
          </cell>
          <cell r="F457" t="str">
            <v>CA</v>
          </cell>
          <cell r="G457" t="str">
            <v>92551</v>
          </cell>
          <cell r="H457" t="str">
            <v>US</v>
          </cell>
          <cell r="I457" t="str">
            <v>0000000000</v>
          </cell>
        </row>
        <row r="458">
          <cell r="A458" t="str">
            <v>VUPM</v>
          </cell>
          <cell r="B458" t="str">
            <v>VUPM</v>
          </cell>
          <cell r="C458" t="str">
            <v>Amazon.com Services, Inc.</v>
          </cell>
          <cell r="D458" t="str">
            <v>22001 84th Avenue</v>
          </cell>
          <cell r="E458" t="str">
            <v>Kent</v>
          </cell>
          <cell r="F458" t="str">
            <v>WA</v>
          </cell>
          <cell r="G458" t="str">
            <v>98032</v>
          </cell>
          <cell r="H458" t="str">
            <v>US</v>
          </cell>
          <cell r="I458" t="str">
            <v>0000000000</v>
          </cell>
        </row>
        <row r="459">
          <cell r="A459" t="str">
            <v>VUPS</v>
          </cell>
          <cell r="B459" t="str">
            <v>VUPS</v>
          </cell>
          <cell r="C459" t="str">
            <v>Amazon.com Services, Inc.</v>
          </cell>
          <cell r="D459" t="str">
            <v>3049 Westway Drive</v>
          </cell>
          <cell r="E459" t="str">
            <v>Edwardsville</v>
          </cell>
          <cell r="F459" t="str">
            <v>IL</v>
          </cell>
          <cell r="G459" t="str">
            <v>62025</v>
          </cell>
          <cell r="H459" t="str">
            <v>US</v>
          </cell>
          <cell r="I459" t="str">
            <v>0000000000</v>
          </cell>
        </row>
        <row r="460">
          <cell r="A460" t="str">
            <v>VURA</v>
          </cell>
          <cell r="B460" t="str">
            <v>VURA</v>
          </cell>
          <cell r="C460" t="str">
            <v>Amazon.com Services, Inc.</v>
          </cell>
          <cell r="D460" t="str">
            <v>1085 aviation blvd</v>
          </cell>
          <cell r="E460" t="str">
            <v>Hebron</v>
          </cell>
          <cell r="F460" t="str">
            <v>KY</v>
          </cell>
          <cell r="G460" t="str">
            <v>41048</v>
          </cell>
          <cell r="H460" t="str">
            <v>US</v>
          </cell>
          <cell r="I460" t="str">
            <v>0000000000</v>
          </cell>
        </row>
        <row r="461">
          <cell r="A461" t="str">
            <v>VUTC</v>
          </cell>
          <cell r="B461" t="str">
            <v>VUTC</v>
          </cell>
          <cell r="C461" t="str">
            <v>Amazon.com Services, Inc.</v>
          </cell>
          <cell r="D461" t="str">
            <v>1456 E. Harry Sheppard Blvd</v>
          </cell>
          <cell r="E461" t="str">
            <v>San Bernardino</v>
          </cell>
          <cell r="F461" t="str">
            <v>CA</v>
          </cell>
          <cell r="G461" t="str">
            <v>92408</v>
          </cell>
          <cell r="H461" t="str">
            <v>US</v>
          </cell>
          <cell r="I461" t="str">
            <v>0000000000</v>
          </cell>
        </row>
        <row r="462">
          <cell r="A462" t="str">
            <v>XIX7</v>
          </cell>
          <cell r="B462" t="str">
            <v>XIX7</v>
          </cell>
          <cell r="C462" t="str">
            <v>Amazon.com Services, Inc.</v>
          </cell>
          <cell r="D462" t="str">
            <v>555 E ORANGE SHOW RD</v>
          </cell>
          <cell r="E462" t="str">
            <v>SAN BERNARDINO</v>
          </cell>
          <cell r="F462" t="str">
            <v>CA</v>
          </cell>
          <cell r="G462" t="str">
            <v>92408-2453</v>
          </cell>
          <cell r="H462" t="str">
            <v>US</v>
          </cell>
          <cell r="I462" t="str">
            <v>0000000000</v>
          </cell>
        </row>
        <row r="463">
          <cell r="A463" t="str">
            <v>XLX2</v>
          </cell>
          <cell r="B463" t="str">
            <v>XLX2</v>
          </cell>
          <cell r="C463" t="str">
            <v>Amazon.com Services, Inc.</v>
          </cell>
          <cell r="D463" t="str">
            <v>657 W NANCE ST</v>
          </cell>
          <cell r="E463" t="str">
            <v>PERRIS</v>
          </cell>
          <cell r="F463" t="str">
            <v>CA</v>
          </cell>
          <cell r="G463" t="str">
            <v>92571-7424</v>
          </cell>
          <cell r="H463" t="str">
            <v>US</v>
          </cell>
          <cell r="I463" t="str">
            <v>0000000000</v>
          </cell>
        </row>
        <row r="464">
          <cell r="A464" t="str">
            <v>XLX7</v>
          </cell>
          <cell r="B464" t="str">
            <v>XLX7</v>
          </cell>
          <cell r="C464" t="str">
            <v>Amazon.com Services, Inc.</v>
          </cell>
          <cell r="D464" t="str">
            <v>18580 GATEWAY DR</v>
          </cell>
          <cell r="E464" t="str">
            <v>VICTORVILLE</v>
          </cell>
          <cell r="F464" t="str">
            <v>CA</v>
          </cell>
          <cell r="G464" t="str">
            <v>92394</v>
          </cell>
          <cell r="H464" t="str">
            <v>US</v>
          </cell>
          <cell r="I464" t="str">
            <v>0000000000</v>
          </cell>
        </row>
        <row r="465">
          <cell r="A465" t="str">
            <v>XUSH</v>
          </cell>
          <cell r="B465" t="str">
            <v>XUSH</v>
          </cell>
          <cell r="C465" t="str">
            <v>Amazon.com Services, Inc.</v>
          </cell>
          <cell r="D465" t="str">
            <v>7037 West Van Buren Street</v>
          </cell>
          <cell r="E465" t="str">
            <v>Phoenix</v>
          </cell>
          <cell r="F465" t="str">
            <v>AZ</v>
          </cell>
          <cell r="G465" t="str">
            <v>85043</v>
          </cell>
          <cell r="H465" t="str">
            <v>US</v>
          </cell>
          <cell r="I465" t="str">
            <v>0000000000</v>
          </cell>
        </row>
        <row r="466">
          <cell r="A466" t="str">
            <v>XUSJ</v>
          </cell>
          <cell r="B466" t="str">
            <v>XUSJ</v>
          </cell>
          <cell r="C466" t="str">
            <v>Amazon.com Services, Inc.</v>
          </cell>
          <cell r="D466" t="str">
            <v>1590 Tamarind Ave</v>
          </cell>
          <cell r="E466" t="str">
            <v>Rialto</v>
          </cell>
          <cell r="F466" t="str">
            <v>CA</v>
          </cell>
          <cell r="G466" t="str">
            <v>92376</v>
          </cell>
          <cell r="H466" t="str">
            <v>US</v>
          </cell>
          <cell r="I466" t="str">
            <v>0000000000</v>
          </cell>
        </row>
        <row r="467">
          <cell r="A467" t="str">
            <v>XUSK</v>
          </cell>
          <cell r="B467" t="str">
            <v>XUSK</v>
          </cell>
          <cell r="C467" t="str">
            <v>Amazon.com Services, Inc.</v>
          </cell>
          <cell r="D467" t="str">
            <v>31450 W 196th Street</v>
          </cell>
          <cell r="E467" t="str">
            <v>Edgerton</v>
          </cell>
          <cell r="F467" t="str">
            <v>KS</v>
          </cell>
          <cell r="G467" t="str">
            <v>66021</v>
          </cell>
          <cell r="H467" t="str">
            <v>US</v>
          </cell>
          <cell r="I467" t="str">
            <v>0000000000</v>
          </cell>
        </row>
        <row r="468">
          <cell r="A468" t="str">
            <v>LAN2-FEDEX</v>
          </cell>
          <cell r="B468" t="str">
            <v>LAN2-FEDEX</v>
          </cell>
          <cell r="C468" t="str">
            <v>Amazon.com Services, Inc.</v>
          </cell>
          <cell r="D468" t="str">
            <v>6500 W Mt Hope Hwy</v>
          </cell>
          <cell r="E468" t="str">
            <v>LANSING</v>
          </cell>
          <cell r="F468" t="str">
            <v>MI</v>
          </cell>
          <cell r="G468" t="str">
            <v>48917</v>
          </cell>
          <cell r="H468" t="str">
            <v>US</v>
          </cell>
          <cell r="I468" t="str">
            <v>0000000000</v>
          </cell>
        </row>
        <row r="469">
          <cell r="A469" t="str">
            <v>TPA6</v>
          </cell>
          <cell r="B469" t="str">
            <v>TPA6</v>
          </cell>
          <cell r="C469" t="str">
            <v>Amazon.com Services, Inc.</v>
          </cell>
          <cell r="D469" t="str">
            <v>3400 NW 35th Avenue Road</v>
          </cell>
          <cell r="E469" t="str">
            <v>OCALA</v>
          </cell>
          <cell r="F469" t="str">
            <v>FL</v>
          </cell>
          <cell r="G469" t="str">
            <v>34475-4625</v>
          </cell>
          <cell r="H469" t="str">
            <v>US</v>
          </cell>
          <cell r="I469" t="str">
            <v>0000000000</v>
          </cell>
        </row>
        <row r="470">
          <cell r="A470" t="str">
            <v>RDU4</v>
          </cell>
          <cell r="B470" t="str">
            <v>RDU4</v>
          </cell>
          <cell r="C470" t="str">
            <v>Amazon.com Services, Inc.</v>
          </cell>
          <cell r="D470" t="str">
            <v>6309 Bragg Blvd</v>
          </cell>
          <cell r="E470" t="str">
            <v>FAYETTEVILLE</v>
          </cell>
          <cell r="F470" t="str">
            <v>NC</v>
          </cell>
          <cell r="G470" t="str">
            <v>28303</v>
          </cell>
          <cell r="H470" t="str">
            <v>US</v>
          </cell>
          <cell r="I470" t="str">
            <v>0000000000</v>
          </cell>
        </row>
        <row r="471">
          <cell r="A471" t="str">
            <v>LBE1-FEDEX</v>
          </cell>
          <cell r="B471" t="str">
            <v>LBE1-FEDEX</v>
          </cell>
          <cell r="C471" t="str">
            <v>Amazon.com Services, Inc.</v>
          </cell>
          <cell r="D471" t="str">
            <v>165 GLENN FOX RD</v>
          </cell>
          <cell r="E471" t="str">
            <v>NEW STANTON</v>
          </cell>
          <cell r="F471" t="str">
            <v>PA</v>
          </cell>
          <cell r="G471" t="str">
            <v>15672-9703</v>
          </cell>
          <cell r="H471" t="str">
            <v>US</v>
          </cell>
          <cell r="I471" t="str">
            <v>0000000000</v>
          </cell>
        </row>
        <row r="472">
          <cell r="A472" t="str">
            <v>PSC2</v>
          </cell>
          <cell r="B472" t="str">
            <v>PSC2</v>
          </cell>
          <cell r="C472" t="str">
            <v>Amazon.com Services, Inc.</v>
          </cell>
          <cell r="D472" t="str">
            <v>1351 S Road 40 E</v>
          </cell>
          <cell r="E472" t="str">
            <v>PASCO</v>
          </cell>
          <cell r="F472" t="str">
            <v>WA</v>
          </cell>
          <cell r="G472" t="str">
            <v>99301</v>
          </cell>
          <cell r="H472" t="str">
            <v>US</v>
          </cell>
          <cell r="I472" t="str">
            <v>0000000000</v>
          </cell>
        </row>
        <row r="473">
          <cell r="A473" t="str">
            <v>ABQ2</v>
          </cell>
          <cell r="B473" t="str">
            <v>ABQ2</v>
          </cell>
          <cell r="C473" t="str">
            <v>Amazon.com Services, Inc.</v>
          </cell>
          <cell r="D473" t="str">
            <v>6251 Pioneer Trail</v>
          </cell>
          <cell r="E473" t="str">
            <v>LOS LUNAS</v>
          </cell>
          <cell r="F473" t="str">
            <v>NM</v>
          </cell>
          <cell r="G473" t="str">
            <v>87031</v>
          </cell>
          <cell r="H473" t="str">
            <v>US</v>
          </cell>
          <cell r="I473" t="str">
            <v>0000000000</v>
          </cell>
        </row>
        <row r="474">
          <cell r="A474" t="str">
            <v>LAX2</v>
          </cell>
          <cell r="B474" t="str">
            <v>LAX2</v>
          </cell>
          <cell r="C474" t="str">
            <v>Amazon.com Services, Inc.</v>
          </cell>
          <cell r="D474" t="str">
            <v>6720 Kimball Ave</v>
          </cell>
          <cell r="E474" t="str">
            <v>Chino</v>
          </cell>
          <cell r="F474" t="str">
            <v>CA</v>
          </cell>
          <cell r="G474" t="str">
            <v>91708</v>
          </cell>
          <cell r="H474" t="str">
            <v>US</v>
          </cell>
          <cell r="I474" t="str">
            <v>0000000000</v>
          </cell>
        </row>
        <row r="475">
          <cell r="A475" t="str">
            <v>NJ3</v>
          </cell>
          <cell r="B475" t="str">
            <v>NJ3</v>
          </cell>
          <cell r="C475" t="str">
            <v>Amazon.com Services, Inc.</v>
          </cell>
          <cell r="D475" t="str">
            <v>3 Sorbello Rd</v>
          </cell>
          <cell r="E475" t="str">
            <v>Pedricktown</v>
          </cell>
          <cell r="F475" t="str">
            <v>NJ</v>
          </cell>
          <cell r="G475" t="str">
            <v>08067</v>
          </cell>
          <cell r="H475" t="str">
            <v>US</v>
          </cell>
          <cell r="I475" t="str">
            <v>0000000000</v>
          </cell>
        </row>
        <row r="476">
          <cell r="A476" t="str">
            <v>MCO1-WFS</v>
          </cell>
          <cell r="B476" t="str">
            <v>MCO1-WFS</v>
          </cell>
          <cell r="C476" t="str">
            <v>Amazon.com Services, Inc.</v>
          </cell>
          <cell r="D476" t="str">
            <v>5100 NORTH RIDGE TRAIL</v>
          </cell>
          <cell r="E476" t="str">
            <v>DAVENPORT</v>
          </cell>
          <cell r="F476" t="str">
            <v>FL</v>
          </cell>
          <cell r="G476" t="str">
            <v>33897</v>
          </cell>
          <cell r="H476" t="str">
            <v>US</v>
          </cell>
          <cell r="I476" t="str">
            <v>0000000000</v>
          </cell>
        </row>
        <row r="477">
          <cell r="A477" t="str">
            <v>KY1</v>
          </cell>
          <cell r="B477" t="str">
            <v>KY1</v>
          </cell>
          <cell r="C477" t="str">
            <v>Amazon.com Services, Inc.</v>
          </cell>
          <cell r="D477" t="str">
            <v>120 Velocity Way</v>
          </cell>
          <cell r="E477" t="str">
            <v>Shepherdsville</v>
          </cell>
          <cell r="F477" t="str">
            <v>KY</v>
          </cell>
          <cell r="G477" t="str">
            <v>40165</v>
          </cell>
          <cell r="H477" t="str">
            <v>US</v>
          </cell>
          <cell r="I477" t="str">
            <v>0000000000</v>
          </cell>
        </row>
        <row r="478">
          <cell r="A478" t="str">
            <v>IND1-WFS</v>
          </cell>
          <cell r="B478" t="str">
            <v>IND1-WFS</v>
          </cell>
          <cell r="C478" t="str">
            <v>Amazon.com Services, Inc.</v>
          </cell>
          <cell r="D478" t="str">
            <v>9590 ALLPOINTS PARKWAY</v>
          </cell>
          <cell r="E478" t="str">
            <v>PLAINFIELD</v>
          </cell>
          <cell r="F478" t="str">
            <v>IN</v>
          </cell>
          <cell r="G478" t="str">
            <v>46168</v>
          </cell>
          <cell r="H478" t="str">
            <v>US</v>
          </cell>
          <cell r="I478" t="str">
            <v>0000000000</v>
          </cell>
        </row>
        <row r="479">
          <cell r="A479" t="str">
            <v>ATL3</v>
          </cell>
          <cell r="B479" t="str">
            <v>ATL3</v>
          </cell>
          <cell r="C479" t="str">
            <v>Amazon.com Services, Inc.</v>
          </cell>
          <cell r="D479" t="str">
            <v>445 Valentine Industrial Parkway</v>
          </cell>
          <cell r="E479" t="str">
            <v>Pendergrass</v>
          </cell>
          <cell r="F479" t="str">
            <v>GA</v>
          </cell>
          <cell r="G479" t="str">
            <v>30567</v>
          </cell>
          <cell r="H479" t="str">
            <v>US</v>
          </cell>
          <cell r="I479" t="str">
            <v>0000000000</v>
          </cell>
        </row>
        <row r="480">
          <cell r="A480" t="str">
            <v>PHX1</v>
          </cell>
          <cell r="B480" t="str">
            <v>PHX1</v>
          </cell>
          <cell r="C480" t="str">
            <v>Amazon.com Services, Inc.</v>
          </cell>
          <cell r="D480" t="str">
            <v>6600 North Sarival Avenue</v>
          </cell>
          <cell r="E480" t="str">
            <v>Litchfield Park</v>
          </cell>
          <cell r="F480" t="str">
            <v>AZ</v>
          </cell>
          <cell r="G480" t="str">
            <v>85340</v>
          </cell>
          <cell r="H480" t="str">
            <v>US</v>
          </cell>
          <cell r="I480" t="str">
            <v>0000000000</v>
          </cell>
        </row>
        <row r="481">
          <cell r="A481" t="str">
            <v>PHL2</v>
          </cell>
          <cell r="B481" t="str">
            <v>PHL2</v>
          </cell>
          <cell r="C481" t="str">
            <v>Amazon.com Services, Inc.</v>
          </cell>
          <cell r="D481" t="str">
            <v>2785 Commerce Center Boulevard</v>
          </cell>
          <cell r="E481" t="str">
            <v>Bethlehem</v>
          </cell>
          <cell r="F481" t="str">
            <v>PA</v>
          </cell>
          <cell r="G481" t="str">
            <v>18015</v>
          </cell>
          <cell r="H481" t="str">
            <v>US</v>
          </cell>
          <cell r="I481" t="str">
            <v>0000000000</v>
          </cell>
        </row>
        <row r="482">
          <cell r="A482" t="str">
            <v>LAX1</v>
          </cell>
          <cell r="B482" t="str">
            <v>LAX1</v>
          </cell>
          <cell r="C482" t="str">
            <v>Amazon.com Services, Inc.</v>
          </cell>
          <cell r="D482" t="str">
            <v>6750 Kimball Avenue</v>
          </cell>
          <cell r="E482" t="str">
            <v>Chino</v>
          </cell>
          <cell r="F482" t="str">
            <v>CA</v>
          </cell>
          <cell r="G482" t="str">
            <v>91708</v>
          </cell>
          <cell r="H482" t="str">
            <v>US</v>
          </cell>
          <cell r="I482" t="str">
            <v>0000000000</v>
          </cell>
        </row>
        <row r="483">
          <cell r="A483" t="str">
            <v>IND2-WFS</v>
          </cell>
          <cell r="B483" t="str">
            <v>IND2-WFS</v>
          </cell>
          <cell r="C483" t="str">
            <v>Amazon.com Services, Inc.</v>
          </cell>
          <cell r="D483" t="str">
            <v>9360 AllPoints Pkwy</v>
          </cell>
          <cell r="E483" t="str">
            <v>Avon</v>
          </cell>
          <cell r="F483" t="str">
            <v>IN</v>
          </cell>
          <cell r="G483" t="str">
            <v>46123</v>
          </cell>
          <cell r="H483" t="str">
            <v>US</v>
          </cell>
          <cell r="I483" t="str">
            <v>0000000000</v>
          </cell>
        </row>
        <row r="484">
          <cell r="A484" t="str">
            <v>KS1</v>
          </cell>
          <cell r="B484" t="str">
            <v>KS1</v>
          </cell>
          <cell r="C484" t="str">
            <v>Amazon.com Services, Inc.</v>
          </cell>
          <cell r="D484" t="str">
            <v>30801 W 191st St</v>
          </cell>
          <cell r="E484" t="str">
            <v>EDGERTON</v>
          </cell>
          <cell r="F484" t="str">
            <v>KS</v>
          </cell>
          <cell r="G484" t="str">
            <v>66021</v>
          </cell>
          <cell r="H484" t="str">
            <v>US</v>
          </cell>
          <cell r="I484" t="str">
            <v>0000000000</v>
          </cell>
        </row>
        <row r="485">
          <cell r="A485" t="str">
            <v>ATL2n</v>
          </cell>
          <cell r="B485" t="str">
            <v>ATL2n</v>
          </cell>
          <cell r="C485" t="str">
            <v>Amazon.com Services, Inc.</v>
          </cell>
          <cell r="D485" t="str">
            <v>3101 N. Highway 27</v>
          </cell>
          <cell r="E485" t="str">
            <v>Carrollton</v>
          </cell>
          <cell r="F485" t="str">
            <v>GA</v>
          </cell>
          <cell r="G485" t="str">
            <v>30117</v>
          </cell>
          <cell r="H485" t="str">
            <v>US</v>
          </cell>
          <cell r="I485" t="str">
            <v>0000000000</v>
          </cell>
        </row>
        <row r="486">
          <cell r="A486" t="str">
            <v>MCI1n</v>
          </cell>
          <cell r="B486" t="str">
            <v>MCI1n</v>
          </cell>
          <cell r="C486" t="str">
            <v>Amazon.com Services, Inc.</v>
          </cell>
          <cell r="D486" t="str">
            <v>1303 Sw Innovation Pkway</v>
          </cell>
          <cell r="E486" t="str">
            <v>Topeka</v>
          </cell>
          <cell r="F486" t="str">
            <v>KS</v>
          </cell>
          <cell r="G486" t="str">
            <v>66619</v>
          </cell>
          <cell r="H486" t="str">
            <v>US</v>
          </cell>
          <cell r="I486" t="str">
            <v>0000000000</v>
          </cell>
        </row>
        <row r="487">
          <cell r="A487" t="str">
            <v>ATL1</v>
          </cell>
          <cell r="B487" t="str">
            <v>ATL1</v>
          </cell>
          <cell r="C487" t="str">
            <v>Amazon.com Services, Inc.</v>
          </cell>
          <cell r="D487" t="str">
            <v>6055 S Fulton Pkwy</v>
          </cell>
          <cell r="E487" t="str">
            <v>Atlanta</v>
          </cell>
          <cell r="F487" t="str">
            <v>GA</v>
          </cell>
          <cell r="G487" t="str">
            <v>30349</v>
          </cell>
          <cell r="H487" t="str">
            <v>US</v>
          </cell>
          <cell r="I487" t="str">
            <v>0000000000</v>
          </cell>
        </row>
        <row r="488">
          <cell r="A488" t="str">
            <v>IND2T</v>
          </cell>
          <cell r="B488" t="str">
            <v>IND2T</v>
          </cell>
          <cell r="C488" t="str">
            <v>Amazon.com Services, Inc.</v>
          </cell>
          <cell r="D488" t="str">
            <v>9360 AllPoints Pkwy. Suite 162</v>
          </cell>
          <cell r="E488" t="str">
            <v>Plainfield</v>
          </cell>
          <cell r="F488" t="str">
            <v>IN</v>
          </cell>
          <cell r="G488" t="str">
            <v>46168</v>
          </cell>
          <cell r="H488" t="str">
            <v>US</v>
          </cell>
          <cell r="I488" t="str">
            <v>0000000000</v>
          </cell>
        </row>
        <row r="489">
          <cell r="A489" t="str">
            <v>IND2N</v>
          </cell>
          <cell r="B489" t="str">
            <v>IND2N</v>
          </cell>
          <cell r="C489" t="str">
            <v>Amazon.com Services, Inc.</v>
          </cell>
          <cell r="D489" t="str">
            <v>9360 ALLPOINTS PKWY. SUITE 107</v>
          </cell>
          <cell r="E489" t="str">
            <v>PLAINFIELD</v>
          </cell>
          <cell r="F489" t="str">
            <v>IN</v>
          </cell>
          <cell r="G489" t="str">
            <v>46168</v>
          </cell>
          <cell r="H489" t="str">
            <v>US</v>
          </cell>
          <cell r="I489" t="str">
            <v>0000000000</v>
          </cell>
        </row>
        <row r="490">
          <cell r="A490" t="str">
            <v>MEM1s</v>
          </cell>
          <cell r="B490" t="str">
            <v>MEM1s</v>
          </cell>
          <cell r="C490" t="str">
            <v>Amazon.com Services, Inc.</v>
          </cell>
          <cell r="D490" t="str">
            <v>9200 Alexander Road</v>
          </cell>
          <cell r="E490" t="str">
            <v>Olive Branch</v>
          </cell>
          <cell r="F490" t="str">
            <v>MS</v>
          </cell>
          <cell r="G490" t="str">
            <v>38654</v>
          </cell>
          <cell r="H490" t="str">
            <v>US</v>
          </cell>
          <cell r="I490" t="str">
            <v>0000000000</v>
          </cell>
        </row>
        <row r="491">
          <cell r="A491" t="str">
            <v>PHL4n</v>
          </cell>
          <cell r="B491" t="str">
            <v>PHL4n</v>
          </cell>
          <cell r="C491" t="str">
            <v>Amazon.com Services, Inc.</v>
          </cell>
          <cell r="D491" t="str">
            <v>1410 United Dr</v>
          </cell>
          <cell r="E491" t="str">
            <v>Shippensburg</v>
          </cell>
          <cell r="F491" t="str">
            <v>PA</v>
          </cell>
          <cell r="G491" t="str">
            <v>17257</v>
          </cell>
          <cell r="H491" t="str">
            <v>US</v>
          </cell>
          <cell r="I491" t="str">
            <v>0000000000</v>
          </cell>
        </row>
        <row r="492">
          <cell r="A492" t="str">
            <v>ORD1s</v>
          </cell>
          <cell r="B492" t="str">
            <v>ORD1s</v>
          </cell>
          <cell r="C492" t="str">
            <v>Amazon.com Services, Inc.</v>
          </cell>
          <cell r="D492" t="str">
            <v>3501 Brandon Road</v>
          </cell>
          <cell r="E492" t="str">
            <v>Joliet</v>
          </cell>
          <cell r="F492" t="str">
            <v>IL</v>
          </cell>
          <cell r="G492" t="str">
            <v>60436</v>
          </cell>
          <cell r="H492" t="str">
            <v>US</v>
          </cell>
          <cell r="I492" t="str">
            <v>0000000000</v>
          </cell>
        </row>
        <row r="493">
          <cell r="A493" t="str">
            <v>BNA1s</v>
          </cell>
          <cell r="B493" t="str">
            <v>BNA1s</v>
          </cell>
          <cell r="C493" t="str">
            <v>Amazon.com Services, Inc.</v>
          </cell>
          <cell r="D493" t="str">
            <v>1015 Hixson Blvd</v>
          </cell>
          <cell r="E493" t="str">
            <v>Lebanon</v>
          </cell>
          <cell r="F493" t="str">
            <v>TN</v>
          </cell>
          <cell r="G493" t="str">
            <v>37090</v>
          </cell>
          <cell r="H493" t="str">
            <v>US</v>
          </cell>
          <cell r="I493" t="str">
            <v>0000000000</v>
          </cell>
        </row>
        <row r="494">
          <cell r="A494" t="str">
            <v>IND3-WFS</v>
          </cell>
          <cell r="B494" t="str">
            <v>IND3-WFS</v>
          </cell>
          <cell r="C494" t="str">
            <v>Amazon.com Services, Inc.</v>
          </cell>
          <cell r="D494" t="str">
            <v>5756 Enterprise Dr</v>
          </cell>
          <cell r="E494" t="str">
            <v>Mccordsville</v>
          </cell>
          <cell r="F494" t="str">
            <v>IN</v>
          </cell>
          <cell r="G494" t="str">
            <v>46055</v>
          </cell>
          <cell r="H494" t="str">
            <v>US</v>
          </cell>
          <cell r="I494" t="str">
            <v>0000000000</v>
          </cell>
        </row>
        <row r="495">
          <cell r="A495" t="str">
            <v>CVG1n</v>
          </cell>
          <cell r="B495" t="str">
            <v>CVG1n</v>
          </cell>
          <cell r="C495" t="str">
            <v>Amazon.com Services, Inc.</v>
          </cell>
          <cell r="D495" t="str">
            <v>650 Gateway Blvd</v>
          </cell>
          <cell r="E495" t="str">
            <v>Monroe</v>
          </cell>
          <cell r="F495" t="str">
            <v>OH</v>
          </cell>
          <cell r="G495" t="str">
            <v>45050</v>
          </cell>
          <cell r="H495" t="str">
            <v>US</v>
          </cell>
          <cell r="I495" t="str">
            <v>0000000000</v>
          </cell>
        </row>
        <row r="496">
          <cell r="A496" t="str">
            <v>DFW5s</v>
          </cell>
          <cell r="B496" t="str">
            <v>DFW5s</v>
          </cell>
          <cell r="C496" t="str">
            <v>Amazon.com Services, Inc.</v>
          </cell>
          <cell r="D496" t="str">
            <v>2500 E Belt Line Rd</v>
          </cell>
          <cell r="E496" t="str">
            <v>Lancaster</v>
          </cell>
          <cell r="F496" t="str">
            <v>TX</v>
          </cell>
          <cell r="G496" t="str">
            <v>75146</v>
          </cell>
          <cell r="H496" t="str">
            <v>US</v>
          </cell>
          <cell r="I496" t="str">
            <v>0000000000</v>
          </cell>
        </row>
        <row r="497">
          <cell r="A497" t="str">
            <v>NJ3T</v>
          </cell>
          <cell r="B497" t="str">
            <v>NJ3T</v>
          </cell>
          <cell r="C497" t="str">
            <v>Amazon.com Services, Inc.</v>
          </cell>
          <cell r="D497" t="str">
            <v>7 Sorbello Rd</v>
          </cell>
          <cell r="E497" t="str">
            <v>Pedricktown</v>
          </cell>
          <cell r="F497" t="str">
            <v>NJ</v>
          </cell>
          <cell r="G497" t="str">
            <v>08067</v>
          </cell>
          <cell r="H497" t="str">
            <v>US</v>
          </cell>
          <cell r="I497" t="str">
            <v>0000000000</v>
          </cell>
        </row>
        <row r="498">
          <cell r="A498" t="str">
            <v>BNA6-UPS</v>
          </cell>
          <cell r="B498" t="str">
            <v>BNA6-UPS</v>
          </cell>
          <cell r="C498" t="str">
            <v>Amazon.com Services, Inc.</v>
          </cell>
          <cell r="D498" t="str">
            <v>via 3207 Whites Creek Pike</v>
          </cell>
          <cell r="E498" t="str">
            <v>Nashville</v>
          </cell>
          <cell r="F498" t="str">
            <v>TN</v>
          </cell>
          <cell r="G498" t="str">
            <v>37207</v>
          </cell>
          <cell r="H498" t="str">
            <v>US</v>
          </cell>
          <cell r="I498" t="str">
            <v>0000000000</v>
          </cell>
        </row>
        <row r="499">
          <cell r="A499" t="str">
            <v>TMB8</v>
          </cell>
          <cell r="B499" t="str">
            <v>TMB8</v>
          </cell>
          <cell r="C499" t="str">
            <v>Amazon.com Services, Inc.</v>
          </cell>
          <cell r="D499" t="str">
            <v>27505 SW 132nd AVE</v>
          </cell>
          <cell r="E499" t="str">
            <v>HOMESTEAD</v>
          </cell>
          <cell r="F499" t="str">
            <v>FL</v>
          </cell>
          <cell r="G499" t="str">
            <v>33032-8597</v>
          </cell>
          <cell r="H499" t="str">
            <v>US</v>
          </cell>
          <cell r="I499" t="str">
            <v>0000000000</v>
          </cell>
        </row>
        <row r="500">
          <cell r="A500" t="str">
            <v>LBE1-UPS</v>
          </cell>
          <cell r="B500" t="str">
            <v>LBE1-UPS</v>
          </cell>
          <cell r="C500" t="str">
            <v>Amazon.com Services, Inc.</v>
          </cell>
          <cell r="D500" t="str">
            <v>165 Glen Fox Road,</v>
          </cell>
          <cell r="E500" t="str">
            <v>Greensburg,</v>
          </cell>
          <cell r="F500" t="str">
            <v>PA</v>
          </cell>
          <cell r="G500" t="str">
            <v>15605</v>
          </cell>
          <cell r="H500" t="str">
            <v>US</v>
          </cell>
          <cell r="I500" t="str">
            <v>0000000000</v>
          </cell>
        </row>
        <row r="501">
          <cell r="A501" t="str">
            <v>ABQ2-UPS</v>
          </cell>
          <cell r="B501" t="str">
            <v>ABQ2-UPS</v>
          </cell>
          <cell r="C501" t="str">
            <v>Amazon.com Services, Inc.</v>
          </cell>
          <cell r="D501" t="str">
            <v>16601 W. SELLS DRIVE,</v>
          </cell>
          <cell r="E501" t="str">
            <v>GOODYEAR</v>
          </cell>
          <cell r="F501" t="str">
            <v>AZ</v>
          </cell>
          <cell r="G501" t="str">
            <v>85395</v>
          </cell>
          <cell r="H501" t="str">
            <v>US</v>
          </cell>
          <cell r="I501" t="str">
            <v>0000000000</v>
          </cell>
        </row>
        <row r="502">
          <cell r="A502" t="str">
            <v>RYY2-FEDEX</v>
          </cell>
          <cell r="B502" t="str">
            <v>RYY2-FEDEX</v>
          </cell>
          <cell r="C502" t="str">
            <v>Amazon.com Services, Inc.</v>
          </cell>
          <cell r="D502" t="str">
            <v>1250 Cassville White Road</v>
          </cell>
          <cell r="E502" t="str">
            <v>White</v>
          </cell>
          <cell r="F502" t="str">
            <v>GA</v>
          </cell>
          <cell r="G502" t="str">
            <v>30184</v>
          </cell>
          <cell r="H502" t="str">
            <v>US</v>
          </cell>
          <cell r="I502" t="str">
            <v>0000000000</v>
          </cell>
        </row>
        <row r="503">
          <cell r="A503" t="str">
            <v>RYY2-UPS</v>
          </cell>
          <cell r="B503" t="str">
            <v>RYY2-UPS</v>
          </cell>
          <cell r="C503" t="str">
            <v>Amazon.com Services, Inc.</v>
          </cell>
          <cell r="D503" t="str">
            <v>RYY2 via 1250 Cassville White Road</v>
          </cell>
          <cell r="E503" t="str">
            <v>Atlanta</v>
          </cell>
          <cell r="F503" t="str">
            <v>GA</v>
          </cell>
          <cell r="G503" t="str">
            <v>30325</v>
          </cell>
          <cell r="H503" t="str">
            <v>US</v>
          </cell>
          <cell r="I503" t="str">
            <v>0000000000</v>
          </cell>
        </row>
        <row r="504">
          <cell r="A504" t="str">
            <v>PHL5s</v>
          </cell>
          <cell r="B504" t="str">
            <v>PHL5s</v>
          </cell>
          <cell r="C504" t="str">
            <v>Amazon.com Services, Inc.</v>
          </cell>
          <cell r="D504" t="str">
            <v>1915 Ebberts Spg Ct</v>
          </cell>
          <cell r="E504" t="str">
            <v>Greencastle</v>
          </cell>
          <cell r="F504" t="str">
            <v>PA</v>
          </cell>
          <cell r="G504" t="str">
            <v>17225</v>
          </cell>
          <cell r="H504" t="str">
            <v>US</v>
          </cell>
          <cell r="I504" t="str">
            <v>0000000000</v>
          </cell>
        </row>
        <row r="505">
          <cell r="A505" t="str">
            <v>IUSP</v>
          </cell>
          <cell r="B505" t="str">
            <v>IUSP</v>
          </cell>
          <cell r="C505" t="str">
            <v>Amazon.com Services, Inc.</v>
          </cell>
          <cell r="D505" t="str">
            <v>8140 Caliente Rd 92344</v>
          </cell>
          <cell r="E505" t="str">
            <v>HESPERIA</v>
          </cell>
          <cell r="F505" t="str">
            <v>CA</v>
          </cell>
          <cell r="G505" t="str">
            <v>92344</v>
          </cell>
          <cell r="H505" t="str">
            <v>US</v>
          </cell>
          <cell r="I505" t="str">
            <v>0000000000</v>
          </cell>
        </row>
        <row r="506">
          <cell r="A506" t="str">
            <v>LAN2-UPS</v>
          </cell>
          <cell r="B506" t="str">
            <v>LAN2-UPS</v>
          </cell>
          <cell r="C506" t="str">
            <v>Amazon.com Services, Inc.</v>
          </cell>
          <cell r="D506" t="str">
            <v>5801 Clyde Park Ave Sw</v>
          </cell>
          <cell r="E506" t="str">
            <v>Wyoming</v>
          </cell>
          <cell r="F506" t="str">
            <v>MI</v>
          </cell>
          <cell r="G506" t="str">
            <v>49509</v>
          </cell>
          <cell r="H506" t="str">
            <v>US</v>
          </cell>
          <cell r="I506" t="str">
            <v>0000000000</v>
          </cell>
        </row>
      </sheetData>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 Type="http://schemas.openxmlformats.org/officeDocument/2006/relationships/hyperlink" Target="mailto:wl_jim@163.com" TargetMode="External"/><Relationship Id="rId3" Type="http://schemas.openxmlformats.org/officeDocument/2006/relationships/hyperlink" Target="mailto:300838195@qq.com" TargetMode="External"/><Relationship Id="rId2" Type="http://schemas.openxmlformats.org/officeDocument/2006/relationships/hyperlink" Target="mailto:passgyl@163.com" TargetMode="Externa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B0F0"/>
  </sheetPr>
  <dimension ref="A1:G20"/>
  <sheetViews>
    <sheetView zoomScale="85" zoomScaleNormal="85" workbookViewId="0">
      <selection activeCell="F8" sqref="F8"/>
    </sheetView>
  </sheetViews>
  <sheetFormatPr defaultColWidth="9" defaultRowHeight="14.95" outlineLevelCol="6"/>
  <cols>
    <col min="1" max="1" width="15.6666666666667" style="180" customWidth="1"/>
    <col min="2" max="2" width="8.66666666666667" style="180" customWidth="1"/>
    <col min="3" max="3" width="47.3947368421053" style="332" customWidth="1"/>
    <col min="4" max="4" width="10.6052631578947" style="332" customWidth="1"/>
    <col min="5" max="5" width="13.1315789473684" style="332" customWidth="1"/>
    <col min="6" max="6" width="82.5350877192982" style="332" customWidth="1"/>
    <col min="7" max="7" width="21.8684210526316" style="333" customWidth="1"/>
    <col min="8" max="16384" width="9" style="334"/>
  </cols>
  <sheetData>
    <row r="1" ht="66.75" customHeight="1" spans="1:7">
      <c r="A1" s="335"/>
      <c r="B1" s="336"/>
      <c r="C1" s="337"/>
      <c r="D1" s="337"/>
      <c r="E1" s="337"/>
      <c r="F1" s="337"/>
      <c r="G1" s="338"/>
    </row>
    <row r="2" ht="38" customHeight="1" spans="1:7">
      <c r="A2" s="339" t="s">
        <v>0</v>
      </c>
      <c r="B2" s="340"/>
      <c r="C2" s="341"/>
      <c r="D2" s="341"/>
      <c r="E2" s="341"/>
      <c r="F2" s="341"/>
      <c r="G2" s="342"/>
    </row>
    <row r="3" ht="51" customHeight="1" spans="1:7">
      <c r="A3" s="343" t="s">
        <v>1</v>
      </c>
      <c r="B3" s="343" t="s">
        <v>2</v>
      </c>
      <c r="C3" s="343" t="s">
        <v>3</v>
      </c>
      <c r="D3" s="343" t="s">
        <v>4</v>
      </c>
      <c r="E3" s="343" t="s">
        <v>5</v>
      </c>
      <c r="F3" s="343" t="s">
        <v>6</v>
      </c>
      <c r="G3" s="344" t="s">
        <v>7</v>
      </c>
    </row>
    <row r="4" s="331" customFormat="1" ht="39" customHeight="1" spans="1:7">
      <c r="A4" s="345" t="s">
        <v>8</v>
      </c>
      <c r="B4" s="346" t="s">
        <v>9</v>
      </c>
      <c r="C4" s="347" t="s">
        <v>10</v>
      </c>
      <c r="D4" s="348" t="s">
        <v>11</v>
      </c>
      <c r="E4" s="349" t="s">
        <v>12</v>
      </c>
      <c r="F4" s="350" t="s">
        <v>13</v>
      </c>
      <c r="G4" s="351">
        <v>46115</v>
      </c>
    </row>
    <row r="5" s="331" customFormat="1" ht="39" customHeight="1" spans="1:7">
      <c r="A5" s="352"/>
      <c r="B5" s="353"/>
      <c r="C5" s="347" t="s">
        <v>14</v>
      </c>
      <c r="D5" s="348" t="s">
        <v>11</v>
      </c>
      <c r="E5" s="349" t="s">
        <v>12</v>
      </c>
      <c r="F5" s="350" t="s">
        <v>13</v>
      </c>
      <c r="G5" s="351">
        <v>46115</v>
      </c>
    </row>
    <row r="6" s="180" customFormat="1" ht="39" customHeight="1" spans="1:7">
      <c r="A6" s="352"/>
      <c r="B6" s="353"/>
      <c r="C6" s="347" t="s">
        <v>15</v>
      </c>
      <c r="D6" s="348" t="s">
        <v>16</v>
      </c>
      <c r="E6" s="349" t="s">
        <v>17</v>
      </c>
      <c r="F6" s="350" t="s">
        <v>18</v>
      </c>
      <c r="G6" s="354" t="s">
        <v>17</v>
      </c>
    </row>
    <row r="7" s="180" customFormat="1" ht="39" customHeight="1" spans="1:7">
      <c r="A7" s="352"/>
      <c r="B7" s="353"/>
      <c r="C7" s="347" t="s">
        <v>19</v>
      </c>
      <c r="D7" s="348" t="s">
        <v>16</v>
      </c>
      <c r="E7" s="349" t="s">
        <v>12</v>
      </c>
      <c r="F7" s="350" t="s">
        <v>18</v>
      </c>
      <c r="G7" s="351">
        <v>46115</v>
      </c>
    </row>
    <row r="8" s="180" customFormat="1" ht="39" customHeight="1" spans="1:7">
      <c r="A8" s="352"/>
      <c r="B8" s="353"/>
      <c r="C8" s="347" t="s">
        <v>20</v>
      </c>
      <c r="D8" s="348" t="s">
        <v>16</v>
      </c>
      <c r="E8" s="349" t="s">
        <v>12</v>
      </c>
      <c r="F8" s="350" t="s">
        <v>21</v>
      </c>
      <c r="G8" s="351">
        <v>46115</v>
      </c>
    </row>
    <row r="9" s="331" customFormat="1" ht="39" customHeight="1" spans="1:7">
      <c r="A9" s="352"/>
      <c r="B9" s="353"/>
      <c r="C9" s="347" t="s">
        <v>22</v>
      </c>
      <c r="D9" s="348" t="s">
        <v>16</v>
      </c>
      <c r="E9" s="349" t="s">
        <v>12</v>
      </c>
      <c r="F9" s="355" t="s">
        <v>23</v>
      </c>
      <c r="G9" s="351">
        <v>46115</v>
      </c>
    </row>
    <row r="10" s="180" customFormat="1" ht="39" customHeight="1" spans="1:7">
      <c r="A10" s="352"/>
      <c r="B10" s="353"/>
      <c r="C10" s="347" t="s">
        <v>24</v>
      </c>
      <c r="D10" s="348" t="s">
        <v>25</v>
      </c>
      <c r="E10" s="349" t="s">
        <v>12</v>
      </c>
      <c r="F10" s="355" t="s">
        <v>23</v>
      </c>
      <c r="G10" s="351">
        <v>46115</v>
      </c>
    </row>
    <row r="11" s="331" customFormat="1" ht="39" customHeight="1" spans="1:7">
      <c r="A11" s="352"/>
      <c r="B11" s="353"/>
      <c r="C11" s="347" t="s">
        <v>26</v>
      </c>
      <c r="D11" s="348" t="s">
        <v>11</v>
      </c>
      <c r="E11" s="349" t="s">
        <v>12</v>
      </c>
      <c r="F11" s="350" t="s">
        <v>27</v>
      </c>
      <c r="G11" s="351">
        <v>46115</v>
      </c>
    </row>
    <row r="12" s="180" customFormat="1" ht="39" customHeight="1" spans="1:7">
      <c r="A12" s="352"/>
      <c r="B12" s="353"/>
      <c r="C12" s="347" t="s">
        <v>28</v>
      </c>
      <c r="D12" s="348" t="s">
        <v>11</v>
      </c>
      <c r="E12" s="349" t="s">
        <v>12</v>
      </c>
      <c r="F12" s="350" t="s">
        <v>29</v>
      </c>
      <c r="G12" s="351">
        <v>46115</v>
      </c>
    </row>
    <row r="13" s="180" customFormat="1" ht="63" customHeight="1" spans="1:7">
      <c r="A13" s="356" t="s">
        <v>30</v>
      </c>
      <c r="B13" s="357" t="s">
        <v>31</v>
      </c>
      <c r="C13" s="358" t="s">
        <v>32</v>
      </c>
      <c r="D13" s="359"/>
      <c r="E13" s="359"/>
      <c r="F13" s="359"/>
      <c r="G13" s="360"/>
    </row>
    <row r="14" s="180" customFormat="1" ht="65" customHeight="1" spans="1:7">
      <c r="A14" s="361"/>
      <c r="B14" s="362" t="s">
        <v>33</v>
      </c>
      <c r="C14" s="363" t="s">
        <v>34</v>
      </c>
      <c r="D14" s="364"/>
      <c r="E14" s="364"/>
      <c r="F14" s="364"/>
      <c r="G14" s="365"/>
    </row>
    <row r="15" ht="25.05" customHeight="1" spans="1:7">
      <c r="A15" s="366" t="s">
        <v>35</v>
      </c>
      <c r="B15" s="367"/>
      <c r="C15" s="368"/>
      <c r="D15" s="368"/>
      <c r="E15" s="368"/>
      <c r="F15" s="368"/>
      <c r="G15" s="369"/>
    </row>
    <row r="16" ht="25.05" customHeight="1" spans="1:7">
      <c r="A16" s="370" t="s">
        <v>36</v>
      </c>
      <c r="B16" s="371"/>
      <c r="C16" s="372"/>
      <c r="D16" s="372"/>
      <c r="E16" s="372"/>
      <c r="F16" s="372"/>
      <c r="G16" s="373"/>
    </row>
    <row r="17" ht="25.05" customHeight="1" spans="1:7">
      <c r="A17" s="374" t="s">
        <v>37</v>
      </c>
      <c r="B17" s="375"/>
      <c r="C17" s="376"/>
      <c r="D17" s="376"/>
      <c r="E17" s="376"/>
      <c r="F17" s="376"/>
      <c r="G17" s="377"/>
    </row>
    <row r="18" ht="25.05" customHeight="1" spans="1:7">
      <c r="A18" s="374" t="s">
        <v>38</v>
      </c>
      <c r="B18" s="375"/>
      <c r="C18" s="376"/>
      <c r="D18" s="376"/>
      <c r="E18" s="376"/>
      <c r="F18" s="376"/>
      <c r="G18" s="377"/>
    </row>
    <row r="19" ht="25.05" customHeight="1" spans="1:7">
      <c r="A19" s="374" t="s">
        <v>39</v>
      </c>
      <c r="B19" s="375"/>
      <c r="C19" s="376"/>
      <c r="D19" s="376"/>
      <c r="E19" s="376"/>
      <c r="F19" s="376"/>
      <c r="G19" s="377"/>
    </row>
    <row r="20" ht="25.05" customHeight="1" spans="1:7">
      <c r="A20" s="378" t="s">
        <v>40</v>
      </c>
      <c r="B20" s="379"/>
      <c r="C20" s="380"/>
      <c r="D20" s="380"/>
      <c r="E20" s="380"/>
      <c r="F20" s="380"/>
      <c r="G20" s="381"/>
    </row>
  </sheetData>
  <sheetProtection formatCells="0" formatColumns="0" formatRows="0" insertRows="0" insertColumns="0" insertHyperlinks="0" deleteColumns="0" deleteRows="0" sort="0" autoFilter="0" pivotTables="0"/>
  <mergeCells count="12">
    <mergeCell ref="A2:G2"/>
    <mergeCell ref="C13:G13"/>
    <mergeCell ref="C14:G14"/>
    <mergeCell ref="A15:G15"/>
    <mergeCell ref="A16:G16"/>
    <mergeCell ref="A17:G17"/>
    <mergeCell ref="A18:G18"/>
    <mergeCell ref="A19:G19"/>
    <mergeCell ref="A20:G20"/>
    <mergeCell ref="A4:A12"/>
    <mergeCell ref="A13:A14"/>
    <mergeCell ref="B4:B12"/>
  </mergeCells>
  <hyperlinks>
    <hyperlink ref="C5" location="空派综合报价!A1" display="美国空派-经济线"/>
    <hyperlink ref="C11" location="空派超大件卡车报价!A1" display="美国空派-不带电超大件"/>
    <hyperlink ref="C7" location="空派综合报价!A1" display="美国空派-带电经济线"/>
    <hyperlink ref="C8" location="空派综合报价!A1" display="美国空派-化妆品"/>
    <hyperlink ref="C9" location="荣耀超大件空运快递报价!A1" display="荣耀不带电空派"/>
    <hyperlink ref="C12" location="空派超大件卡车报价!A1" display="美国空派-带电超大件"/>
    <hyperlink ref="C4" location="空派综合报价!A1" display="美国空派-快线不带电"/>
    <hyperlink ref="C10" location="荣耀超大件空运快递报价!A1" display="荣耀带电空派"/>
  </hyperlink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0000"/>
  </sheetPr>
  <dimension ref="A1:I9"/>
  <sheetViews>
    <sheetView workbookViewId="0">
      <selection activeCell="C8" sqref="C8"/>
    </sheetView>
  </sheetViews>
  <sheetFormatPr defaultColWidth="9" defaultRowHeight="14.95"/>
  <cols>
    <col min="1" max="1" width="13.1315789473684" style="180" customWidth="1"/>
    <col min="2" max="2" width="23" style="180" customWidth="1"/>
    <col min="3" max="3" width="36.3947368421053" style="180" customWidth="1"/>
    <col min="4" max="6" width="17.1315789473684" style="180" customWidth="1"/>
    <col min="7" max="7" width="14" style="180" customWidth="1"/>
    <col min="8" max="8" width="15.7368421052632" style="180" customWidth="1"/>
    <col min="9" max="9" width="9" style="180"/>
    <col min="10" max="11" width="23.2631578947368" style="180" customWidth="1"/>
    <col min="12" max="16384" width="9" style="180"/>
  </cols>
  <sheetData>
    <row r="1" s="316" customFormat="1" ht="44" customHeight="1" spans="1:9">
      <c r="A1" s="318" t="s">
        <v>41</v>
      </c>
      <c r="B1" s="318"/>
      <c r="C1" s="318"/>
      <c r="D1" s="318"/>
      <c r="E1" s="318"/>
      <c r="F1" s="318"/>
      <c r="G1" s="318"/>
      <c r="H1" s="318"/>
      <c r="I1" s="180"/>
    </row>
    <row r="2" s="317" customFormat="1" ht="36" customHeight="1" spans="1:9">
      <c r="A2" s="319" t="s">
        <v>42</v>
      </c>
      <c r="B2" s="319"/>
      <c r="C2" s="319" t="s">
        <v>43</v>
      </c>
      <c r="D2" s="319" t="s">
        <v>44</v>
      </c>
      <c r="E2" s="319"/>
      <c r="F2" s="319"/>
      <c r="G2" s="319" t="s">
        <v>45</v>
      </c>
      <c r="H2" s="319"/>
    </row>
    <row r="3" ht="33" customHeight="1" spans="1:9">
      <c r="A3" s="320" t="s">
        <v>46</v>
      </c>
      <c r="B3" s="320" t="s">
        <v>47</v>
      </c>
      <c r="C3" s="320" t="s">
        <v>48</v>
      </c>
      <c r="D3" s="321" t="s">
        <v>49</v>
      </c>
      <c r="E3" s="322"/>
      <c r="F3" s="323"/>
      <c r="G3" s="320" t="s">
        <v>50</v>
      </c>
      <c r="H3" s="320"/>
    </row>
    <row r="4" ht="33" customHeight="1" spans="1:9">
      <c r="A4" s="320"/>
      <c r="B4" s="320" t="s">
        <v>51</v>
      </c>
      <c r="C4" s="320" t="s">
        <v>52</v>
      </c>
      <c r="D4" s="324"/>
      <c r="E4" s="325"/>
      <c r="F4" s="326"/>
      <c r="G4" s="320"/>
      <c r="H4" s="320"/>
    </row>
    <row r="5" ht="33" customHeight="1" spans="1:9">
      <c r="A5" s="320"/>
      <c r="B5" s="327" t="s">
        <v>53</v>
      </c>
      <c r="C5" s="327" t="s">
        <v>17</v>
      </c>
      <c r="D5" s="324"/>
      <c r="E5" s="325"/>
      <c r="F5" s="326"/>
      <c r="G5" s="320"/>
      <c r="H5" s="320"/>
    </row>
    <row r="6" ht="33" customHeight="1" spans="1:9">
      <c r="A6" s="320"/>
      <c r="B6" s="320" t="s">
        <v>54</v>
      </c>
      <c r="C6" s="320" t="s">
        <v>52</v>
      </c>
      <c r="D6" s="324"/>
      <c r="E6" s="325"/>
      <c r="F6" s="326"/>
      <c r="G6" s="320"/>
      <c r="H6" s="320"/>
    </row>
    <row r="7" ht="33" customHeight="1" spans="1:9">
      <c r="A7" s="320"/>
      <c r="B7" s="320" t="s">
        <v>55</v>
      </c>
      <c r="C7" s="320" t="s">
        <v>52</v>
      </c>
      <c r="D7" s="324"/>
      <c r="E7" s="325"/>
      <c r="F7" s="326"/>
      <c r="G7" s="320"/>
      <c r="H7" s="320"/>
    </row>
    <row r="8" ht="33" customHeight="1" spans="1:9">
      <c r="A8" s="320"/>
      <c r="B8" s="320" t="s">
        <v>56</v>
      </c>
      <c r="C8" s="320" t="s">
        <v>52</v>
      </c>
      <c r="D8" s="324"/>
      <c r="E8" s="325"/>
      <c r="F8" s="326"/>
      <c r="G8" s="320"/>
      <c r="H8" s="320"/>
    </row>
    <row r="9" ht="33" customHeight="1" spans="1:9">
      <c r="A9" s="320"/>
      <c r="B9" s="320" t="s">
        <v>57</v>
      </c>
      <c r="C9" s="320" t="s">
        <v>52</v>
      </c>
      <c r="D9" s="328"/>
      <c r="E9" s="329"/>
      <c r="F9" s="330"/>
      <c r="G9" s="320"/>
      <c r="H9" s="320"/>
    </row>
  </sheetData>
  <sheetProtection formatCells="0" formatColumns="0" formatRows="0" insertRows="0" insertColumns="0" insertHyperlinks="0" deleteColumns="0" deleteRows="0" sort="0" autoFilter="0" pivotTables="0"/>
  <mergeCells count="7">
    <mergeCell ref="A1:H1"/>
    <mergeCell ref="A2:B2"/>
    <mergeCell ref="D2:F2"/>
    <mergeCell ref="G2:H2"/>
    <mergeCell ref="A3:A9"/>
    <mergeCell ref="G3:H9"/>
    <mergeCell ref="D3:F9"/>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79544"/>
  </sheetPr>
  <dimension ref="A1:FF126"/>
  <sheetViews>
    <sheetView workbookViewId="0">
      <selection activeCell="B8" sqref="B8"/>
    </sheetView>
  </sheetViews>
  <sheetFormatPr defaultColWidth="9" defaultRowHeight="15.65"/>
  <cols>
    <col min="1" max="1" width="16.7368421052632" style="298" customWidth="1"/>
    <col min="2" max="2" width="19.6666666666667" style="298" customWidth="1"/>
    <col min="3" max="3" width="12.6666666666667" style="298" customWidth="1"/>
    <col min="4" max="4" width="11.1315789473684" style="298" customWidth="1"/>
    <col min="5" max="5" width="18.6666666666667" style="298" customWidth="1"/>
    <col min="6" max="6" width="19.2631578947368" style="298" customWidth="1"/>
    <col min="7" max="7" width="27.3947368421053" style="298" customWidth="1"/>
    <col min="8" max="255" width="9" style="298"/>
    <col min="256" max="256" width="16.7368421052632" style="298" customWidth="1"/>
    <col min="257" max="257" width="16" style="298" customWidth="1"/>
    <col min="258" max="258" width="10.3947368421053" style="298" customWidth="1"/>
    <col min="259" max="259" width="9" style="298"/>
    <col min="260" max="260" width="16.2631578947368" style="298" customWidth="1"/>
    <col min="261" max="261" width="16.3947368421053" style="298" customWidth="1"/>
    <col min="262" max="262" width="13.8684210526316" style="298" customWidth="1"/>
    <col min="263" max="263" width="25.1315789473684" style="298" customWidth="1"/>
    <col min="264" max="511" width="9" style="298"/>
    <col min="512" max="512" width="16.7368421052632" style="298" customWidth="1"/>
    <col min="513" max="513" width="16" style="298" customWidth="1"/>
    <col min="514" max="514" width="10.3947368421053" style="298" customWidth="1"/>
    <col min="515" max="515" width="9" style="298"/>
    <col min="516" max="516" width="16.2631578947368" style="298" customWidth="1"/>
    <col min="517" max="517" width="16.3947368421053" style="298" customWidth="1"/>
    <col min="518" max="518" width="13.8684210526316" style="298" customWidth="1"/>
    <col min="519" max="519" width="25.1315789473684" style="298" customWidth="1"/>
    <col min="520" max="767" width="9" style="298"/>
    <col min="768" max="768" width="16.7368421052632" style="298" customWidth="1"/>
    <col min="769" max="769" width="16" style="298" customWidth="1"/>
    <col min="770" max="770" width="10.3947368421053" style="298" customWidth="1"/>
    <col min="771" max="771" width="9" style="298"/>
    <col min="772" max="772" width="16.2631578947368" style="298" customWidth="1"/>
    <col min="773" max="773" width="16.3947368421053" style="298" customWidth="1"/>
    <col min="774" max="774" width="13.8684210526316" style="298" customWidth="1"/>
    <col min="775" max="775" width="25.1315789473684" style="298" customWidth="1"/>
    <col min="776" max="1023" width="9" style="298"/>
    <col min="1024" max="1024" width="16.7368421052632" style="298" customWidth="1"/>
    <col min="1025" max="1025" width="16" style="298" customWidth="1"/>
    <col min="1026" max="1026" width="10.3947368421053" style="298" customWidth="1"/>
    <col min="1027" max="1027" width="9" style="298"/>
    <col min="1028" max="1028" width="16.2631578947368" style="298" customWidth="1"/>
    <col min="1029" max="1029" width="16.3947368421053" style="298" customWidth="1"/>
    <col min="1030" max="1030" width="13.8684210526316" style="298" customWidth="1"/>
    <col min="1031" max="1031" width="25.1315789473684" style="298" customWidth="1"/>
    <col min="1032" max="1279" width="9" style="298"/>
    <col min="1280" max="1280" width="16.7368421052632" style="298" customWidth="1"/>
    <col min="1281" max="1281" width="16" style="298" customWidth="1"/>
    <col min="1282" max="1282" width="10.3947368421053" style="298" customWidth="1"/>
    <col min="1283" max="1283" width="9" style="298"/>
    <col min="1284" max="1284" width="16.2631578947368" style="298" customWidth="1"/>
    <col min="1285" max="1285" width="16.3947368421053" style="298" customWidth="1"/>
    <col min="1286" max="1286" width="13.8684210526316" style="298" customWidth="1"/>
    <col min="1287" max="1287" width="25.1315789473684" style="298" customWidth="1"/>
    <col min="1288" max="1535" width="9" style="298"/>
    <col min="1536" max="1536" width="16.7368421052632" style="298" customWidth="1"/>
    <col min="1537" max="1537" width="16" style="298" customWidth="1"/>
    <col min="1538" max="1538" width="10.3947368421053" style="298" customWidth="1"/>
    <col min="1539" max="1539" width="9" style="298"/>
    <col min="1540" max="1540" width="16.2631578947368" style="298" customWidth="1"/>
    <col min="1541" max="1541" width="16.3947368421053" style="298" customWidth="1"/>
    <col min="1542" max="1542" width="13.8684210526316" style="298" customWidth="1"/>
    <col min="1543" max="1543" width="25.1315789473684" style="298" customWidth="1"/>
    <col min="1544" max="1791" width="9" style="298"/>
    <col min="1792" max="1792" width="16.7368421052632" style="298" customWidth="1"/>
    <col min="1793" max="1793" width="16" style="298" customWidth="1"/>
    <col min="1794" max="1794" width="10.3947368421053" style="298" customWidth="1"/>
    <col min="1795" max="1795" width="9" style="298"/>
    <col min="1796" max="1796" width="16.2631578947368" style="298" customWidth="1"/>
    <col min="1797" max="1797" width="16.3947368421053" style="298" customWidth="1"/>
    <col min="1798" max="1798" width="13.8684210526316" style="298" customWidth="1"/>
    <col min="1799" max="1799" width="25.1315789473684" style="298" customWidth="1"/>
    <col min="1800" max="2047" width="9" style="298"/>
    <col min="2048" max="2048" width="16.7368421052632" style="298" customWidth="1"/>
    <col min="2049" max="2049" width="16" style="298" customWidth="1"/>
    <col min="2050" max="2050" width="10.3947368421053" style="298" customWidth="1"/>
    <col min="2051" max="2051" width="9" style="298"/>
    <col min="2052" max="2052" width="16.2631578947368" style="298" customWidth="1"/>
    <col min="2053" max="2053" width="16.3947368421053" style="298" customWidth="1"/>
    <col min="2054" max="2054" width="13.8684210526316" style="298" customWidth="1"/>
    <col min="2055" max="2055" width="25.1315789473684" style="298" customWidth="1"/>
    <col min="2056" max="2303" width="9" style="298"/>
    <col min="2304" max="2304" width="16.7368421052632" style="298" customWidth="1"/>
    <col min="2305" max="2305" width="16" style="298" customWidth="1"/>
    <col min="2306" max="2306" width="10.3947368421053" style="298" customWidth="1"/>
    <col min="2307" max="2307" width="9" style="298"/>
    <col min="2308" max="2308" width="16.2631578947368" style="298" customWidth="1"/>
    <col min="2309" max="2309" width="16.3947368421053" style="298" customWidth="1"/>
    <col min="2310" max="2310" width="13.8684210526316" style="298" customWidth="1"/>
    <col min="2311" max="2311" width="25.1315789473684" style="298" customWidth="1"/>
    <col min="2312" max="2559" width="9" style="298"/>
    <col min="2560" max="2560" width="16.7368421052632" style="298" customWidth="1"/>
    <col min="2561" max="2561" width="16" style="298" customWidth="1"/>
    <col min="2562" max="2562" width="10.3947368421053" style="298" customWidth="1"/>
    <col min="2563" max="2563" width="9" style="298"/>
    <col min="2564" max="2564" width="16.2631578947368" style="298" customWidth="1"/>
    <col min="2565" max="2565" width="16.3947368421053" style="298" customWidth="1"/>
    <col min="2566" max="2566" width="13.8684210526316" style="298" customWidth="1"/>
    <col min="2567" max="2567" width="25.1315789473684" style="298" customWidth="1"/>
    <col min="2568" max="2815" width="9" style="298"/>
    <col min="2816" max="2816" width="16.7368421052632" style="298" customWidth="1"/>
    <col min="2817" max="2817" width="16" style="298" customWidth="1"/>
    <col min="2818" max="2818" width="10.3947368421053" style="298" customWidth="1"/>
    <col min="2819" max="2819" width="9" style="298"/>
    <col min="2820" max="2820" width="16.2631578947368" style="298" customWidth="1"/>
    <col min="2821" max="2821" width="16.3947368421053" style="298" customWidth="1"/>
    <col min="2822" max="2822" width="13.8684210526316" style="298" customWidth="1"/>
    <col min="2823" max="2823" width="25.1315789473684" style="298" customWidth="1"/>
    <col min="2824" max="3071" width="9" style="298"/>
    <col min="3072" max="3072" width="16.7368421052632" style="298" customWidth="1"/>
    <col min="3073" max="3073" width="16" style="298" customWidth="1"/>
    <col min="3074" max="3074" width="10.3947368421053" style="298" customWidth="1"/>
    <col min="3075" max="3075" width="9" style="298"/>
    <col min="3076" max="3076" width="16.2631578947368" style="298" customWidth="1"/>
    <col min="3077" max="3077" width="16.3947368421053" style="298" customWidth="1"/>
    <col min="3078" max="3078" width="13.8684210526316" style="298" customWidth="1"/>
    <col min="3079" max="3079" width="25.1315789473684" style="298" customWidth="1"/>
    <col min="3080" max="3327" width="9" style="298"/>
    <col min="3328" max="3328" width="16.7368421052632" style="298" customWidth="1"/>
    <col min="3329" max="3329" width="16" style="298" customWidth="1"/>
    <col min="3330" max="3330" width="10.3947368421053" style="298" customWidth="1"/>
    <col min="3331" max="3331" width="9" style="298"/>
    <col min="3332" max="3332" width="16.2631578947368" style="298" customWidth="1"/>
    <col min="3333" max="3333" width="16.3947368421053" style="298" customWidth="1"/>
    <col min="3334" max="3334" width="13.8684210526316" style="298" customWidth="1"/>
    <col min="3335" max="3335" width="25.1315789473684" style="298" customWidth="1"/>
    <col min="3336" max="3583" width="9" style="298"/>
    <col min="3584" max="3584" width="16.7368421052632" style="298" customWidth="1"/>
    <col min="3585" max="3585" width="16" style="298" customWidth="1"/>
    <col min="3586" max="3586" width="10.3947368421053" style="298" customWidth="1"/>
    <col min="3587" max="3587" width="9" style="298"/>
    <col min="3588" max="3588" width="16.2631578947368" style="298" customWidth="1"/>
    <col min="3589" max="3589" width="16.3947368421053" style="298" customWidth="1"/>
    <col min="3590" max="3590" width="13.8684210526316" style="298" customWidth="1"/>
    <col min="3591" max="3591" width="25.1315789473684" style="298" customWidth="1"/>
    <col min="3592" max="3839" width="9" style="298"/>
    <col min="3840" max="3840" width="16.7368421052632" style="298" customWidth="1"/>
    <col min="3841" max="3841" width="16" style="298" customWidth="1"/>
    <col min="3842" max="3842" width="10.3947368421053" style="298" customWidth="1"/>
    <col min="3843" max="3843" width="9" style="298"/>
    <col min="3844" max="3844" width="16.2631578947368" style="298" customWidth="1"/>
    <col min="3845" max="3845" width="16.3947368421053" style="298" customWidth="1"/>
    <col min="3846" max="3846" width="13.8684210526316" style="298" customWidth="1"/>
    <col min="3847" max="3847" width="25.1315789473684" style="298" customWidth="1"/>
    <col min="3848" max="4095" width="9" style="298"/>
    <col min="4096" max="4096" width="16.7368421052632" style="298" customWidth="1"/>
    <col min="4097" max="4097" width="16" style="298" customWidth="1"/>
    <col min="4098" max="4098" width="10.3947368421053" style="298" customWidth="1"/>
    <col min="4099" max="4099" width="9" style="298"/>
    <col min="4100" max="4100" width="16.2631578947368" style="298" customWidth="1"/>
    <col min="4101" max="4101" width="16.3947368421053" style="298" customWidth="1"/>
    <col min="4102" max="4102" width="13.8684210526316" style="298" customWidth="1"/>
    <col min="4103" max="4103" width="25.1315789473684" style="298" customWidth="1"/>
    <col min="4104" max="4351" width="9" style="298"/>
    <col min="4352" max="4352" width="16.7368421052632" style="298" customWidth="1"/>
    <col min="4353" max="4353" width="16" style="298" customWidth="1"/>
    <col min="4354" max="4354" width="10.3947368421053" style="298" customWidth="1"/>
    <col min="4355" max="4355" width="9" style="298"/>
    <col min="4356" max="4356" width="16.2631578947368" style="298" customWidth="1"/>
    <col min="4357" max="4357" width="16.3947368421053" style="298" customWidth="1"/>
    <col min="4358" max="4358" width="13.8684210526316" style="298" customWidth="1"/>
    <col min="4359" max="4359" width="25.1315789473684" style="298" customWidth="1"/>
    <col min="4360" max="4607" width="9" style="298"/>
    <col min="4608" max="4608" width="16.7368421052632" style="298" customWidth="1"/>
    <col min="4609" max="4609" width="16" style="298" customWidth="1"/>
    <col min="4610" max="4610" width="10.3947368421053" style="298" customWidth="1"/>
    <col min="4611" max="4611" width="9" style="298"/>
    <col min="4612" max="4612" width="16.2631578947368" style="298" customWidth="1"/>
    <col min="4613" max="4613" width="16.3947368421053" style="298" customWidth="1"/>
    <col min="4614" max="4614" width="13.8684210526316" style="298" customWidth="1"/>
    <col min="4615" max="4615" width="25.1315789473684" style="298" customWidth="1"/>
    <col min="4616" max="4863" width="9" style="298"/>
    <col min="4864" max="4864" width="16.7368421052632" style="298" customWidth="1"/>
    <col min="4865" max="4865" width="16" style="298" customWidth="1"/>
    <col min="4866" max="4866" width="10.3947368421053" style="298" customWidth="1"/>
    <col min="4867" max="4867" width="9" style="298"/>
    <col min="4868" max="4868" width="16.2631578947368" style="298" customWidth="1"/>
    <col min="4869" max="4869" width="16.3947368421053" style="298" customWidth="1"/>
    <col min="4870" max="4870" width="13.8684210526316" style="298" customWidth="1"/>
    <col min="4871" max="4871" width="25.1315789473684" style="298" customWidth="1"/>
    <col min="4872" max="5119" width="9" style="298"/>
    <col min="5120" max="5120" width="16.7368421052632" style="298" customWidth="1"/>
    <col min="5121" max="5121" width="16" style="298" customWidth="1"/>
    <col min="5122" max="5122" width="10.3947368421053" style="298" customWidth="1"/>
    <col min="5123" max="5123" width="9" style="298"/>
    <col min="5124" max="5124" width="16.2631578947368" style="298" customWidth="1"/>
    <col min="5125" max="5125" width="16.3947368421053" style="298" customWidth="1"/>
    <col min="5126" max="5126" width="13.8684210526316" style="298" customWidth="1"/>
    <col min="5127" max="5127" width="25.1315789473684" style="298" customWidth="1"/>
    <col min="5128" max="5375" width="9" style="298"/>
    <col min="5376" max="5376" width="16.7368421052632" style="298" customWidth="1"/>
    <col min="5377" max="5377" width="16" style="298" customWidth="1"/>
    <col min="5378" max="5378" width="10.3947368421053" style="298" customWidth="1"/>
    <col min="5379" max="5379" width="9" style="298"/>
    <col min="5380" max="5380" width="16.2631578947368" style="298" customWidth="1"/>
    <col min="5381" max="5381" width="16.3947368421053" style="298" customWidth="1"/>
    <col min="5382" max="5382" width="13.8684210526316" style="298" customWidth="1"/>
    <col min="5383" max="5383" width="25.1315789473684" style="298" customWidth="1"/>
    <col min="5384" max="5631" width="9" style="298"/>
    <col min="5632" max="5632" width="16.7368421052632" style="298" customWidth="1"/>
    <col min="5633" max="5633" width="16" style="298" customWidth="1"/>
    <col min="5634" max="5634" width="10.3947368421053" style="298" customWidth="1"/>
    <col min="5635" max="5635" width="9" style="298"/>
    <col min="5636" max="5636" width="16.2631578947368" style="298" customWidth="1"/>
    <col min="5637" max="5637" width="16.3947368421053" style="298" customWidth="1"/>
    <col min="5638" max="5638" width="13.8684210526316" style="298" customWidth="1"/>
    <col min="5639" max="5639" width="25.1315789473684" style="298" customWidth="1"/>
    <col min="5640" max="5887" width="9" style="298"/>
    <col min="5888" max="5888" width="16.7368421052632" style="298" customWidth="1"/>
    <col min="5889" max="5889" width="16" style="298" customWidth="1"/>
    <col min="5890" max="5890" width="10.3947368421053" style="298" customWidth="1"/>
    <col min="5891" max="5891" width="9" style="298"/>
    <col min="5892" max="5892" width="16.2631578947368" style="298" customWidth="1"/>
    <col min="5893" max="5893" width="16.3947368421053" style="298" customWidth="1"/>
    <col min="5894" max="5894" width="13.8684210526316" style="298" customWidth="1"/>
    <col min="5895" max="5895" width="25.1315789473684" style="298" customWidth="1"/>
    <col min="5896" max="6143" width="9" style="298"/>
    <col min="6144" max="6144" width="16.7368421052632" style="298" customWidth="1"/>
    <col min="6145" max="6145" width="16" style="298" customWidth="1"/>
    <col min="6146" max="6146" width="10.3947368421053" style="298" customWidth="1"/>
    <col min="6147" max="6147" width="9" style="298"/>
    <col min="6148" max="6148" width="16.2631578947368" style="298" customWidth="1"/>
    <col min="6149" max="6149" width="16.3947368421053" style="298" customWidth="1"/>
    <col min="6150" max="6150" width="13.8684210526316" style="298" customWidth="1"/>
    <col min="6151" max="6151" width="25.1315789473684" style="298" customWidth="1"/>
    <col min="6152" max="6399" width="9" style="298"/>
    <col min="6400" max="6400" width="16.7368421052632" style="298" customWidth="1"/>
    <col min="6401" max="6401" width="16" style="298" customWidth="1"/>
    <col min="6402" max="6402" width="10.3947368421053" style="298" customWidth="1"/>
    <col min="6403" max="6403" width="9" style="298"/>
    <col min="6404" max="6404" width="16.2631578947368" style="298" customWidth="1"/>
    <col min="6405" max="6405" width="16.3947368421053" style="298" customWidth="1"/>
    <col min="6406" max="6406" width="13.8684210526316" style="298" customWidth="1"/>
    <col min="6407" max="6407" width="25.1315789473684" style="298" customWidth="1"/>
    <col min="6408" max="6655" width="9" style="298"/>
    <col min="6656" max="6656" width="16.7368421052632" style="298" customWidth="1"/>
    <col min="6657" max="6657" width="16" style="298" customWidth="1"/>
    <col min="6658" max="6658" width="10.3947368421053" style="298" customWidth="1"/>
    <col min="6659" max="6659" width="9" style="298"/>
    <col min="6660" max="6660" width="16.2631578947368" style="298" customWidth="1"/>
    <col min="6661" max="6661" width="16.3947368421053" style="298" customWidth="1"/>
    <col min="6662" max="6662" width="13.8684210526316" style="298" customWidth="1"/>
    <col min="6663" max="6663" width="25.1315789473684" style="298" customWidth="1"/>
    <col min="6664" max="6911" width="9" style="298"/>
    <col min="6912" max="6912" width="16.7368421052632" style="298" customWidth="1"/>
    <col min="6913" max="6913" width="16" style="298" customWidth="1"/>
    <col min="6914" max="6914" width="10.3947368421053" style="298" customWidth="1"/>
    <col min="6915" max="6915" width="9" style="298"/>
    <col min="6916" max="6916" width="16.2631578947368" style="298" customWidth="1"/>
    <col min="6917" max="6917" width="16.3947368421053" style="298" customWidth="1"/>
    <col min="6918" max="6918" width="13.8684210526316" style="298" customWidth="1"/>
    <col min="6919" max="6919" width="25.1315789473684" style="298" customWidth="1"/>
    <col min="6920" max="7167" width="9" style="298"/>
    <col min="7168" max="7168" width="16.7368421052632" style="298" customWidth="1"/>
    <col min="7169" max="7169" width="16" style="298" customWidth="1"/>
    <col min="7170" max="7170" width="10.3947368421053" style="298" customWidth="1"/>
    <col min="7171" max="7171" width="9" style="298"/>
    <col min="7172" max="7172" width="16.2631578947368" style="298" customWidth="1"/>
    <col min="7173" max="7173" width="16.3947368421053" style="298" customWidth="1"/>
    <col min="7174" max="7174" width="13.8684210526316" style="298" customWidth="1"/>
    <col min="7175" max="7175" width="25.1315789473684" style="298" customWidth="1"/>
    <col min="7176" max="7423" width="9" style="298"/>
    <col min="7424" max="7424" width="16.7368421052632" style="298" customWidth="1"/>
    <col min="7425" max="7425" width="16" style="298" customWidth="1"/>
    <col min="7426" max="7426" width="10.3947368421053" style="298" customWidth="1"/>
    <col min="7427" max="7427" width="9" style="298"/>
    <col min="7428" max="7428" width="16.2631578947368" style="298" customWidth="1"/>
    <col min="7429" max="7429" width="16.3947368421053" style="298" customWidth="1"/>
    <col min="7430" max="7430" width="13.8684210526316" style="298" customWidth="1"/>
    <col min="7431" max="7431" width="25.1315789473684" style="298" customWidth="1"/>
    <col min="7432" max="7679" width="9" style="298"/>
    <col min="7680" max="7680" width="16.7368421052632" style="298" customWidth="1"/>
    <col min="7681" max="7681" width="16" style="298" customWidth="1"/>
    <col min="7682" max="7682" width="10.3947368421053" style="298" customWidth="1"/>
    <col min="7683" max="7683" width="9" style="298"/>
    <col min="7684" max="7684" width="16.2631578947368" style="298" customWidth="1"/>
    <col min="7685" max="7685" width="16.3947368421053" style="298" customWidth="1"/>
    <col min="7686" max="7686" width="13.8684210526316" style="298" customWidth="1"/>
    <col min="7687" max="7687" width="25.1315789473684" style="298" customWidth="1"/>
    <col min="7688" max="7935" width="9" style="298"/>
    <col min="7936" max="7936" width="16.7368421052632" style="298" customWidth="1"/>
    <col min="7937" max="7937" width="16" style="298" customWidth="1"/>
    <col min="7938" max="7938" width="10.3947368421053" style="298" customWidth="1"/>
    <col min="7939" max="7939" width="9" style="298"/>
    <col min="7940" max="7940" width="16.2631578947368" style="298" customWidth="1"/>
    <col min="7941" max="7941" width="16.3947368421053" style="298" customWidth="1"/>
    <col min="7942" max="7942" width="13.8684210526316" style="298" customWidth="1"/>
    <col min="7943" max="7943" width="25.1315789473684" style="298" customWidth="1"/>
    <col min="7944" max="8191" width="9" style="298"/>
    <col min="8192" max="8192" width="16.7368421052632" style="298" customWidth="1"/>
    <col min="8193" max="8193" width="16" style="298" customWidth="1"/>
    <col min="8194" max="8194" width="10.3947368421053" style="298" customWidth="1"/>
    <col min="8195" max="8195" width="9" style="298"/>
    <col min="8196" max="8196" width="16.2631578947368" style="298" customWidth="1"/>
    <col min="8197" max="8197" width="16.3947368421053" style="298" customWidth="1"/>
    <col min="8198" max="8198" width="13.8684210526316" style="298" customWidth="1"/>
    <col min="8199" max="8199" width="25.1315789473684" style="298" customWidth="1"/>
    <col min="8200" max="8447" width="9" style="298"/>
    <col min="8448" max="8448" width="16.7368421052632" style="298" customWidth="1"/>
    <col min="8449" max="8449" width="16" style="298" customWidth="1"/>
    <col min="8450" max="8450" width="10.3947368421053" style="298" customWidth="1"/>
    <col min="8451" max="8451" width="9" style="298"/>
    <col min="8452" max="8452" width="16.2631578947368" style="298" customWidth="1"/>
    <col min="8453" max="8453" width="16.3947368421053" style="298" customWidth="1"/>
    <col min="8454" max="8454" width="13.8684210526316" style="298" customWidth="1"/>
    <col min="8455" max="8455" width="25.1315789473684" style="298" customWidth="1"/>
    <col min="8456" max="8703" width="9" style="298"/>
    <col min="8704" max="8704" width="16.7368421052632" style="298" customWidth="1"/>
    <col min="8705" max="8705" width="16" style="298" customWidth="1"/>
    <col min="8706" max="8706" width="10.3947368421053" style="298" customWidth="1"/>
    <col min="8707" max="8707" width="9" style="298"/>
    <col min="8708" max="8708" width="16.2631578947368" style="298" customWidth="1"/>
    <col min="8709" max="8709" width="16.3947368421053" style="298" customWidth="1"/>
    <col min="8710" max="8710" width="13.8684210526316" style="298" customWidth="1"/>
    <col min="8711" max="8711" width="25.1315789473684" style="298" customWidth="1"/>
    <col min="8712" max="8959" width="9" style="298"/>
    <col min="8960" max="8960" width="16.7368421052632" style="298" customWidth="1"/>
    <col min="8961" max="8961" width="16" style="298" customWidth="1"/>
    <col min="8962" max="8962" width="10.3947368421053" style="298" customWidth="1"/>
    <col min="8963" max="8963" width="9" style="298"/>
    <col min="8964" max="8964" width="16.2631578947368" style="298" customWidth="1"/>
    <col min="8965" max="8965" width="16.3947368421053" style="298" customWidth="1"/>
    <col min="8966" max="8966" width="13.8684210526316" style="298" customWidth="1"/>
    <col min="8967" max="8967" width="25.1315789473684" style="298" customWidth="1"/>
    <col min="8968" max="9215" width="9" style="298"/>
    <col min="9216" max="9216" width="16.7368421052632" style="298" customWidth="1"/>
    <col min="9217" max="9217" width="16" style="298" customWidth="1"/>
    <col min="9218" max="9218" width="10.3947368421053" style="298" customWidth="1"/>
    <col min="9219" max="9219" width="9" style="298"/>
    <col min="9220" max="9220" width="16.2631578947368" style="298" customWidth="1"/>
    <col min="9221" max="9221" width="16.3947368421053" style="298" customWidth="1"/>
    <col min="9222" max="9222" width="13.8684210526316" style="298" customWidth="1"/>
    <col min="9223" max="9223" width="25.1315789473684" style="298" customWidth="1"/>
    <col min="9224" max="9471" width="9" style="298"/>
    <col min="9472" max="9472" width="16.7368421052632" style="298" customWidth="1"/>
    <col min="9473" max="9473" width="16" style="298" customWidth="1"/>
    <col min="9474" max="9474" width="10.3947368421053" style="298" customWidth="1"/>
    <col min="9475" max="9475" width="9" style="298"/>
    <col min="9476" max="9476" width="16.2631578947368" style="298" customWidth="1"/>
    <col min="9477" max="9477" width="16.3947368421053" style="298" customWidth="1"/>
    <col min="9478" max="9478" width="13.8684210526316" style="298" customWidth="1"/>
    <col min="9479" max="9479" width="25.1315789473684" style="298" customWidth="1"/>
    <col min="9480" max="9727" width="9" style="298"/>
    <col min="9728" max="9728" width="16.7368421052632" style="298" customWidth="1"/>
    <col min="9729" max="9729" width="16" style="298" customWidth="1"/>
    <col min="9730" max="9730" width="10.3947368421053" style="298" customWidth="1"/>
    <col min="9731" max="9731" width="9" style="298"/>
    <col min="9732" max="9732" width="16.2631578947368" style="298" customWidth="1"/>
    <col min="9733" max="9733" width="16.3947368421053" style="298" customWidth="1"/>
    <col min="9734" max="9734" width="13.8684210526316" style="298" customWidth="1"/>
    <col min="9735" max="9735" width="25.1315789473684" style="298" customWidth="1"/>
    <col min="9736" max="9983" width="9" style="298"/>
    <col min="9984" max="9984" width="16.7368421052632" style="298" customWidth="1"/>
    <col min="9985" max="9985" width="16" style="298" customWidth="1"/>
    <col min="9986" max="9986" width="10.3947368421053" style="298" customWidth="1"/>
    <col min="9987" max="9987" width="9" style="298"/>
    <col min="9988" max="9988" width="16.2631578947368" style="298" customWidth="1"/>
    <col min="9989" max="9989" width="16.3947368421053" style="298" customWidth="1"/>
    <col min="9990" max="9990" width="13.8684210526316" style="298" customWidth="1"/>
    <col min="9991" max="9991" width="25.1315789473684" style="298" customWidth="1"/>
    <col min="9992" max="10239" width="9" style="298"/>
    <col min="10240" max="10240" width="16.7368421052632" style="298" customWidth="1"/>
    <col min="10241" max="10241" width="16" style="298" customWidth="1"/>
    <col min="10242" max="10242" width="10.3947368421053" style="298" customWidth="1"/>
    <col min="10243" max="10243" width="9" style="298"/>
    <col min="10244" max="10244" width="16.2631578947368" style="298" customWidth="1"/>
    <col min="10245" max="10245" width="16.3947368421053" style="298" customWidth="1"/>
    <col min="10246" max="10246" width="13.8684210526316" style="298" customWidth="1"/>
    <col min="10247" max="10247" width="25.1315789473684" style="298" customWidth="1"/>
    <col min="10248" max="10495" width="9" style="298"/>
    <col min="10496" max="10496" width="16.7368421052632" style="298" customWidth="1"/>
    <col min="10497" max="10497" width="16" style="298" customWidth="1"/>
    <col min="10498" max="10498" width="10.3947368421053" style="298" customWidth="1"/>
    <col min="10499" max="10499" width="9" style="298"/>
    <col min="10500" max="10500" width="16.2631578947368" style="298" customWidth="1"/>
    <col min="10501" max="10501" width="16.3947368421053" style="298" customWidth="1"/>
    <col min="10502" max="10502" width="13.8684210526316" style="298" customWidth="1"/>
    <col min="10503" max="10503" width="25.1315789473684" style="298" customWidth="1"/>
    <col min="10504" max="10751" width="9" style="298"/>
    <col min="10752" max="10752" width="16.7368421052632" style="298" customWidth="1"/>
    <col min="10753" max="10753" width="16" style="298" customWidth="1"/>
    <col min="10754" max="10754" width="10.3947368421053" style="298" customWidth="1"/>
    <col min="10755" max="10755" width="9" style="298"/>
    <col min="10756" max="10756" width="16.2631578947368" style="298" customWidth="1"/>
    <col min="10757" max="10757" width="16.3947368421053" style="298" customWidth="1"/>
    <col min="10758" max="10758" width="13.8684210526316" style="298" customWidth="1"/>
    <col min="10759" max="10759" width="25.1315789473684" style="298" customWidth="1"/>
    <col min="10760" max="11007" width="9" style="298"/>
    <col min="11008" max="11008" width="16.7368421052632" style="298" customWidth="1"/>
    <col min="11009" max="11009" width="16" style="298" customWidth="1"/>
    <col min="11010" max="11010" width="10.3947368421053" style="298" customWidth="1"/>
    <col min="11011" max="11011" width="9" style="298"/>
    <col min="11012" max="11012" width="16.2631578947368" style="298" customWidth="1"/>
    <col min="11013" max="11013" width="16.3947368421053" style="298" customWidth="1"/>
    <col min="11014" max="11014" width="13.8684210526316" style="298" customWidth="1"/>
    <col min="11015" max="11015" width="25.1315789473684" style="298" customWidth="1"/>
    <col min="11016" max="11263" width="9" style="298"/>
    <col min="11264" max="11264" width="16.7368421052632" style="298" customWidth="1"/>
    <col min="11265" max="11265" width="16" style="298" customWidth="1"/>
    <col min="11266" max="11266" width="10.3947368421053" style="298" customWidth="1"/>
    <col min="11267" max="11267" width="9" style="298"/>
    <col min="11268" max="11268" width="16.2631578947368" style="298" customWidth="1"/>
    <col min="11269" max="11269" width="16.3947368421053" style="298" customWidth="1"/>
    <col min="11270" max="11270" width="13.8684210526316" style="298" customWidth="1"/>
    <col min="11271" max="11271" width="25.1315789473684" style="298" customWidth="1"/>
    <col min="11272" max="11519" width="9" style="298"/>
    <col min="11520" max="11520" width="16.7368421052632" style="298" customWidth="1"/>
    <col min="11521" max="11521" width="16" style="298" customWidth="1"/>
    <col min="11522" max="11522" width="10.3947368421053" style="298" customWidth="1"/>
    <col min="11523" max="11523" width="9" style="298"/>
    <col min="11524" max="11524" width="16.2631578947368" style="298" customWidth="1"/>
    <col min="11525" max="11525" width="16.3947368421053" style="298" customWidth="1"/>
    <col min="11526" max="11526" width="13.8684210526316" style="298" customWidth="1"/>
    <col min="11527" max="11527" width="25.1315789473684" style="298" customWidth="1"/>
    <col min="11528" max="11775" width="9" style="298"/>
    <col min="11776" max="11776" width="16.7368421052632" style="298" customWidth="1"/>
    <col min="11777" max="11777" width="16" style="298" customWidth="1"/>
    <col min="11778" max="11778" width="10.3947368421053" style="298" customWidth="1"/>
    <col min="11779" max="11779" width="9" style="298"/>
    <col min="11780" max="11780" width="16.2631578947368" style="298" customWidth="1"/>
    <col min="11781" max="11781" width="16.3947368421053" style="298" customWidth="1"/>
    <col min="11782" max="11782" width="13.8684210526316" style="298" customWidth="1"/>
    <col min="11783" max="11783" width="25.1315789473684" style="298" customWidth="1"/>
    <col min="11784" max="12031" width="9" style="298"/>
    <col min="12032" max="12032" width="16.7368421052632" style="298" customWidth="1"/>
    <col min="12033" max="12033" width="16" style="298" customWidth="1"/>
    <col min="12034" max="12034" width="10.3947368421053" style="298" customWidth="1"/>
    <col min="12035" max="12035" width="9" style="298"/>
    <col min="12036" max="12036" width="16.2631578947368" style="298" customWidth="1"/>
    <col min="12037" max="12037" width="16.3947368421053" style="298" customWidth="1"/>
    <col min="12038" max="12038" width="13.8684210526316" style="298" customWidth="1"/>
    <col min="12039" max="12039" width="25.1315789473684" style="298" customWidth="1"/>
    <col min="12040" max="12287" width="9" style="298"/>
    <col min="12288" max="12288" width="16.7368421052632" style="298" customWidth="1"/>
    <col min="12289" max="12289" width="16" style="298" customWidth="1"/>
    <col min="12290" max="12290" width="10.3947368421053" style="298" customWidth="1"/>
    <col min="12291" max="12291" width="9" style="298"/>
    <col min="12292" max="12292" width="16.2631578947368" style="298" customWidth="1"/>
    <col min="12293" max="12293" width="16.3947368421053" style="298" customWidth="1"/>
    <col min="12294" max="12294" width="13.8684210526316" style="298" customWidth="1"/>
    <col min="12295" max="12295" width="25.1315789473684" style="298" customWidth="1"/>
    <col min="12296" max="12543" width="9" style="298"/>
    <col min="12544" max="12544" width="16.7368421052632" style="298" customWidth="1"/>
    <col min="12545" max="12545" width="16" style="298" customWidth="1"/>
    <col min="12546" max="12546" width="10.3947368421053" style="298" customWidth="1"/>
    <col min="12547" max="12547" width="9" style="298"/>
    <col min="12548" max="12548" width="16.2631578947368" style="298" customWidth="1"/>
    <col min="12549" max="12549" width="16.3947368421053" style="298" customWidth="1"/>
    <col min="12550" max="12550" width="13.8684210526316" style="298" customWidth="1"/>
    <col min="12551" max="12551" width="25.1315789473684" style="298" customWidth="1"/>
    <col min="12552" max="12799" width="9" style="298"/>
    <col min="12800" max="12800" width="16.7368421052632" style="298" customWidth="1"/>
    <col min="12801" max="12801" width="16" style="298" customWidth="1"/>
    <col min="12802" max="12802" width="10.3947368421053" style="298" customWidth="1"/>
    <col min="12803" max="12803" width="9" style="298"/>
    <col min="12804" max="12804" width="16.2631578947368" style="298" customWidth="1"/>
    <col min="12805" max="12805" width="16.3947368421053" style="298" customWidth="1"/>
    <col min="12806" max="12806" width="13.8684210526316" style="298" customWidth="1"/>
    <col min="12807" max="12807" width="25.1315789473684" style="298" customWidth="1"/>
    <col min="12808" max="13055" width="9" style="298"/>
    <col min="13056" max="13056" width="16.7368421052632" style="298" customWidth="1"/>
    <col min="13057" max="13057" width="16" style="298" customWidth="1"/>
    <col min="13058" max="13058" width="10.3947368421053" style="298" customWidth="1"/>
    <col min="13059" max="13059" width="9" style="298"/>
    <col min="13060" max="13060" width="16.2631578947368" style="298" customWidth="1"/>
    <col min="13061" max="13061" width="16.3947368421053" style="298" customWidth="1"/>
    <col min="13062" max="13062" width="13.8684210526316" style="298" customWidth="1"/>
    <col min="13063" max="13063" width="25.1315789473684" style="298" customWidth="1"/>
    <col min="13064" max="13311" width="9" style="298"/>
    <col min="13312" max="13312" width="16.7368421052632" style="298" customWidth="1"/>
    <col min="13313" max="13313" width="16" style="298" customWidth="1"/>
    <col min="13314" max="13314" width="10.3947368421053" style="298" customWidth="1"/>
    <col min="13315" max="13315" width="9" style="298"/>
    <col min="13316" max="13316" width="16.2631578947368" style="298" customWidth="1"/>
    <col min="13317" max="13317" width="16.3947368421053" style="298" customWidth="1"/>
    <col min="13318" max="13318" width="13.8684210526316" style="298" customWidth="1"/>
    <col min="13319" max="13319" width="25.1315789473684" style="298" customWidth="1"/>
    <col min="13320" max="13567" width="9" style="298"/>
    <col min="13568" max="13568" width="16.7368421052632" style="298" customWidth="1"/>
    <col min="13569" max="13569" width="16" style="298" customWidth="1"/>
    <col min="13570" max="13570" width="10.3947368421053" style="298" customWidth="1"/>
    <col min="13571" max="13571" width="9" style="298"/>
    <col min="13572" max="13572" width="16.2631578947368" style="298" customWidth="1"/>
    <col min="13573" max="13573" width="16.3947368421053" style="298" customWidth="1"/>
    <col min="13574" max="13574" width="13.8684210526316" style="298" customWidth="1"/>
    <col min="13575" max="13575" width="25.1315789473684" style="298" customWidth="1"/>
    <col min="13576" max="13823" width="9" style="298"/>
    <col min="13824" max="13824" width="16.7368421052632" style="298" customWidth="1"/>
    <col min="13825" max="13825" width="16" style="298" customWidth="1"/>
    <col min="13826" max="13826" width="10.3947368421053" style="298" customWidth="1"/>
    <col min="13827" max="13827" width="9" style="298"/>
    <col min="13828" max="13828" width="16.2631578947368" style="298" customWidth="1"/>
    <col min="13829" max="13829" width="16.3947368421053" style="298" customWidth="1"/>
    <col min="13830" max="13830" width="13.8684210526316" style="298" customWidth="1"/>
    <col min="13831" max="13831" width="25.1315789473684" style="298" customWidth="1"/>
    <col min="13832" max="14079" width="9" style="298"/>
    <col min="14080" max="14080" width="16.7368421052632" style="298" customWidth="1"/>
    <col min="14081" max="14081" width="16" style="298" customWidth="1"/>
    <col min="14082" max="14082" width="10.3947368421053" style="298" customWidth="1"/>
    <col min="14083" max="14083" width="9" style="298"/>
    <col min="14084" max="14084" width="16.2631578947368" style="298" customWidth="1"/>
    <col min="14085" max="14085" width="16.3947368421053" style="298" customWidth="1"/>
    <col min="14086" max="14086" width="13.8684210526316" style="298" customWidth="1"/>
    <col min="14087" max="14087" width="25.1315789473684" style="298" customWidth="1"/>
    <col min="14088" max="14335" width="9" style="298"/>
    <col min="14336" max="14336" width="16.7368421052632" style="298" customWidth="1"/>
    <col min="14337" max="14337" width="16" style="298" customWidth="1"/>
    <col min="14338" max="14338" width="10.3947368421053" style="298" customWidth="1"/>
    <col min="14339" max="14339" width="9" style="298"/>
    <col min="14340" max="14340" width="16.2631578947368" style="298" customWidth="1"/>
    <col min="14341" max="14341" width="16.3947368421053" style="298" customWidth="1"/>
    <col min="14342" max="14342" width="13.8684210526316" style="298" customWidth="1"/>
    <col min="14343" max="14343" width="25.1315789473684" style="298" customWidth="1"/>
    <col min="14344" max="14591" width="9" style="298"/>
    <col min="14592" max="14592" width="16.7368421052632" style="298" customWidth="1"/>
    <col min="14593" max="14593" width="16" style="298" customWidth="1"/>
    <col min="14594" max="14594" width="10.3947368421053" style="298" customWidth="1"/>
    <col min="14595" max="14595" width="9" style="298"/>
    <col min="14596" max="14596" width="16.2631578947368" style="298" customWidth="1"/>
    <col min="14597" max="14597" width="16.3947368421053" style="298" customWidth="1"/>
    <col min="14598" max="14598" width="13.8684210526316" style="298" customWidth="1"/>
    <col min="14599" max="14599" width="25.1315789473684" style="298" customWidth="1"/>
    <col min="14600" max="14847" width="9" style="298"/>
    <col min="14848" max="14848" width="16.7368421052632" style="298" customWidth="1"/>
    <col min="14849" max="14849" width="16" style="298" customWidth="1"/>
    <col min="14850" max="14850" width="10.3947368421053" style="298" customWidth="1"/>
    <col min="14851" max="14851" width="9" style="298"/>
    <col min="14852" max="14852" width="16.2631578947368" style="298" customWidth="1"/>
    <col min="14853" max="14853" width="16.3947368421053" style="298" customWidth="1"/>
    <col min="14854" max="14854" width="13.8684210526316" style="298" customWidth="1"/>
    <col min="14855" max="14855" width="25.1315789473684" style="298" customWidth="1"/>
    <col min="14856" max="15103" width="9" style="298"/>
    <col min="15104" max="15104" width="16.7368421052632" style="298" customWidth="1"/>
    <col min="15105" max="15105" width="16" style="298" customWidth="1"/>
    <col min="15106" max="15106" width="10.3947368421053" style="298" customWidth="1"/>
    <col min="15107" max="15107" width="9" style="298"/>
    <col min="15108" max="15108" width="16.2631578947368" style="298" customWidth="1"/>
    <col min="15109" max="15109" width="16.3947368421053" style="298" customWidth="1"/>
    <col min="15110" max="15110" width="13.8684210526316" style="298" customWidth="1"/>
    <col min="15111" max="15111" width="25.1315789473684" style="298" customWidth="1"/>
    <col min="15112" max="15359" width="9" style="298"/>
    <col min="15360" max="15360" width="16.7368421052632" style="298" customWidth="1"/>
    <col min="15361" max="15361" width="16" style="298" customWidth="1"/>
    <col min="15362" max="15362" width="10.3947368421053" style="298" customWidth="1"/>
    <col min="15363" max="15363" width="9" style="298"/>
    <col min="15364" max="15364" width="16.2631578947368" style="298" customWidth="1"/>
    <col min="15365" max="15365" width="16.3947368421053" style="298" customWidth="1"/>
    <col min="15366" max="15366" width="13.8684210526316" style="298" customWidth="1"/>
    <col min="15367" max="15367" width="25.1315789473684" style="298" customWidth="1"/>
    <col min="15368" max="15615" width="9" style="298"/>
    <col min="15616" max="15616" width="16.7368421052632" style="298" customWidth="1"/>
    <col min="15617" max="15617" width="16" style="298" customWidth="1"/>
    <col min="15618" max="15618" width="10.3947368421053" style="298" customWidth="1"/>
    <col min="15619" max="15619" width="9" style="298"/>
    <col min="15620" max="15620" width="16.2631578947368" style="298" customWidth="1"/>
    <col min="15621" max="15621" width="16.3947368421053" style="298" customWidth="1"/>
    <col min="15622" max="15622" width="13.8684210526316" style="298" customWidth="1"/>
    <col min="15623" max="15623" width="25.1315789473684" style="298" customWidth="1"/>
    <col min="15624" max="15871" width="9" style="298"/>
    <col min="15872" max="15872" width="16.7368421052632" style="298" customWidth="1"/>
    <col min="15873" max="15873" width="16" style="298" customWidth="1"/>
    <col min="15874" max="15874" width="10.3947368421053" style="298" customWidth="1"/>
    <col min="15875" max="15875" width="9" style="298"/>
    <col min="15876" max="15876" width="16.2631578947368" style="298" customWidth="1"/>
    <col min="15877" max="15877" width="16.3947368421053" style="298" customWidth="1"/>
    <col min="15878" max="15878" width="13.8684210526316" style="298" customWidth="1"/>
    <col min="15879" max="15879" width="25.1315789473684" style="298" customWidth="1"/>
    <col min="15880" max="16127" width="9" style="298"/>
    <col min="16128" max="16128" width="16.7368421052632" style="298" customWidth="1"/>
    <col min="16129" max="16129" width="16" style="298" customWidth="1"/>
    <col min="16130" max="16130" width="10.3947368421053" style="298" customWidth="1"/>
    <col min="16131" max="16131" width="9" style="298"/>
    <col min="16132" max="16132" width="16.2631578947368" style="298" customWidth="1"/>
    <col min="16133" max="16133" width="16.3947368421053" style="298" customWidth="1"/>
    <col min="16134" max="16134" width="13.8684210526316" style="298" customWidth="1"/>
    <col min="16135" max="16135" width="25.1315789473684" style="298" customWidth="1"/>
    <col min="16136" max="16384" width="9" style="298"/>
  </cols>
  <sheetData>
    <row r="1" ht="63" customHeight="1" spans="1:162">
      <c r="A1" s="299"/>
      <c r="B1" s="299"/>
      <c r="C1" s="299"/>
      <c r="D1" s="299"/>
      <c r="E1" s="299"/>
      <c r="F1" s="299"/>
      <c r="G1" s="299"/>
      <c r="H1" s="300"/>
      <c r="I1" s="300"/>
      <c r="J1" s="300"/>
      <c r="K1" s="300"/>
      <c r="L1" s="300"/>
      <c r="M1" s="300"/>
      <c r="N1" s="300"/>
      <c r="O1" s="300"/>
      <c r="P1" s="300"/>
      <c r="Q1" s="300"/>
      <c r="R1" s="300"/>
      <c r="S1" s="300"/>
      <c r="T1" s="300"/>
      <c r="U1" s="300"/>
      <c r="V1" s="300"/>
      <c r="W1" s="300"/>
      <c r="X1" s="300"/>
      <c r="Y1" s="300"/>
      <c r="Z1" s="300"/>
      <c r="AA1" s="300"/>
      <c r="AB1" s="300"/>
      <c r="AC1" s="300"/>
      <c r="AD1" s="300"/>
      <c r="AE1" s="300"/>
      <c r="AF1" s="300"/>
      <c r="AG1" s="300"/>
      <c r="AH1" s="300"/>
      <c r="AI1" s="300"/>
      <c r="AJ1" s="300"/>
      <c r="AK1" s="300"/>
      <c r="AL1" s="300"/>
      <c r="AM1" s="300"/>
      <c r="AN1" s="300"/>
      <c r="AO1" s="300"/>
      <c r="AP1" s="300"/>
      <c r="AQ1" s="300"/>
      <c r="AR1" s="300"/>
      <c r="AS1" s="300"/>
      <c r="AT1" s="300"/>
      <c r="AU1" s="300"/>
      <c r="AV1" s="300"/>
      <c r="AW1" s="300"/>
      <c r="AX1" s="300"/>
      <c r="AY1" s="300"/>
      <c r="AZ1" s="300"/>
      <c r="BA1" s="300"/>
      <c r="BB1" s="300"/>
      <c r="BC1" s="300"/>
      <c r="BD1" s="300"/>
      <c r="BE1" s="300"/>
      <c r="BF1" s="300"/>
      <c r="BG1" s="300"/>
      <c r="BH1" s="300"/>
      <c r="BI1" s="300"/>
      <c r="BJ1" s="300"/>
      <c r="BK1" s="300"/>
      <c r="BL1" s="300"/>
      <c r="BM1" s="300"/>
      <c r="BN1" s="300"/>
      <c r="BO1" s="300"/>
      <c r="BP1" s="300"/>
      <c r="BQ1" s="300"/>
      <c r="BR1" s="300"/>
      <c r="BS1" s="300"/>
      <c r="BT1" s="300"/>
      <c r="BU1" s="300"/>
      <c r="BV1" s="300"/>
      <c r="BW1" s="300"/>
      <c r="BX1" s="300"/>
      <c r="BY1" s="300"/>
      <c r="BZ1" s="300"/>
      <c r="CA1" s="300"/>
      <c r="CB1" s="300"/>
      <c r="CC1" s="300"/>
      <c r="CD1" s="300"/>
      <c r="CE1" s="300"/>
      <c r="CF1" s="300"/>
      <c r="CG1" s="300"/>
      <c r="CH1" s="300"/>
      <c r="CI1" s="300"/>
      <c r="CJ1" s="300"/>
      <c r="CK1" s="300"/>
      <c r="CL1" s="300"/>
      <c r="CM1" s="300"/>
      <c r="CN1" s="300"/>
      <c r="CO1" s="300"/>
      <c r="CP1" s="300"/>
      <c r="CQ1" s="300"/>
      <c r="CR1" s="300"/>
      <c r="CS1" s="300"/>
      <c r="CT1" s="300"/>
      <c r="CU1" s="300"/>
      <c r="CV1" s="300"/>
      <c r="CW1" s="300"/>
      <c r="CX1" s="300"/>
      <c r="CY1" s="300"/>
      <c r="CZ1" s="300"/>
      <c r="DA1" s="300"/>
      <c r="DB1" s="300"/>
      <c r="DC1" s="300"/>
      <c r="DD1" s="300"/>
      <c r="DE1" s="300"/>
      <c r="DF1" s="300"/>
      <c r="DG1" s="300"/>
      <c r="DH1" s="300"/>
      <c r="DI1" s="300"/>
      <c r="DJ1" s="300"/>
      <c r="DK1" s="300"/>
      <c r="DL1" s="300"/>
      <c r="DM1" s="300"/>
      <c r="DN1" s="300"/>
      <c r="DO1" s="300"/>
      <c r="DP1" s="300"/>
      <c r="DQ1" s="300"/>
      <c r="DR1" s="300"/>
      <c r="DS1" s="300"/>
      <c r="DT1" s="300"/>
      <c r="DU1" s="300"/>
      <c r="DV1" s="300"/>
      <c r="DW1" s="300"/>
      <c r="DX1" s="300"/>
      <c r="DY1" s="300"/>
      <c r="DZ1" s="300"/>
      <c r="EA1" s="300"/>
      <c r="EB1" s="300"/>
      <c r="EC1" s="300"/>
      <c r="ED1" s="300"/>
      <c r="EE1" s="300"/>
      <c r="EF1" s="300"/>
      <c r="EG1" s="300"/>
      <c r="EH1" s="300"/>
      <c r="EI1" s="300"/>
      <c r="EJ1" s="300"/>
      <c r="EK1" s="300"/>
      <c r="EL1" s="300"/>
      <c r="EM1" s="300"/>
      <c r="EN1" s="300"/>
      <c r="EO1" s="300"/>
      <c r="EP1" s="300"/>
      <c r="EQ1" s="300"/>
      <c r="ER1" s="300"/>
      <c r="ES1" s="300"/>
      <c r="ET1" s="300"/>
      <c r="EU1" s="300"/>
      <c r="EV1" s="300"/>
      <c r="EW1" s="300"/>
      <c r="EX1" s="300"/>
      <c r="EY1" s="300"/>
      <c r="EZ1" s="300"/>
      <c r="FA1" s="300"/>
      <c r="FB1" s="300"/>
      <c r="FC1" s="300"/>
      <c r="FD1" s="300"/>
      <c r="FE1" s="300"/>
      <c r="FF1" s="300"/>
    </row>
    <row r="2" ht="19.95" spans="1:162">
      <c r="A2" s="301" t="s">
        <v>0</v>
      </c>
      <c r="B2" s="301"/>
      <c r="C2" s="301"/>
      <c r="D2" s="301"/>
      <c r="E2" s="301"/>
      <c r="F2" s="302"/>
      <c r="G2" s="301"/>
      <c r="H2" s="300"/>
      <c r="I2" s="300"/>
      <c r="J2" s="300"/>
      <c r="K2" s="300"/>
      <c r="L2" s="300"/>
      <c r="M2" s="300"/>
      <c r="N2" s="300"/>
      <c r="O2" s="300"/>
      <c r="P2" s="300"/>
      <c r="Q2" s="300"/>
      <c r="R2" s="300"/>
      <c r="S2" s="300"/>
      <c r="T2" s="300"/>
      <c r="U2" s="300"/>
      <c r="V2" s="300"/>
      <c r="W2" s="300"/>
      <c r="X2" s="300"/>
      <c r="Y2" s="300"/>
      <c r="Z2" s="300"/>
      <c r="AA2" s="300"/>
      <c r="AB2" s="300"/>
      <c r="AC2" s="300"/>
      <c r="AD2" s="300"/>
      <c r="AE2" s="300"/>
      <c r="AF2" s="300"/>
      <c r="AG2" s="300"/>
      <c r="AH2" s="300"/>
      <c r="AI2" s="300"/>
      <c r="AJ2" s="300"/>
      <c r="AK2" s="300"/>
      <c r="AL2" s="300"/>
      <c r="AM2" s="300"/>
      <c r="AN2" s="300"/>
      <c r="AO2" s="300"/>
      <c r="AP2" s="300"/>
      <c r="AQ2" s="300"/>
      <c r="AR2" s="300"/>
      <c r="AS2" s="300"/>
      <c r="AT2" s="300"/>
      <c r="AU2" s="300"/>
      <c r="AV2" s="300"/>
      <c r="AW2" s="300"/>
      <c r="AX2" s="300"/>
      <c r="AY2" s="300"/>
      <c r="AZ2" s="300"/>
      <c r="BA2" s="300"/>
      <c r="BB2" s="300"/>
      <c r="BC2" s="300"/>
      <c r="BD2" s="300"/>
      <c r="BE2" s="300"/>
      <c r="BF2" s="300"/>
      <c r="BG2" s="300"/>
      <c r="BH2" s="300"/>
      <c r="BI2" s="300"/>
      <c r="BJ2" s="300"/>
      <c r="BK2" s="300"/>
      <c r="BL2" s="300"/>
      <c r="BM2" s="300"/>
      <c r="BN2" s="300"/>
      <c r="BO2" s="300"/>
      <c r="BP2" s="300"/>
      <c r="BQ2" s="300"/>
      <c r="BR2" s="300"/>
      <c r="BS2" s="300"/>
      <c r="BT2" s="300"/>
      <c r="BU2" s="300"/>
      <c r="BV2" s="300"/>
      <c r="BW2" s="300"/>
      <c r="BX2" s="300"/>
      <c r="BY2" s="300"/>
      <c r="BZ2" s="300"/>
      <c r="CA2" s="300"/>
      <c r="CB2" s="300"/>
      <c r="CC2" s="300"/>
      <c r="CD2" s="300"/>
      <c r="CE2" s="300"/>
      <c r="CF2" s="300"/>
      <c r="CG2" s="300"/>
      <c r="CH2" s="300"/>
      <c r="CI2" s="300"/>
      <c r="CJ2" s="300"/>
      <c r="CK2" s="300"/>
      <c r="CL2" s="300"/>
      <c r="CM2" s="300"/>
      <c r="CN2" s="300"/>
      <c r="CO2" s="300"/>
      <c r="CP2" s="300"/>
      <c r="CQ2" s="300"/>
      <c r="CR2" s="300"/>
      <c r="CS2" s="300"/>
      <c r="CT2" s="300"/>
      <c r="CU2" s="300"/>
      <c r="CV2" s="300"/>
      <c r="CW2" s="300"/>
      <c r="CX2" s="300"/>
      <c r="CY2" s="300"/>
      <c r="CZ2" s="300"/>
      <c r="DA2" s="300"/>
      <c r="DB2" s="300"/>
      <c r="DC2" s="300"/>
      <c r="DD2" s="300"/>
      <c r="DE2" s="300"/>
      <c r="DF2" s="300"/>
      <c r="DG2" s="300"/>
      <c r="DH2" s="300"/>
      <c r="DI2" s="300"/>
      <c r="DJ2" s="300"/>
      <c r="DK2" s="300"/>
      <c r="DL2" s="300"/>
      <c r="DM2" s="300"/>
      <c r="DN2" s="300"/>
      <c r="DO2" s="300"/>
      <c r="DP2" s="300"/>
      <c r="DQ2" s="300"/>
      <c r="DR2" s="300"/>
      <c r="DS2" s="300"/>
      <c r="DT2" s="300"/>
      <c r="DU2" s="300"/>
      <c r="DV2" s="300"/>
      <c r="DW2" s="300"/>
      <c r="DX2" s="300"/>
      <c r="DY2" s="300"/>
      <c r="DZ2" s="300"/>
      <c r="EA2" s="300"/>
      <c r="EB2" s="300"/>
      <c r="EC2" s="300"/>
      <c r="ED2" s="300"/>
      <c r="EE2" s="300"/>
      <c r="EF2" s="300"/>
      <c r="EG2" s="300"/>
      <c r="EH2" s="300"/>
      <c r="EI2" s="300"/>
      <c r="EJ2" s="300"/>
      <c r="EK2" s="300"/>
      <c r="EL2" s="300"/>
      <c r="EM2" s="300"/>
      <c r="EN2" s="300"/>
      <c r="EO2" s="300"/>
      <c r="EP2" s="300"/>
      <c r="EQ2" s="300"/>
      <c r="ER2" s="300"/>
      <c r="ES2" s="300"/>
      <c r="ET2" s="300"/>
      <c r="EU2" s="300"/>
      <c r="EV2" s="300"/>
      <c r="EW2" s="300"/>
      <c r="EX2" s="300"/>
      <c r="EY2" s="300"/>
      <c r="EZ2" s="300"/>
      <c r="FA2" s="300"/>
      <c r="FB2" s="300"/>
      <c r="FC2" s="300"/>
      <c r="FD2" s="300"/>
      <c r="FE2" s="300"/>
      <c r="FF2" s="300"/>
    </row>
    <row r="3" ht="19.95" spans="1:162">
      <c r="A3" s="301" t="s">
        <v>58</v>
      </c>
      <c r="B3" s="301"/>
      <c r="C3" s="301"/>
      <c r="D3" s="301"/>
      <c r="E3" s="301"/>
      <c r="F3" s="302"/>
      <c r="G3" s="301"/>
      <c r="H3" s="300"/>
      <c r="I3" s="300"/>
      <c r="J3" s="300"/>
      <c r="K3" s="300"/>
      <c r="L3" s="300"/>
      <c r="M3" s="300"/>
      <c r="N3" s="300"/>
      <c r="O3" s="300"/>
      <c r="P3" s="300"/>
      <c r="Q3" s="300"/>
      <c r="R3" s="300"/>
      <c r="S3" s="300"/>
      <c r="T3" s="300"/>
      <c r="U3" s="300"/>
      <c r="V3" s="300"/>
      <c r="W3" s="300"/>
      <c r="X3" s="300"/>
      <c r="Y3" s="300"/>
      <c r="Z3" s="300"/>
      <c r="AA3" s="300"/>
      <c r="AB3" s="300"/>
      <c r="AC3" s="300"/>
      <c r="AD3" s="300"/>
      <c r="AE3" s="300"/>
      <c r="AF3" s="300"/>
      <c r="AG3" s="300"/>
      <c r="AH3" s="300"/>
      <c r="AI3" s="300"/>
      <c r="AJ3" s="300"/>
      <c r="AK3" s="300"/>
      <c r="AL3" s="300"/>
      <c r="AM3" s="300"/>
      <c r="AN3" s="300"/>
      <c r="AO3" s="300"/>
      <c r="AP3" s="300"/>
      <c r="AQ3" s="300"/>
      <c r="AR3" s="300"/>
      <c r="AS3" s="300"/>
      <c r="AT3" s="300"/>
      <c r="AU3" s="300"/>
      <c r="AV3" s="300"/>
      <c r="AW3" s="300"/>
      <c r="AX3" s="300"/>
      <c r="AY3" s="300"/>
      <c r="AZ3" s="300"/>
      <c r="BA3" s="300"/>
      <c r="BB3" s="300"/>
      <c r="BC3" s="300"/>
      <c r="BD3" s="300"/>
      <c r="BE3" s="300"/>
      <c r="BF3" s="300"/>
      <c r="BG3" s="300"/>
      <c r="BH3" s="300"/>
      <c r="BI3" s="300"/>
      <c r="BJ3" s="300"/>
      <c r="BK3" s="300"/>
      <c r="BL3" s="300"/>
      <c r="BM3" s="300"/>
      <c r="BN3" s="300"/>
      <c r="BO3" s="300"/>
      <c r="BP3" s="300"/>
      <c r="BQ3" s="300"/>
      <c r="BR3" s="300"/>
      <c r="BS3" s="300"/>
      <c r="BT3" s="300"/>
      <c r="BU3" s="300"/>
      <c r="BV3" s="300"/>
      <c r="BW3" s="300"/>
      <c r="BX3" s="300"/>
      <c r="BY3" s="300"/>
      <c r="BZ3" s="300"/>
      <c r="CA3" s="300"/>
      <c r="CB3" s="300"/>
      <c r="CC3" s="300"/>
      <c r="CD3" s="300"/>
      <c r="CE3" s="300"/>
      <c r="CF3" s="300"/>
      <c r="CG3" s="300"/>
      <c r="CH3" s="300"/>
      <c r="CI3" s="300"/>
      <c r="CJ3" s="300"/>
      <c r="CK3" s="300"/>
      <c r="CL3" s="300"/>
      <c r="CM3" s="300"/>
      <c r="CN3" s="300"/>
      <c r="CO3" s="300"/>
      <c r="CP3" s="300"/>
      <c r="CQ3" s="300"/>
      <c r="CR3" s="300"/>
      <c r="CS3" s="300"/>
      <c r="CT3" s="300"/>
      <c r="CU3" s="300"/>
      <c r="CV3" s="300"/>
      <c r="CW3" s="300"/>
      <c r="CX3" s="300"/>
      <c r="CY3" s="300"/>
      <c r="CZ3" s="300"/>
      <c r="DA3" s="300"/>
      <c r="DB3" s="300"/>
      <c r="DC3" s="300"/>
      <c r="DD3" s="300"/>
      <c r="DE3" s="300"/>
      <c r="DF3" s="300"/>
      <c r="DG3" s="300"/>
      <c r="DH3" s="300"/>
      <c r="DI3" s="300"/>
      <c r="DJ3" s="300"/>
      <c r="DK3" s="300"/>
      <c r="DL3" s="300"/>
      <c r="DM3" s="300"/>
      <c r="DN3" s="300"/>
      <c r="DO3" s="300"/>
      <c r="DP3" s="300"/>
      <c r="DQ3" s="300"/>
      <c r="DR3" s="300"/>
      <c r="DS3" s="300"/>
      <c r="DT3" s="300"/>
      <c r="DU3" s="300"/>
      <c r="DV3" s="300"/>
      <c r="DW3" s="300"/>
      <c r="DX3" s="300"/>
      <c r="DY3" s="300"/>
      <c r="DZ3" s="300"/>
      <c r="EA3" s="300"/>
      <c r="EB3" s="300"/>
      <c r="EC3" s="300"/>
      <c r="ED3" s="300"/>
      <c r="EE3" s="300"/>
      <c r="EF3" s="300"/>
      <c r="EG3" s="300"/>
      <c r="EH3" s="300"/>
      <c r="EI3" s="300"/>
      <c r="EJ3" s="300"/>
      <c r="EK3" s="300"/>
      <c r="EL3" s="300"/>
      <c r="EM3" s="300"/>
      <c r="EN3" s="300"/>
      <c r="EO3" s="300"/>
      <c r="EP3" s="300"/>
      <c r="EQ3" s="300"/>
      <c r="ER3" s="300"/>
      <c r="ES3" s="300"/>
      <c r="ET3" s="300"/>
      <c r="EU3" s="300"/>
      <c r="EV3" s="300"/>
      <c r="EW3" s="300"/>
      <c r="EX3" s="300"/>
      <c r="EY3" s="300"/>
      <c r="EZ3" s="300"/>
      <c r="FA3" s="300"/>
      <c r="FB3" s="300"/>
      <c r="FC3" s="300"/>
      <c r="FD3" s="300"/>
      <c r="FE3" s="300"/>
      <c r="FF3" s="300"/>
    </row>
    <row r="4" ht="19.95" spans="1:162">
      <c r="A4" s="301" t="s">
        <v>59</v>
      </c>
      <c r="B4" s="301"/>
      <c r="C4" s="301"/>
      <c r="D4" s="301"/>
      <c r="E4" s="301"/>
      <c r="F4" s="302"/>
      <c r="G4" s="301"/>
      <c r="H4" s="300"/>
      <c r="I4" s="300"/>
      <c r="J4" s="300"/>
      <c r="K4" s="300"/>
      <c r="L4" s="300"/>
      <c r="M4" s="300"/>
      <c r="N4" s="300"/>
      <c r="O4" s="300"/>
      <c r="P4" s="300"/>
      <c r="Q4" s="300"/>
      <c r="R4" s="300"/>
      <c r="S4" s="300"/>
      <c r="T4" s="300"/>
      <c r="U4" s="300"/>
      <c r="V4" s="300"/>
      <c r="W4" s="300"/>
      <c r="X4" s="300"/>
      <c r="Y4" s="300"/>
      <c r="Z4" s="300"/>
      <c r="AA4" s="300"/>
      <c r="AB4" s="300"/>
      <c r="AC4" s="300"/>
      <c r="AD4" s="300"/>
      <c r="AE4" s="300"/>
      <c r="AF4" s="300"/>
      <c r="AG4" s="300"/>
      <c r="AH4" s="300"/>
      <c r="AI4" s="300"/>
      <c r="AJ4" s="300"/>
      <c r="AK4" s="300"/>
      <c r="AL4" s="300"/>
      <c r="AM4" s="300"/>
      <c r="AN4" s="300"/>
      <c r="AO4" s="300"/>
      <c r="AP4" s="300"/>
      <c r="AQ4" s="300"/>
      <c r="AR4" s="300"/>
      <c r="AS4" s="300"/>
      <c r="AT4" s="300"/>
      <c r="AU4" s="300"/>
      <c r="AV4" s="300"/>
      <c r="AW4" s="300"/>
      <c r="AX4" s="300"/>
      <c r="AY4" s="300"/>
      <c r="AZ4" s="300"/>
      <c r="BA4" s="300"/>
      <c r="BB4" s="300"/>
      <c r="BC4" s="300"/>
      <c r="BD4" s="300"/>
      <c r="BE4" s="300"/>
      <c r="BF4" s="300"/>
      <c r="BG4" s="300"/>
      <c r="BH4" s="300"/>
      <c r="BI4" s="300"/>
      <c r="BJ4" s="300"/>
      <c r="BK4" s="300"/>
      <c r="BL4" s="300"/>
      <c r="BM4" s="300"/>
      <c r="BN4" s="300"/>
      <c r="BO4" s="300"/>
      <c r="BP4" s="300"/>
      <c r="BQ4" s="300"/>
      <c r="BR4" s="300"/>
      <c r="BS4" s="300"/>
      <c r="BT4" s="300"/>
      <c r="BU4" s="300"/>
      <c r="BV4" s="300"/>
      <c r="BW4" s="300"/>
      <c r="BX4" s="300"/>
      <c r="BY4" s="300"/>
      <c r="BZ4" s="300"/>
      <c r="CA4" s="300"/>
      <c r="CB4" s="300"/>
      <c r="CC4" s="300"/>
      <c r="CD4" s="300"/>
      <c r="CE4" s="300"/>
      <c r="CF4" s="300"/>
      <c r="CG4" s="300"/>
      <c r="CH4" s="300"/>
      <c r="CI4" s="300"/>
      <c r="CJ4" s="300"/>
      <c r="CK4" s="300"/>
      <c r="CL4" s="300"/>
      <c r="CM4" s="300"/>
      <c r="CN4" s="300"/>
      <c r="CO4" s="300"/>
      <c r="CP4" s="300"/>
      <c r="CQ4" s="300"/>
      <c r="CR4" s="300"/>
      <c r="CS4" s="300"/>
      <c r="CT4" s="300"/>
      <c r="CU4" s="300"/>
      <c r="CV4" s="300"/>
      <c r="CW4" s="300"/>
      <c r="CX4" s="300"/>
      <c r="CY4" s="300"/>
      <c r="CZ4" s="300"/>
      <c r="DA4" s="300"/>
      <c r="DB4" s="300"/>
      <c r="DC4" s="300"/>
      <c r="DD4" s="300"/>
      <c r="DE4" s="300"/>
      <c r="DF4" s="300"/>
      <c r="DG4" s="300"/>
      <c r="DH4" s="300"/>
      <c r="DI4" s="300"/>
      <c r="DJ4" s="300"/>
      <c r="DK4" s="300"/>
      <c r="DL4" s="300"/>
      <c r="DM4" s="300"/>
      <c r="DN4" s="300"/>
      <c r="DO4" s="300"/>
      <c r="DP4" s="300"/>
      <c r="DQ4" s="300"/>
      <c r="DR4" s="300"/>
      <c r="DS4" s="300"/>
      <c r="DT4" s="300"/>
      <c r="DU4" s="300"/>
      <c r="DV4" s="300"/>
      <c r="DW4" s="300"/>
      <c r="DX4" s="300"/>
      <c r="DY4" s="300"/>
      <c r="DZ4" s="300"/>
      <c r="EA4" s="300"/>
      <c r="EB4" s="300"/>
      <c r="EC4" s="300"/>
      <c r="ED4" s="300"/>
      <c r="EE4" s="300"/>
      <c r="EF4" s="300"/>
      <c r="EG4" s="300"/>
      <c r="EH4" s="300"/>
      <c r="EI4" s="300"/>
      <c r="EJ4" s="300"/>
      <c r="EK4" s="300"/>
      <c r="EL4" s="300"/>
      <c r="EM4" s="300"/>
      <c r="EN4" s="300"/>
      <c r="EO4" s="300"/>
      <c r="EP4" s="300"/>
      <c r="EQ4" s="300"/>
      <c r="ER4" s="300"/>
      <c r="ES4" s="300"/>
      <c r="ET4" s="300"/>
      <c r="EU4" s="300"/>
      <c r="EV4" s="300"/>
      <c r="EW4" s="300"/>
      <c r="EX4" s="300"/>
      <c r="EY4" s="300"/>
      <c r="EZ4" s="300"/>
      <c r="FA4" s="300"/>
      <c r="FB4" s="300"/>
      <c r="FC4" s="300"/>
      <c r="FD4" s="300"/>
      <c r="FE4" s="300"/>
      <c r="FF4" s="300"/>
    </row>
    <row r="5" ht="32.25" customHeight="1" spans="1:162">
      <c r="A5" s="303" t="s">
        <v>60</v>
      </c>
      <c r="B5" s="304"/>
      <c r="C5" s="304"/>
      <c r="D5" s="304"/>
      <c r="E5" s="305"/>
      <c r="F5" s="306"/>
      <c r="G5" s="304"/>
      <c r="H5" s="300"/>
      <c r="I5" s="300"/>
      <c r="J5" s="300"/>
      <c r="K5" s="300"/>
      <c r="L5" s="300"/>
      <c r="M5" s="300"/>
      <c r="N5" s="300"/>
      <c r="O5" s="300"/>
      <c r="P5" s="300"/>
      <c r="Q5" s="300"/>
      <c r="R5" s="300"/>
      <c r="S5" s="300"/>
      <c r="T5" s="300"/>
      <c r="U5" s="300"/>
      <c r="V5" s="300"/>
      <c r="W5" s="300"/>
      <c r="X5" s="300"/>
      <c r="Y5" s="300"/>
      <c r="Z5" s="300"/>
      <c r="AA5" s="300"/>
      <c r="AB5" s="300"/>
      <c r="AC5" s="300"/>
      <c r="AD5" s="300"/>
      <c r="AE5" s="300"/>
      <c r="AF5" s="300"/>
      <c r="AG5" s="300"/>
      <c r="AH5" s="300"/>
      <c r="AI5" s="300"/>
      <c r="AJ5" s="300"/>
      <c r="AK5" s="300"/>
      <c r="AL5" s="300"/>
      <c r="AM5" s="300"/>
      <c r="AN5" s="300"/>
      <c r="AO5" s="300"/>
      <c r="AP5" s="300"/>
      <c r="AQ5" s="300"/>
      <c r="AR5" s="300"/>
      <c r="AS5" s="300"/>
      <c r="AT5" s="300"/>
      <c r="AU5" s="300"/>
      <c r="AV5" s="300"/>
      <c r="AW5" s="300"/>
      <c r="AX5" s="300"/>
      <c r="AY5" s="300"/>
      <c r="AZ5" s="300"/>
      <c r="BA5" s="300"/>
      <c r="BB5" s="300"/>
      <c r="BC5" s="300"/>
      <c r="BD5" s="300"/>
      <c r="BE5" s="300"/>
      <c r="BF5" s="300"/>
      <c r="BG5" s="300"/>
      <c r="BH5" s="300"/>
      <c r="BI5" s="300"/>
      <c r="BJ5" s="300"/>
      <c r="BK5" s="300"/>
      <c r="BL5" s="300"/>
      <c r="BM5" s="300"/>
      <c r="BN5" s="300"/>
      <c r="BO5" s="300"/>
      <c r="BP5" s="300"/>
      <c r="BQ5" s="300"/>
      <c r="BR5" s="300"/>
      <c r="BS5" s="300"/>
      <c r="BT5" s="300"/>
      <c r="BU5" s="300"/>
      <c r="BV5" s="300"/>
      <c r="BW5" s="300"/>
      <c r="BX5" s="300"/>
      <c r="BY5" s="300"/>
      <c r="BZ5" s="300"/>
      <c r="CA5" s="300"/>
      <c r="CB5" s="300"/>
      <c r="CC5" s="300"/>
      <c r="CD5" s="300"/>
      <c r="CE5" s="300"/>
      <c r="CF5" s="300"/>
      <c r="CG5" s="300"/>
      <c r="CH5" s="300"/>
      <c r="CI5" s="300"/>
      <c r="CJ5" s="300"/>
      <c r="CK5" s="300"/>
      <c r="CL5" s="300"/>
      <c r="CM5" s="300"/>
      <c r="CN5" s="300"/>
      <c r="CO5" s="300"/>
      <c r="CP5" s="300"/>
      <c r="CQ5" s="300"/>
      <c r="CR5" s="300"/>
      <c r="CS5" s="300"/>
      <c r="CT5" s="300"/>
      <c r="CU5" s="300"/>
      <c r="CV5" s="300"/>
      <c r="CW5" s="300"/>
      <c r="CX5" s="300"/>
      <c r="CY5" s="300"/>
      <c r="CZ5" s="300"/>
      <c r="DA5" s="300"/>
      <c r="DB5" s="300"/>
      <c r="DC5" s="300"/>
      <c r="DD5" s="300"/>
      <c r="DE5" s="300"/>
      <c r="DF5" s="300"/>
      <c r="DG5" s="300"/>
      <c r="DH5" s="300"/>
      <c r="DI5" s="300"/>
      <c r="DJ5" s="300"/>
      <c r="DK5" s="300"/>
      <c r="DL5" s="300"/>
      <c r="DM5" s="300"/>
      <c r="DN5" s="300"/>
      <c r="DO5" s="300"/>
      <c r="DP5" s="300"/>
      <c r="DQ5" s="300"/>
      <c r="DR5" s="300"/>
      <c r="DS5" s="300"/>
      <c r="DT5" s="300"/>
      <c r="DU5" s="300"/>
      <c r="DV5" s="300"/>
      <c r="DW5" s="300"/>
      <c r="DX5" s="300"/>
      <c r="DY5" s="300"/>
      <c r="DZ5" s="300"/>
      <c r="EA5" s="300"/>
      <c r="EB5" s="300"/>
      <c r="EC5" s="300"/>
      <c r="ED5" s="300"/>
      <c r="EE5" s="300"/>
      <c r="EF5" s="300"/>
      <c r="EG5" s="300"/>
      <c r="EH5" s="300"/>
      <c r="EI5" s="300"/>
      <c r="EJ5" s="300"/>
      <c r="EK5" s="300"/>
      <c r="EL5" s="300"/>
      <c r="EM5" s="300"/>
      <c r="EN5" s="300"/>
      <c r="EO5" s="300"/>
      <c r="EP5" s="300"/>
      <c r="EQ5" s="300"/>
      <c r="ER5" s="300"/>
      <c r="ES5" s="300"/>
      <c r="ET5" s="300"/>
      <c r="EU5" s="300"/>
      <c r="EV5" s="300"/>
      <c r="EW5" s="300"/>
      <c r="EX5" s="300"/>
      <c r="EY5" s="300"/>
      <c r="EZ5" s="300"/>
      <c r="FA5" s="300"/>
      <c r="FB5" s="300"/>
      <c r="FC5" s="300"/>
      <c r="FD5" s="300"/>
      <c r="FE5" s="300"/>
      <c r="FF5" s="300"/>
    </row>
    <row r="6" ht="40.05" customHeight="1" spans="1:162">
      <c r="A6" s="307" t="s">
        <v>61</v>
      </c>
      <c r="B6" s="308" t="s">
        <v>62</v>
      </c>
      <c r="C6" s="308" t="s">
        <v>63</v>
      </c>
      <c r="D6" s="308" t="s">
        <v>64</v>
      </c>
      <c r="E6" s="308" t="s">
        <v>65</v>
      </c>
      <c r="F6" s="308" t="s">
        <v>66</v>
      </c>
      <c r="G6" s="308" t="s">
        <v>67</v>
      </c>
      <c r="H6" s="300"/>
      <c r="I6" s="300"/>
      <c r="J6" s="300"/>
      <c r="K6" s="300"/>
      <c r="L6" s="300"/>
      <c r="M6" s="300"/>
      <c r="N6" s="300"/>
      <c r="O6" s="300"/>
      <c r="P6" s="300"/>
      <c r="Q6" s="300"/>
      <c r="R6" s="300"/>
      <c r="S6" s="300"/>
      <c r="T6" s="300"/>
      <c r="U6" s="300"/>
      <c r="V6" s="300"/>
      <c r="W6" s="300"/>
      <c r="X6" s="300"/>
      <c r="Y6" s="300"/>
      <c r="Z6" s="300"/>
      <c r="AA6" s="300"/>
      <c r="AB6" s="300"/>
      <c r="AC6" s="300"/>
      <c r="AD6" s="300"/>
      <c r="AE6" s="300"/>
      <c r="AF6" s="300"/>
      <c r="AG6" s="300"/>
      <c r="AH6" s="300"/>
      <c r="AI6" s="300"/>
      <c r="AJ6" s="300"/>
      <c r="AK6" s="300"/>
      <c r="AL6" s="300"/>
      <c r="AM6" s="300"/>
      <c r="AN6" s="300"/>
      <c r="AO6" s="300"/>
      <c r="AP6" s="300"/>
      <c r="AQ6" s="300"/>
      <c r="AR6" s="300"/>
      <c r="AS6" s="300"/>
      <c r="AT6" s="300"/>
      <c r="AU6" s="300"/>
      <c r="AV6" s="300"/>
      <c r="AW6" s="300"/>
      <c r="AX6" s="300"/>
      <c r="AY6" s="300"/>
      <c r="AZ6" s="300"/>
      <c r="BA6" s="300"/>
      <c r="BB6" s="300"/>
      <c r="BC6" s="300"/>
      <c r="BD6" s="300"/>
      <c r="BE6" s="300"/>
      <c r="BF6" s="300"/>
      <c r="BG6" s="300"/>
      <c r="BH6" s="300"/>
      <c r="BI6" s="300"/>
      <c r="BJ6" s="300"/>
      <c r="BK6" s="300"/>
      <c r="BL6" s="300"/>
      <c r="BM6" s="300"/>
      <c r="BN6" s="300"/>
      <c r="BO6" s="300"/>
      <c r="BP6" s="300"/>
      <c r="BQ6" s="300"/>
      <c r="BR6" s="300"/>
      <c r="BS6" s="300"/>
      <c r="BT6" s="300"/>
      <c r="BU6" s="300"/>
      <c r="BV6" s="300"/>
      <c r="BW6" s="300"/>
      <c r="BX6" s="300"/>
      <c r="BY6" s="300"/>
      <c r="BZ6" s="300"/>
      <c r="CA6" s="300"/>
      <c r="CB6" s="300"/>
      <c r="CC6" s="300"/>
      <c r="CD6" s="300"/>
      <c r="CE6" s="300"/>
      <c r="CF6" s="300"/>
      <c r="CG6" s="300"/>
      <c r="CH6" s="300"/>
      <c r="CI6" s="300"/>
      <c r="CJ6" s="300"/>
      <c r="CK6" s="300"/>
      <c r="CL6" s="300"/>
      <c r="CM6" s="300"/>
      <c r="CN6" s="300"/>
      <c r="CO6" s="300"/>
      <c r="CP6" s="300"/>
      <c r="CQ6" s="300"/>
      <c r="CR6" s="300"/>
      <c r="CS6" s="300"/>
      <c r="CT6" s="300"/>
      <c r="CU6" s="300"/>
      <c r="CV6" s="300"/>
      <c r="CW6" s="300"/>
      <c r="CX6" s="300"/>
      <c r="CY6" s="300"/>
      <c r="CZ6" s="300"/>
      <c r="DA6" s="300"/>
      <c r="DB6" s="300"/>
      <c r="DC6" s="300"/>
      <c r="DD6" s="300"/>
      <c r="DE6" s="300"/>
      <c r="DF6" s="300"/>
      <c r="DG6" s="300"/>
      <c r="DH6" s="300"/>
      <c r="DI6" s="300"/>
      <c r="DJ6" s="300"/>
      <c r="DK6" s="300"/>
      <c r="DL6" s="300"/>
      <c r="DM6" s="300"/>
      <c r="DN6" s="300"/>
      <c r="DO6" s="300"/>
      <c r="DP6" s="300"/>
      <c r="DQ6" s="300"/>
      <c r="DR6" s="300"/>
      <c r="DS6" s="300"/>
      <c r="DT6" s="300"/>
      <c r="DU6" s="300"/>
      <c r="DV6" s="300"/>
      <c r="DW6" s="300"/>
      <c r="DX6" s="300"/>
      <c r="DY6" s="300"/>
      <c r="DZ6" s="300"/>
      <c r="EA6" s="300"/>
      <c r="EB6" s="300"/>
      <c r="EC6" s="300"/>
      <c r="ED6" s="300"/>
      <c r="EE6" s="300"/>
      <c r="EF6" s="300"/>
      <c r="EG6" s="300"/>
      <c r="EH6" s="300"/>
      <c r="EI6" s="300"/>
      <c r="EJ6" s="300"/>
      <c r="EK6" s="300"/>
      <c r="EL6" s="300"/>
      <c r="EM6" s="300"/>
      <c r="EN6" s="300"/>
      <c r="EO6" s="300"/>
      <c r="EP6" s="300"/>
      <c r="EQ6" s="300"/>
      <c r="ER6" s="300"/>
      <c r="ES6" s="300"/>
      <c r="ET6" s="300"/>
      <c r="EU6" s="300"/>
      <c r="EV6" s="300"/>
      <c r="EW6" s="300"/>
      <c r="EX6" s="300"/>
      <c r="EY6" s="300"/>
      <c r="EZ6" s="300"/>
      <c r="FA6" s="300"/>
      <c r="FB6" s="300"/>
      <c r="FC6" s="300"/>
      <c r="FD6" s="300"/>
      <c r="FE6" s="300"/>
      <c r="FF6" s="300"/>
    </row>
    <row r="7" ht="40.05" customHeight="1" spans="1:162">
      <c r="A7" s="309" t="s">
        <v>68</v>
      </c>
      <c r="B7" s="309" t="s">
        <v>69</v>
      </c>
      <c r="C7" s="309" t="s">
        <v>70</v>
      </c>
      <c r="D7" s="309" t="s">
        <v>71</v>
      </c>
      <c r="E7" s="309">
        <v>18320939685</v>
      </c>
      <c r="F7" s="309">
        <v>2885372463</v>
      </c>
      <c r="G7" s="310" t="s">
        <v>72</v>
      </c>
      <c r="H7" s="300"/>
      <c r="I7" s="300"/>
      <c r="J7" s="300"/>
      <c r="K7" s="300"/>
      <c r="L7" s="300"/>
      <c r="M7" s="300"/>
      <c r="N7" s="300"/>
      <c r="O7" s="300"/>
      <c r="P7" s="300"/>
      <c r="Q7" s="300"/>
      <c r="R7" s="300"/>
      <c r="S7" s="300"/>
      <c r="T7" s="300"/>
      <c r="U7" s="300"/>
      <c r="V7" s="300"/>
      <c r="W7" s="300"/>
      <c r="X7" s="300"/>
      <c r="Y7" s="300"/>
      <c r="Z7" s="300"/>
      <c r="AA7" s="300"/>
      <c r="AB7" s="300"/>
      <c r="AC7" s="300"/>
      <c r="AD7" s="300"/>
      <c r="AE7" s="300"/>
      <c r="AF7" s="300"/>
      <c r="AG7" s="300"/>
      <c r="AH7" s="300"/>
      <c r="AI7" s="300"/>
      <c r="AJ7" s="300"/>
      <c r="AK7" s="300"/>
      <c r="AL7" s="300"/>
      <c r="AM7" s="300"/>
      <c r="AN7" s="300"/>
      <c r="AO7" s="300"/>
      <c r="AP7" s="300"/>
      <c r="AQ7" s="300"/>
      <c r="AR7" s="300"/>
      <c r="AS7" s="300"/>
      <c r="AT7" s="300"/>
      <c r="AU7" s="300"/>
      <c r="AV7" s="300"/>
      <c r="AW7" s="300"/>
      <c r="AX7" s="300"/>
      <c r="AY7" s="300"/>
      <c r="AZ7" s="300"/>
      <c r="BA7" s="300"/>
      <c r="BB7" s="300"/>
      <c r="BC7" s="300"/>
      <c r="BD7" s="300"/>
      <c r="BE7" s="300"/>
      <c r="BF7" s="300"/>
      <c r="BG7" s="300"/>
      <c r="BH7" s="300"/>
      <c r="BI7" s="300"/>
      <c r="BJ7" s="300"/>
      <c r="BK7" s="300"/>
      <c r="BL7" s="300"/>
      <c r="BM7" s="300"/>
      <c r="BN7" s="300"/>
      <c r="BO7" s="300"/>
      <c r="BP7" s="300"/>
      <c r="BQ7" s="300"/>
      <c r="BR7" s="300"/>
      <c r="BS7" s="300"/>
      <c r="BT7" s="300"/>
      <c r="BU7" s="300"/>
      <c r="BV7" s="300"/>
      <c r="BW7" s="300"/>
      <c r="BX7" s="300"/>
      <c r="BY7" s="300"/>
      <c r="BZ7" s="300"/>
      <c r="CA7" s="300"/>
      <c r="CB7" s="300"/>
      <c r="CC7" s="300"/>
      <c r="CD7" s="300"/>
      <c r="CE7" s="300"/>
      <c r="CF7" s="300"/>
      <c r="CG7" s="300"/>
      <c r="CH7" s="300"/>
      <c r="CI7" s="300"/>
      <c r="CJ7" s="300"/>
      <c r="CK7" s="300"/>
      <c r="CL7" s="300"/>
      <c r="CM7" s="300"/>
      <c r="CN7" s="300"/>
      <c r="CO7" s="300"/>
      <c r="CP7" s="300"/>
      <c r="CQ7" s="300"/>
      <c r="CR7" s="300"/>
      <c r="CS7" s="300"/>
      <c r="CT7" s="300"/>
      <c r="CU7" s="300"/>
      <c r="CV7" s="300"/>
      <c r="CW7" s="300"/>
      <c r="CX7" s="300"/>
      <c r="CY7" s="300"/>
      <c r="CZ7" s="300"/>
      <c r="DA7" s="300"/>
      <c r="DB7" s="300"/>
      <c r="DC7" s="300"/>
      <c r="DD7" s="300"/>
      <c r="DE7" s="300"/>
      <c r="DF7" s="300"/>
      <c r="DG7" s="300"/>
      <c r="DH7" s="300"/>
      <c r="DI7" s="300"/>
      <c r="DJ7" s="300"/>
      <c r="DK7" s="300"/>
      <c r="DL7" s="300"/>
      <c r="DM7" s="300"/>
      <c r="DN7" s="300"/>
      <c r="DO7" s="300"/>
      <c r="DP7" s="300"/>
      <c r="DQ7" s="300"/>
      <c r="DR7" s="300"/>
      <c r="DS7" s="300"/>
      <c r="DT7" s="300"/>
      <c r="DU7" s="300"/>
      <c r="DV7" s="300"/>
      <c r="DW7" s="300"/>
      <c r="DX7" s="300"/>
      <c r="DY7" s="300"/>
      <c r="DZ7" s="300"/>
      <c r="EA7" s="300"/>
      <c r="EB7" s="300"/>
      <c r="EC7" s="300"/>
      <c r="ED7" s="300"/>
      <c r="EE7" s="300"/>
      <c r="EF7" s="300"/>
      <c r="EG7" s="300"/>
      <c r="EH7" s="300"/>
      <c r="EI7" s="300"/>
      <c r="EJ7" s="300"/>
      <c r="EK7" s="300"/>
      <c r="EL7" s="300"/>
      <c r="EM7" s="300"/>
      <c r="EN7" s="300"/>
      <c r="EO7" s="300"/>
      <c r="EP7" s="300"/>
      <c r="EQ7" s="300"/>
      <c r="ER7" s="300"/>
      <c r="ES7" s="300"/>
      <c r="ET7" s="300"/>
      <c r="EU7" s="300"/>
      <c r="EV7" s="300"/>
      <c r="EW7" s="300"/>
      <c r="EX7" s="300"/>
      <c r="EY7" s="300"/>
      <c r="EZ7" s="300"/>
      <c r="FA7" s="300"/>
      <c r="FB7" s="300"/>
      <c r="FC7" s="300"/>
      <c r="FD7" s="300"/>
      <c r="FE7" s="300"/>
      <c r="FF7" s="300"/>
    </row>
    <row r="8" ht="40.05" customHeight="1" spans="1:162">
      <c r="A8" s="309" t="s">
        <v>73</v>
      </c>
      <c r="B8" s="309" t="s">
        <v>74</v>
      </c>
      <c r="C8" s="309" t="s">
        <v>75</v>
      </c>
      <c r="D8" s="311" t="s">
        <v>25</v>
      </c>
      <c r="E8" s="312">
        <v>15596854144</v>
      </c>
      <c r="F8" s="309">
        <v>3002359805</v>
      </c>
      <c r="G8" s="313" t="s">
        <v>76</v>
      </c>
      <c r="H8" s="300"/>
      <c r="I8" s="300"/>
      <c r="J8" s="300"/>
      <c r="K8" s="300"/>
      <c r="L8" s="300"/>
      <c r="M8" s="300"/>
      <c r="N8" s="300"/>
      <c r="O8" s="300"/>
      <c r="P8" s="300"/>
      <c r="Q8" s="300"/>
      <c r="R8" s="300"/>
      <c r="S8" s="300"/>
      <c r="T8" s="300"/>
      <c r="U8" s="300"/>
      <c r="V8" s="300"/>
      <c r="W8" s="300"/>
      <c r="X8" s="300"/>
      <c r="Y8" s="300"/>
      <c r="Z8" s="300"/>
      <c r="AA8" s="300"/>
      <c r="AB8" s="300"/>
      <c r="AC8" s="300"/>
      <c r="AD8" s="300"/>
      <c r="AE8" s="300"/>
      <c r="AF8" s="300"/>
      <c r="AG8" s="300"/>
      <c r="AH8" s="300"/>
      <c r="AI8" s="300"/>
      <c r="AJ8" s="300"/>
      <c r="AK8" s="300"/>
      <c r="AL8" s="300"/>
      <c r="AM8" s="300"/>
      <c r="AN8" s="300"/>
      <c r="AO8" s="300"/>
      <c r="AP8" s="300"/>
      <c r="AQ8" s="300"/>
      <c r="AR8" s="300"/>
      <c r="AS8" s="300"/>
      <c r="AT8" s="300"/>
      <c r="AU8" s="300"/>
      <c r="AV8" s="300"/>
      <c r="AW8" s="300"/>
      <c r="AX8" s="300"/>
      <c r="AY8" s="300"/>
      <c r="AZ8" s="300"/>
      <c r="BA8" s="300"/>
      <c r="BB8" s="300"/>
      <c r="BC8" s="300"/>
      <c r="BD8" s="300"/>
      <c r="BE8" s="300"/>
      <c r="BF8" s="300"/>
      <c r="BG8" s="300"/>
      <c r="BH8" s="300"/>
      <c r="BI8" s="300"/>
      <c r="BJ8" s="300"/>
      <c r="BK8" s="300"/>
      <c r="BL8" s="300"/>
      <c r="BM8" s="300"/>
      <c r="BN8" s="300"/>
      <c r="BO8" s="300"/>
      <c r="BP8" s="300"/>
      <c r="BQ8" s="300"/>
      <c r="BR8" s="300"/>
      <c r="BS8" s="300"/>
      <c r="BT8" s="300"/>
      <c r="BU8" s="300"/>
      <c r="BV8" s="300"/>
      <c r="BW8" s="300"/>
      <c r="BX8" s="300"/>
      <c r="BY8" s="300"/>
      <c r="BZ8" s="300"/>
      <c r="CA8" s="300"/>
      <c r="CB8" s="300"/>
      <c r="CC8" s="300"/>
      <c r="CD8" s="300"/>
      <c r="CE8" s="300"/>
      <c r="CF8" s="300"/>
      <c r="CG8" s="300"/>
      <c r="CH8" s="300"/>
      <c r="CI8" s="300"/>
      <c r="CJ8" s="300"/>
      <c r="CK8" s="300"/>
      <c r="CL8" s="300"/>
      <c r="CM8" s="300"/>
      <c r="CN8" s="300"/>
      <c r="CO8" s="300"/>
      <c r="CP8" s="300"/>
      <c r="CQ8" s="300"/>
      <c r="CR8" s="300"/>
      <c r="CS8" s="300"/>
      <c r="CT8" s="300"/>
      <c r="CU8" s="300"/>
      <c r="CV8" s="300"/>
      <c r="CW8" s="300"/>
      <c r="CX8" s="300"/>
      <c r="CY8" s="300"/>
      <c r="CZ8" s="300"/>
      <c r="DA8" s="300"/>
      <c r="DB8" s="300"/>
      <c r="DC8" s="300"/>
      <c r="DD8" s="300"/>
      <c r="DE8" s="300"/>
      <c r="DF8" s="300"/>
      <c r="DG8" s="300"/>
      <c r="DH8" s="300"/>
      <c r="DI8" s="300"/>
      <c r="DJ8" s="300"/>
      <c r="DK8" s="300"/>
      <c r="DL8" s="300"/>
      <c r="DM8" s="300"/>
      <c r="DN8" s="300"/>
      <c r="DO8" s="300"/>
      <c r="DP8" s="300"/>
      <c r="DQ8" s="300"/>
      <c r="DR8" s="300"/>
      <c r="DS8" s="300"/>
      <c r="DT8" s="300"/>
      <c r="DU8" s="300"/>
      <c r="DV8" s="300"/>
      <c r="DW8" s="300"/>
      <c r="DX8" s="300"/>
      <c r="DY8" s="300"/>
      <c r="DZ8" s="300"/>
      <c r="EA8" s="300"/>
      <c r="EB8" s="300"/>
      <c r="EC8" s="300"/>
      <c r="ED8" s="300"/>
      <c r="EE8" s="300"/>
      <c r="EF8" s="300"/>
      <c r="EG8" s="300"/>
      <c r="EH8" s="300"/>
      <c r="EI8" s="300"/>
      <c r="EJ8" s="300"/>
      <c r="EK8" s="300"/>
      <c r="EL8" s="300"/>
      <c r="EM8" s="300"/>
      <c r="EN8" s="300"/>
      <c r="EO8" s="300"/>
      <c r="EP8" s="300"/>
      <c r="EQ8" s="300"/>
      <c r="ER8" s="300"/>
      <c r="ES8" s="300"/>
      <c r="ET8" s="300"/>
      <c r="EU8" s="300"/>
      <c r="EV8" s="300"/>
      <c r="EW8" s="300"/>
      <c r="EX8" s="300"/>
      <c r="EY8" s="300"/>
      <c r="EZ8" s="300"/>
      <c r="FA8" s="300"/>
      <c r="FB8" s="300"/>
      <c r="FC8" s="300"/>
      <c r="FD8" s="300"/>
      <c r="FE8" s="300"/>
      <c r="FF8" s="300"/>
    </row>
    <row r="9" ht="40.05" customHeight="1" spans="1:162">
      <c r="A9" s="309" t="s">
        <v>77</v>
      </c>
      <c r="B9" s="309" t="s">
        <v>78</v>
      </c>
      <c r="C9" s="309" t="s">
        <v>79</v>
      </c>
      <c r="D9" s="311" t="s">
        <v>80</v>
      </c>
      <c r="E9" s="309">
        <v>19926806857</v>
      </c>
      <c r="F9" s="309">
        <v>3008381956</v>
      </c>
      <c r="G9" s="309" t="s">
        <v>81</v>
      </c>
      <c r="H9" s="300"/>
      <c r="I9" s="300"/>
      <c r="J9" s="300"/>
      <c r="K9" s="300"/>
      <c r="L9" s="300"/>
      <c r="M9" s="300"/>
      <c r="N9" s="300"/>
      <c r="O9" s="300"/>
      <c r="P9" s="300"/>
      <c r="Q9" s="300"/>
      <c r="R9" s="300"/>
      <c r="S9" s="300"/>
      <c r="T9" s="300"/>
      <c r="U9" s="300"/>
      <c r="V9" s="300"/>
      <c r="W9" s="300"/>
      <c r="X9" s="300"/>
      <c r="Y9" s="300"/>
      <c r="Z9" s="300"/>
      <c r="AA9" s="300"/>
      <c r="AB9" s="300"/>
      <c r="AC9" s="300"/>
      <c r="AD9" s="300"/>
      <c r="AE9" s="300"/>
      <c r="AF9" s="300"/>
      <c r="AG9" s="300"/>
      <c r="AH9" s="300"/>
      <c r="AI9" s="300"/>
      <c r="AJ9" s="300"/>
      <c r="AK9" s="300"/>
      <c r="AL9" s="300"/>
      <c r="AM9" s="300"/>
      <c r="AN9" s="300"/>
      <c r="AO9" s="300"/>
      <c r="AP9" s="300"/>
      <c r="AQ9" s="300"/>
      <c r="AR9" s="300"/>
      <c r="AS9" s="300"/>
      <c r="AT9" s="300"/>
      <c r="AU9" s="300"/>
      <c r="AV9" s="300"/>
      <c r="AW9" s="300"/>
      <c r="AX9" s="300"/>
      <c r="AY9" s="300"/>
      <c r="AZ9" s="300"/>
      <c r="BA9" s="300"/>
      <c r="BB9" s="300"/>
      <c r="BC9" s="300"/>
      <c r="BD9" s="300"/>
      <c r="BE9" s="300"/>
      <c r="BF9" s="300"/>
      <c r="BG9" s="300"/>
      <c r="BH9" s="300"/>
      <c r="BI9" s="300"/>
      <c r="BJ9" s="300"/>
      <c r="BK9" s="300"/>
      <c r="BL9" s="300"/>
      <c r="BM9" s="300"/>
      <c r="BN9" s="300"/>
      <c r="BO9" s="300"/>
      <c r="BP9" s="300"/>
      <c r="BQ9" s="300"/>
      <c r="BR9" s="300"/>
      <c r="BS9" s="300"/>
      <c r="BT9" s="300"/>
      <c r="BU9" s="300"/>
      <c r="BV9" s="300"/>
      <c r="BW9" s="300"/>
      <c r="BX9" s="300"/>
      <c r="BY9" s="300"/>
      <c r="BZ9" s="300"/>
      <c r="CA9" s="300"/>
      <c r="CB9" s="300"/>
      <c r="CC9" s="300"/>
      <c r="CD9" s="300"/>
      <c r="CE9" s="300"/>
      <c r="CF9" s="300"/>
      <c r="CG9" s="300"/>
      <c r="CH9" s="300"/>
      <c r="CI9" s="300"/>
      <c r="CJ9" s="300"/>
      <c r="CK9" s="300"/>
      <c r="CL9" s="300"/>
      <c r="CM9" s="300"/>
      <c r="CN9" s="300"/>
      <c r="CO9" s="300"/>
      <c r="CP9" s="300"/>
      <c r="CQ9" s="300"/>
      <c r="CR9" s="300"/>
      <c r="CS9" s="300"/>
      <c r="CT9" s="300"/>
      <c r="CU9" s="300"/>
      <c r="CV9" s="300"/>
      <c r="CW9" s="300"/>
      <c r="CX9" s="300"/>
      <c r="CY9" s="300"/>
      <c r="CZ9" s="300"/>
      <c r="DA9" s="300"/>
      <c r="DB9" s="300"/>
      <c r="DC9" s="300"/>
      <c r="DD9" s="300"/>
      <c r="DE9" s="300"/>
      <c r="DF9" s="300"/>
      <c r="DG9" s="300"/>
      <c r="DH9" s="300"/>
      <c r="DI9" s="300"/>
      <c r="DJ9" s="300"/>
      <c r="DK9" s="300"/>
      <c r="DL9" s="300"/>
      <c r="DM9" s="300"/>
      <c r="DN9" s="300"/>
      <c r="DO9" s="300"/>
      <c r="DP9" s="300"/>
      <c r="DQ9" s="300"/>
      <c r="DR9" s="300"/>
      <c r="DS9" s="300"/>
      <c r="DT9" s="300"/>
      <c r="DU9" s="300"/>
      <c r="DV9" s="300"/>
      <c r="DW9" s="300"/>
      <c r="DX9" s="300"/>
      <c r="DY9" s="300"/>
      <c r="DZ9" s="300"/>
      <c r="EA9" s="300"/>
      <c r="EB9" s="300"/>
      <c r="EC9" s="300"/>
      <c r="ED9" s="300"/>
      <c r="EE9" s="300"/>
      <c r="EF9" s="300"/>
      <c r="EG9" s="300"/>
      <c r="EH9" s="300"/>
      <c r="EI9" s="300"/>
      <c r="EJ9" s="300"/>
      <c r="EK9" s="300"/>
      <c r="EL9" s="300"/>
      <c r="EM9" s="300"/>
      <c r="EN9" s="300"/>
      <c r="EO9" s="300"/>
      <c r="EP9" s="300"/>
      <c r="EQ9" s="300"/>
      <c r="ER9" s="300"/>
      <c r="ES9" s="300"/>
      <c r="ET9" s="300"/>
      <c r="EU9" s="300"/>
      <c r="EV9" s="300"/>
      <c r="EW9" s="300"/>
      <c r="EX9" s="300"/>
      <c r="EY9" s="300"/>
      <c r="EZ9" s="300"/>
      <c r="FA9" s="300"/>
      <c r="FB9" s="300"/>
      <c r="FC9" s="300"/>
      <c r="FD9" s="300"/>
      <c r="FE9" s="300"/>
      <c r="FF9" s="300"/>
    </row>
    <row r="10" ht="40.05" customHeight="1" spans="1:162">
      <c r="A10" s="314" t="s">
        <v>82</v>
      </c>
      <c r="B10" s="314" t="s">
        <v>83</v>
      </c>
      <c r="C10" s="314" t="s">
        <v>84</v>
      </c>
      <c r="D10" s="314" t="s">
        <v>85</v>
      </c>
      <c r="E10" s="315">
        <v>13484992202</v>
      </c>
      <c r="F10" s="314" t="s">
        <v>86</v>
      </c>
      <c r="G10" s="314" t="s">
        <v>86</v>
      </c>
      <c r="H10" s="300"/>
      <c r="I10" s="300"/>
      <c r="J10" s="300"/>
      <c r="K10" s="300"/>
      <c r="L10" s="300"/>
      <c r="M10" s="300"/>
      <c r="N10" s="300"/>
      <c r="O10" s="300"/>
      <c r="P10" s="300"/>
      <c r="Q10" s="300"/>
      <c r="R10" s="300"/>
      <c r="S10" s="300"/>
      <c r="T10" s="300"/>
      <c r="U10" s="300"/>
      <c r="V10" s="300"/>
      <c r="W10" s="300"/>
      <c r="X10" s="300"/>
      <c r="Y10" s="300"/>
      <c r="Z10" s="300"/>
      <c r="AA10" s="300"/>
      <c r="AB10" s="300"/>
      <c r="AC10" s="300"/>
      <c r="AD10" s="300"/>
      <c r="AE10" s="300"/>
      <c r="AF10" s="300"/>
      <c r="AG10" s="300"/>
      <c r="AH10" s="300"/>
      <c r="AI10" s="300"/>
      <c r="AJ10" s="300"/>
      <c r="AK10" s="300"/>
      <c r="AL10" s="300"/>
      <c r="AM10" s="300"/>
      <c r="AN10" s="300"/>
      <c r="AO10" s="300"/>
      <c r="AP10" s="300"/>
      <c r="AQ10" s="300"/>
      <c r="AR10" s="300"/>
      <c r="AS10" s="300"/>
      <c r="AT10" s="300"/>
      <c r="AU10" s="300"/>
      <c r="AV10" s="300"/>
      <c r="AW10" s="300"/>
      <c r="AX10" s="300"/>
      <c r="AY10" s="300"/>
      <c r="AZ10" s="300"/>
      <c r="BA10" s="300"/>
      <c r="BB10" s="300"/>
      <c r="BC10" s="300"/>
      <c r="BD10" s="300"/>
      <c r="BE10" s="300"/>
      <c r="BF10" s="300"/>
      <c r="BG10" s="300"/>
      <c r="BH10" s="300"/>
      <c r="BI10" s="300"/>
      <c r="BJ10" s="300"/>
      <c r="BK10" s="300"/>
      <c r="BL10" s="300"/>
      <c r="BM10" s="300"/>
      <c r="BN10" s="300"/>
      <c r="BO10" s="300"/>
      <c r="BP10" s="300"/>
      <c r="BQ10" s="300"/>
      <c r="BR10" s="300"/>
      <c r="BS10" s="300"/>
      <c r="BT10" s="300"/>
      <c r="BU10" s="300"/>
      <c r="BV10" s="300"/>
      <c r="BW10" s="300"/>
      <c r="BX10" s="300"/>
      <c r="BY10" s="300"/>
      <c r="BZ10" s="300"/>
      <c r="CA10" s="300"/>
      <c r="CB10" s="300"/>
      <c r="CC10" s="300"/>
      <c r="CD10" s="300"/>
      <c r="CE10" s="300"/>
      <c r="CF10" s="300"/>
      <c r="CG10" s="300"/>
      <c r="CH10" s="300"/>
      <c r="CI10" s="300"/>
      <c r="CJ10" s="300"/>
      <c r="CK10" s="300"/>
      <c r="CL10" s="300"/>
      <c r="CM10" s="300"/>
      <c r="CN10" s="300"/>
      <c r="CO10" s="300"/>
      <c r="CP10" s="300"/>
      <c r="CQ10" s="300"/>
      <c r="CR10" s="300"/>
      <c r="CS10" s="300"/>
      <c r="CT10" s="300"/>
      <c r="CU10" s="300"/>
      <c r="CV10" s="300"/>
      <c r="CW10" s="300"/>
      <c r="CX10" s="300"/>
      <c r="CY10" s="300"/>
      <c r="CZ10" s="300"/>
      <c r="DA10" s="300"/>
      <c r="DB10" s="300"/>
      <c r="DC10" s="300"/>
      <c r="DD10" s="300"/>
      <c r="DE10" s="300"/>
      <c r="DF10" s="300"/>
      <c r="DG10" s="300"/>
      <c r="DH10" s="300"/>
      <c r="DI10" s="300"/>
      <c r="DJ10" s="300"/>
      <c r="DK10" s="300"/>
      <c r="DL10" s="300"/>
      <c r="DM10" s="300"/>
      <c r="DN10" s="300"/>
      <c r="DO10" s="300"/>
      <c r="DP10" s="300"/>
      <c r="DQ10" s="300"/>
      <c r="DR10" s="300"/>
      <c r="DS10" s="300"/>
      <c r="DT10" s="300"/>
      <c r="DU10" s="300"/>
      <c r="DV10" s="300"/>
      <c r="DW10" s="300"/>
      <c r="DX10" s="300"/>
      <c r="DY10" s="300"/>
      <c r="DZ10" s="300"/>
      <c r="EA10" s="300"/>
      <c r="EB10" s="300"/>
      <c r="EC10" s="300"/>
      <c r="ED10" s="300"/>
      <c r="EE10" s="300"/>
      <c r="EF10" s="300"/>
      <c r="EG10" s="300"/>
      <c r="EH10" s="300"/>
      <c r="EI10" s="300"/>
      <c r="EJ10" s="300"/>
      <c r="EK10" s="300"/>
      <c r="EL10" s="300"/>
      <c r="EM10" s="300"/>
      <c r="EN10" s="300"/>
      <c r="EO10" s="300"/>
      <c r="EP10" s="300"/>
      <c r="EQ10" s="300"/>
      <c r="ER10" s="300"/>
      <c r="ES10" s="300"/>
      <c r="ET10" s="300"/>
      <c r="EU10" s="300"/>
      <c r="EV10" s="300"/>
      <c r="EW10" s="300"/>
      <c r="EX10" s="300"/>
      <c r="EY10" s="300"/>
      <c r="EZ10" s="300"/>
      <c r="FA10" s="300"/>
      <c r="FB10" s="300"/>
      <c r="FC10" s="300"/>
      <c r="FD10" s="300"/>
      <c r="FE10" s="300"/>
      <c r="FF10" s="300"/>
    </row>
    <row r="11" ht="40.05" customHeight="1" spans="1:162">
      <c r="A11" s="314" t="s">
        <v>82</v>
      </c>
      <c r="B11" s="314" t="s">
        <v>87</v>
      </c>
      <c r="C11" s="309" t="s">
        <v>70</v>
      </c>
      <c r="D11" s="309" t="s">
        <v>71</v>
      </c>
      <c r="E11" s="309">
        <v>18320939685</v>
      </c>
      <c r="F11" s="309">
        <v>2885372463</v>
      </c>
      <c r="G11" s="310" t="s">
        <v>72</v>
      </c>
      <c r="H11" s="300"/>
      <c r="I11" s="300"/>
      <c r="J11" s="300"/>
      <c r="K11" s="300"/>
      <c r="L11" s="300"/>
      <c r="M11" s="300"/>
      <c r="N11" s="300"/>
      <c r="O11" s="300"/>
      <c r="P11" s="300"/>
      <c r="Q11" s="300"/>
      <c r="R11" s="300"/>
      <c r="S11" s="300"/>
      <c r="T11" s="300"/>
      <c r="U11" s="300"/>
      <c r="V11" s="300"/>
      <c r="W11" s="300"/>
      <c r="X11" s="300"/>
      <c r="Y11" s="300"/>
      <c r="Z11" s="300"/>
      <c r="AA11" s="300"/>
      <c r="AB11" s="300"/>
      <c r="AC11" s="300"/>
      <c r="AD11" s="300"/>
      <c r="AE11" s="300"/>
      <c r="AF11" s="300"/>
      <c r="AG11" s="300"/>
      <c r="AH11" s="300"/>
      <c r="AI11" s="300"/>
      <c r="AJ11" s="300"/>
      <c r="AK11" s="300"/>
      <c r="AL11" s="300"/>
      <c r="AM11" s="300"/>
      <c r="AN11" s="300"/>
      <c r="AO11" s="300"/>
      <c r="AP11" s="300"/>
      <c r="AQ11" s="300"/>
      <c r="AR11" s="300"/>
      <c r="AS11" s="300"/>
      <c r="AT11" s="300"/>
      <c r="AU11" s="300"/>
      <c r="AV11" s="300"/>
      <c r="AW11" s="300"/>
      <c r="AX11" s="300"/>
      <c r="AY11" s="300"/>
      <c r="AZ11" s="300"/>
      <c r="BA11" s="300"/>
      <c r="BB11" s="300"/>
      <c r="BC11" s="300"/>
      <c r="BD11" s="300"/>
      <c r="BE11" s="300"/>
      <c r="BF11" s="300"/>
      <c r="BG11" s="300"/>
      <c r="BH11" s="300"/>
      <c r="BI11" s="300"/>
      <c r="BJ11" s="300"/>
      <c r="BK11" s="300"/>
      <c r="BL11" s="300"/>
      <c r="BM11" s="300"/>
      <c r="BN11" s="300"/>
      <c r="BO11" s="300"/>
      <c r="BP11" s="300"/>
      <c r="BQ11" s="300"/>
      <c r="BR11" s="300"/>
      <c r="BS11" s="300"/>
      <c r="BT11" s="300"/>
      <c r="BU11" s="300"/>
      <c r="BV11" s="300"/>
      <c r="BW11" s="300"/>
      <c r="BX11" s="300"/>
      <c r="BY11" s="300"/>
      <c r="BZ11" s="300"/>
      <c r="CA11" s="300"/>
      <c r="CB11" s="300"/>
      <c r="CC11" s="300"/>
      <c r="CD11" s="300"/>
      <c r="CE11" s="300"/>
      <c r="CF11" s="300"/>
      <c r="CG11" s="300"/>
      <c r="CH11" s="300"/>
      <c r="CI11" s="300"/>
      <c r="CJ11" s="300"/>
      <c r="CK11" s="300"/>
      <c r="CL11" s="300"/>
      <c r="CM11" s="300"/>
      <c r="CN11" s="300"/>
      <c r="CO11" s="300"/>
      <c r="CP11" s="300"/>
      <c r="CQ11" s="300"/>
      <c r="CR11" s="300"/>
      <c r="CS11" s="300"/>
      <c r="CT11" s="300"/>
      <c r="CU11" s="300"/>
      <c r="CV11" s="300"/>
      <c r="CW11" s="300"/>
      <c r="CX11" s="300"/>
      <c r="CY11" s="300"/>
      <c r="CZ11" s="300"/>
      <c r="DA11" s="300"/>
      <c r="DB11" s="300"/>
      <c r="DC11" s="300"/>
      <c r="DD11" s="300"/>
      <c r="DE11" s="300"/>
      <c r="DF11" s="300"/>
      <c r="DG11" s="300"/>
      <c r="DH11" s="300"/>
      <c r="DI11" s="300"/>
      <c r="DJ11" s="300"/>
      <c r="DK11" s="300"/>
      <c r="DL11" s="300"/>
      <c r="DM11" s="300"/>
      <c r="DN11" s="300"/>
      <c r="DO11" s="300"/>
      <c r="DP11" s="300"/>
      <c r="DQ11" s="300"/>
      <c r="DR11" s="300"/>
      <c r="DS11" s="300"/>
      <c r="DT11" s="300"/>
      <c r="DU11" s="300"/>
      <c r="DV11" s="300"/>
      <c r="DW11" s="300"/>
      <c r="DX11" s="300"/>
      <c r="DY11" s="300"/>
      <c r="DZ11" s="300"/>
      <c r="EA11" s="300"/>
      <c r="EB11" s="300"/>
      <c r="EC11" s="300"/>
      <c r="ED11" s="300"/>
      <c r="EE11" s="300"/>
      <c r="EF11" s="300"/>
      <c r="EG11" s="300"/>
      <c r="EH11" s="300"/>
      <c r="EI11" s="300"/>
      <c r="EJ11" s="300"/>
      <c r="EK11" s="300"/>
      <c r="EL11" s="300"/>
      <c r="EM11" s="300"/>
      <c r="EN11" s="300"/>
      <c r="EO11" s="300"/>
      <c r="EP11" s="300"/>
      <c r="EQ11" s="300"/>
      <c r="ER11" s="300"/>
      <c r="ES11" s="300"/>
      <c r="ET11" s="300"/>
      <c r="EU11" s="300"/>
      <c r="EV11" s="300"/>
      <c r="EW11" s="300"/>
      <c r="EX11" s="300"/>
      <c r="EY11" s="300"/>
      <c r="EZ11" s="300"/>
      <c r="FA11" s="300"/>
      <c r="FB11" s="300"/>
      <c r="FC11" s="300"/>
      <c r="FD11" s="300"/>
      <c r="FE11" s="300"/>
      <c r="FF11" s="300"/>
    </row>
    <row r="12" spans="1:162">
      <c r="A12" s="300"/>
      <c r="B12" s="300"/>
      <c r="C12" s="300"/>
      <c r="D12" s="300"/>
      <c r="E12" s="300"/>
      <c r="F12" s="300"/>
      <c r="G12" s="300"/>
      <c r="H12" s="300"/>
      <c r="I12" s="300"/>
      <c r="J12" s="300"/>
      <c r="K12" s="300"/>
      <c r="L12" s="300"/>
      <c r="M12" s="300"/>
      <c r="N12" s="300"/>
      <c r="O12" s="300"/>
      <c r="P12" s="300"/>
      <c r="Q12" s="300"/>
      <c r="R12" s="300"/>
      <c r="S12" s="300"/>
      <c r="T12" s="300"/>
      <c r="U12" s="300"/>
      <c r="V12" s="300"/>
      <c r="W12" s="300"/>
      <c r="X12" s="300"/>
      <c r="Y12" s="300"/>
      <c r="Z12" s="300"/>
      <c r="AA12" s="300"/>
      <c r="AB12" s="300"/>
      <c r="AC12" s="300"/>
      <c r="AD12" s="300"/>
      <c r="AE12" s="300"/>
      <c r="AF12" s="300"/>
      <c r="AG12" s="300"/>
      <c r="AH12" s="300"/>
      <c r="AI12" s="300"/>
      <c r="AJ12" s="300"/>
      <c r="AK12" s="300"/>
      <c r="AL12" s="300"/>
      <c r="AM12" s="300"/>
      <c r="AN12" s="300"/>
      <c r="AO12" s="300"/>
      <c r="AP12" s="300"/>
      <c r="AQ12" s="300"/>
      <c r="AR12" s="300"/>
      <c r="AS12" s="300"/>
      <c r="AT12" s="300"/>
      <c r="AU12" s="300"/>
      <c r="AV12" s="300"/>
      <c r="AW12" s="300"/>
      <c r="AX12" s="300"/>
      <c r="AY12" s="300"/>
      <c r="AZ12" s="300"/>
      <c r="BA12" s="300"/>
      <c r="BB12" s="300"/>
      <c r="BC12" s="300"/>
      <c r="BD12" s="300"/>
      <c r="BE12" s="300"/>
      <c r="BF12" s="300"/>
      <c r="BG12" s="300"/>
      <c r="BH12" s="300"/>
      <c r="BI12" s="300"/>
      <c r="BJ12" s="300"/>
      <c r="BK12" s="300"/>
      <c r="BL12" s="300"/>
      <c r="BM12" s="300"/>
      <c r="BN12" s="300"/>
      <c r="BO12" s="300"/>
      <c r="BP12" s="300"/>
      <c r="BQ12" s="300"/>
      <c r="BR12" s="300"/>
      <c r="BS12" s="300"/>
      <c r="BT12" s="300"/>
      <c r="BU12" s="300"/>
      <c r="BV12" s="300"/>
      <c r="BW12" s="300"/>
      <c r="BX12" s="300"/>
      <c r="BY12" s="300"/>
      <c r="BZ12" s="300"/>
      <c r="CA12" s="300"/>
      <c r="CB12" s="300"/>
      <c r="CC12" s="300"/>
      <c r="CD12" s="300"/>
      <c r="CE12" s="300"/>
      <c r="CF12" s="300"/>
      <c r="CG12" s="300"/>
      <c r="CH12" s="300"/>
      <c r="CI12" s="300"/>
      <c r="CJ12" s="300"/>
      <c r="CK12" s="300"/>
      <c r="CL12" s="300"/>
      <c r="CM12" s="300"/>
      <c r="CN12" s="300"/>
      <c r="CO12" s="300"/>
      <c r="CP12" s="300"/>
      <c r="CQ12" s="300"/>
      <c r="CR12" s="300"/>
      <c r="CS12" s="300"/>
      <c r="CT12" s="300"/>
      <c r="CU12" s="300"/>
      <c r="CV12" s="300"/>
      <c r="CW12" s="300"/>
      <c r="CX12" s="300"/>
      <c r="CY12" s="300"/>
      <c r="CZ12" s="300"/>
      <c r="DA12" s="300"/>
      <c r="DB12" s="300"/>
      <c r="DC12" s="300"/>
      <c r="DD12" s="300"/>
      <c r="DE12" s="300"/>
      <c r="DF12" s="300"/>
      <c r="DG12" s="300"/>
      <c r="DH12" s="300"/>
      <c r="DI12" s="300"/>
      <c r="DJ12" s="300"/>
      <c r="DK12" s="300"/>
      <c r="DL12" s="300"/>
      <c r="DM12" s="300"/>
      <c r="DN12" s="300"/>
      <c r="DO12" s="300"/>
      <c r="DP12" s="300"/>
      <c r="DQ12" s="300"/>
      <c r="DR12" s="300"/>
      <c r="DS12" s="300"/>
      <c r="DT12" s="300"/>
      <c r="DU12" s="300"/>
      <c r="DV12" s="300"/>
      <c r="DW12" s="300"/>
      <c r="DX12" s="300"/>
      <c r="DY12" s="300"/>
      <c r="DZ12" s="300"/>
      <c r="EA12" s="300"/>
      <c r="EB12" s="300"/>
      <c r="EC12" s="300"/>
      <c r="ED12" s="300"/>
      <c r="EE12" s="300"/>
      <c r="EF12" s="300"/>
      <c r="EG12" s="300"/>
      <c r="EH12" s="300"/>
      <c r="EI12" s="300"/>
      <c r="EJ12" s="300"/>
      <c r="EK12" s="300"/>
      <c r="EL12" s="300"/>
      <c r="EM12" s="300"/>
      <c r="EN12" s="300"/>
      <c r="EO12" s="300"/>
      <c r="EP12" s="300"/>
      <c r="EQ12" s="300"/>
      <c r="ER12" s="300"/>
      <c r="ES12" s="300"/>
      <c r="ET12" s="300"/>
      <c r="EU12" s="300"/>
      <c r="EV12" s="300"/>
      <c r="EW12" s="300"/>
      <c r="EX12" s="300"/>
      <c r="EY12" s="300"/>
      <c r="EZ12" s="300"/>
      <c r="FA12" s="300"/>
      <c r="FB12" s="300"/>
      <c r="FC12" s="300"/>
      <c r="FD12" s="300"/>
      <c r="FE12" s="300"/>
      <c r="FF12" s="300"/>
    </row>
    <row r="13" spans="1:162">
      <c r="A13" s="300"/>
      <c r="B13" s="300"/>
      <c r="C13" s="300"/>
      <c r="D13" s="300"/>
      <c r="E13" s="300"/>
      <c r="F13" s="300"/>
      <c r="G13" s="300"/>
      <c r="H13" s="300"/>
      <c r="I13" s="300"/>
      <c r="J13" s="300"/>
      <c r="K13" s="300"/>
      <c r="L13" s="300"/>
      <c r="M13" s="300"/>
      <c r="N13" s="300"/>
      <c r="O13" s="300"/>
      <c r="P13" s="300"/>
      <c r="Q13" s="300"/>
      <c r="R13" s="300"/>
      <c r="S13" s="300"/>
      <c r="T13" s="300"/>
      <c r="U13" s="300"/>
      <c r="V13" s="300"/>
      <c r="W13" s="300"/>
      <c r="X13" s="300"/>
      <c r="Y13" s="300"/>
      <c r="Z13" s="300"/>
      <c r="AA13" s="300"/>
      <c r="AB13" s="300"/>
      <c r="AC13" s="300"/>
      <c r="AD13" s="300"/>
      <c r="AE13" s="300"/>
      <c r="AF13" s="300"/>
      <c r="AG13" s="300"/>
      <c r="AH13" s="300"/>
      <c r="AI13" s="300"/>
      <c r="AJ13" s="300"/>
      <c r="AK13" s="300"/>
      <c r="AL13" s="300"/>
      <c r="AM13" s="300"/>
      <c r="AN13" s="300"/>
      <c r="AO13" s="300"/>
      <c r="AP13" s="300"/>
      <c r="AQ13" s="300"/>
      <c r="AR13" s="300"/>
      <c r="AS13" s="300"/>
      <c r="AT13" s="300"/>
      <c r="AU13" s="300"/>
      <c r="AV13" s="300"/>
      <c r="AW13" s="300"/>
      <c r="AX13" s="300"/>
      <c r="AY13" s="300"/>
      <c r="AZ13" s="300"/>
      <c r="BA13" s="300"/>
      <c r="BB13" s="300"/>
      <c r="BC13" s="300"/>
      <c r="BD13" s="300"/>
      <c r="BE13" s="300"/>
      <c r="BF13" s="300"/>
      <c r="BG13" s="300"/>
      <c r="BH13" s="300"/>
      <c r="BI13" s="300"/>
      <c r="BJ13" s="300"/>
      <c r="BK13" s="300"/>
      <c r="BL13" s="300"/>
      <c r="BM13" s="300"/>
      <c r="BN13" s="300"/>
      <c r="BO13" s="300"/>
      <c r="BP13" s="300"/>
      <c r="BQ13" s="300"/>
      <c r="BR13" s="300"/>
      <c r="BS13" s="300"/>
      <c r="BT13" s="300"/>
      <c r="BU13" s="300"/>
      <c r="BV13" s="300"/>
      <c r="BW13" s="300"/>
      <c r="BX13" s="300"/>
      <c r="BY13" s="300"/>
      <c r="BZ13" s="300"/>
      <c r="CA13" s="300"/>
      <c r="CB13" s="300"/>
      <c r="CC13" s="300"/>
      <c r="CD13" s="300"/>
      <c r="CE13" s="300"/>
      <c r="CF13" s="300"/>
      <c r="CG13" s="300"/>
      <c r="CH13" s="300"/>
      <c r="CI13" s="300"/>
      <c r="CJ13" s="300"/>
      <c r="CK13" s="300"/>
      <c r="CL13" s="300"/>
      <c r="CM13" s="300"/>
      <c r="CN13" s="300"/>
      <c r="CO13" s="300"/>
      <c r="CP13" s="300"/>
      <c r="CQ13" s="300"/>
      <c r="CR13" s="300"/>
      <c r="CS13" s="300"/>
      <c r="CT13" s="300"/>
      <c r="CU13" s="300"/>
      <c r="CV13" s="300"/>
      <c r="CW13" s="300"/>
      <c r="CX13" s="300"/>
      <c r="CY13" s="300"/>
      <c r="CZ13" s="300"/>
      <c r="DA13" s="300"/>
      <c r="DB13" s="300"/>
      <c r="DC13" s="300"/>
      <c r="DD13" s="300"/>
      <c r="DE13" s="300"/>
      <c r="DF13" s="300"/>
      <c r="DG13" s="300"/>
      <c r="DH13" s="300"/>
      <c r="DI13" s="300"/>
      <c r="DJ13" s="300"/>
      <c r="DK13" s="300"/>
      <c r="DL13" s="300"/>
      <c r="DM13" s="300"/>
      <c r="DN13" s="300"/>
      <c r="DO13" s="300"/>
      <c r="DP13" s="300"/>
      <c r="DQ13" s="300"/>
      <c r="DR13" s="300"/>
      <c r="DS13" s="300"/>
      <c r="DT13" s="300"/>
      <c r="DU13" s="300"/>
      <c r="DV13" s="300"/>
      <c r="DW13" s="300"/>
      <c r="DX13" s="300"/>
      <c r="DY13" s="300"/>
      <c r="DZ13" s="300"/>
      <c r="EA13" s="300"/>
      <c r="EB13" s="300"/>
      <c r="EC13" s="300"/>
      <c r="ED13" s="300"/>
      <c r="EE13" s="300"/>
      <c r="EF13" s="300"/>
      <c r="EG13" s="300"/>
      <c r="EH13" s="300"/>
      <c r="EI13" s="300"/>
      <c r="EJ13" s="300"/>
      <c r="EK13" s="300"/>
      <c r="EL13" s="300"/>
      <c r="EM13" s="300"/>
      <c r="EN13" s="300"/>
      <c r="EO13" s="300"/>
      <c r="EP13" s="300"/>
      <c r="EQ13" s="300"/>
      <c r="ER13" s="300"/>
      <c r="ES13" s="300"/>
      <c r="ET13" s="300"/>
      <c r="EU13" s="300"/>
      <c r="EV13" s="300"/>
      <c r="EW13" s="300"/>
      <c r="EX13" s="300"/>
      <c r="EY13" s="300"/>
      <c r="EZ13" s="300"/>
      <c r="FA13" s="300"/>
      <c r="FB13" s="300"/>
      <c r="FC13" s="300"/>
      <c r="FD13" s="300"/>
      <c r="FE13" s="300"/>
      <c r="FF13" s="300"/>
    </row>
    <row r="14" spans="1:162">
      <c r="A14" s="300"/>
      <c r="B14" s="300"/>
      <c r="C14" s="300"/>
      <c r="D14" s="300"/>
      <c r="E14" s="300"/>
      <c r="F14" s="300"/>
      <c r="G14" s="300"/>
      <c r="H14" s="300"/>
      <c r="I14" s="300"/>
      <c r="J14" s="300"/>
      <c r="K14" s="300"/>
      <c r="L14" s="300"/>
      <c r="M14" s="300"/>
      <c r="N14" s="300"/>
      <c r="O14" s="300"/>
      <c r="P14" s="300"/>
      <c r="Q14" s="300"/>
      <c r="R14" s="300"/>
      <c r="S14" s="300"/>
      <c r="T14" s="300"/>
      <c r="U14" s="300"/>
      <c r="V14" s="300"/>
      <c r="W14" s="300"/>
      <c r="X14" s="300"/>
      <c r="Y14" s="300"/>
      <c r="Z14" s="300"/>
      <c r="AA14" s="300"/>
      <c r="AB14" s="300"/>
      <c r="AC14" s="300"/>
      <c r="AD14" s="300"/>
      <c r="AE14" s="300"/>
      <c r="AF14" s="300"/>
      <c r="AG14" s="300"/>
      <c r="AH14" s="300"/>
      <c r="AI14" s="300"/>
      <c r="AJ14" s="300"/>
      <c r="AK14" s="300"/>
      <c r="AL14" s="300"/>
      <c r="AM14" s="300"/>
      <c r="AN14" s="300"/>
      <c r="AO14" s="300"/>
      <c r="AP14" s="300"/>
      <c r="AQ14" s="300"/>
      <c r="AR14" s="300"/>
      <c r="AS14" s="300"/>
      <c r="AT14" s="300"/>
      <c r="AU14" s="300"/>
      <c r="AV14" s="300"/>
      <c r="AW14" s="300"/>
      <c r="AX14" s="300"/>
      <c r="AY14" s="300"/>
      <c r="AZ14" s="300"/>
      <c r="BA14" s="300"/>
      <c r="BB14" s="300"/>
      <c r="BC14" s="300"/>
      <c r="BD14" s="300"/>
      <c r="BE14" s="300"/>
      <c r="BF14" s="300"/>
      <c r="BG14" s="300"/>
      <c r="BH14" s="300"/>
      <c r="BI14" s="300"/>
      <c r="BJ14" s="300"/>
      <c r="BK14" s="300"/>
      <c r="BL14" s="300"/>
      <c r="BM14" s="300"/>
      <c r="BN14" s="300"/>
      <c r="BO14" s="300"/>
      <c r="BP14" s="300"/>
      <c r="BQ14" s="300"/>
      <c r="BR14" s="300"/>
      <c r="BS14" s="300"/>
      <c r="BT14" s="300"/>
      <c r="BU14" s="300"/>
      <c r="BV14" s="300"/>
      <c r="BW14" s="300"/>
      <c r="BX14" s="300"/>
      <c r="BY14" s="300"/>
      <c r="BZ14" s="300"/>
      <c r="CA14" s="300"/>
      <c r="CB14" s="300"/>
      <c r="CC14" s="300"/>
      <c r="CD14" s="300"/>
      <c r="CE14" s="300"/>
      <c r="CF14" s="300"/>
      <c r="CG14" s="300"/>
      <c r="CH14" s="300"/>
      <c r="CI14" s="300"/>
      <c r="CJ14" s="300"/>
      <c r="CK14" s="300"/>
      <c r="CL14" s="300"/>
      <c r="CM14" s="300"/>
      <c r="CN14" s="300"/>
      <c r="CO14" s="300"/>
      <c r="CP14" s="300"/>
      <c r="CQ14" s="300"/>
      <c r="CR14" s="300"/>
      <c r="CS14" s="300"/>
      <c r="CT14" s="300"/>
      <c r="CU14" s="300"/>
      <c r="CV14" s="300"/>
      <c r="CW14" s="300"/>
      <c r="CX14" s="300"/>
      <c r="CY14" s="300"/>
      <c r="CZ14" s="300"/>
      <c r="DA14" s="300"/>
      <c r="DB14" s="300"/>
      <c r="DC14" s="300"/>
      <c r="DD14" s="300"/>
      <c r="DE14" s="300"/>
      <c r="DF14" s="300"/>
      <c r="DG14" s="300"/>
      <c r="DH14" s="300"/>
      <c r="DI14" s="300"/>
      <c r="DJ14" s="300"/>
      <c r="DK14" s="300"/>
      <c r="DL14" s="300"/>
      <c r="DM14" s="300"/>
      <c r="DN14" s="300"/>
      <c r="DO14" s="300"/>
      <c r="DP14" s="300"/>
      <c r="DQ14" s="300"/>
      <c r="DR14" s="300"/>
      <c r="DS14" s="300"/>
      <c r="DT14" s="300"/>
      <c r="DU14" s="300"/>
      <c r="DV14" s="300"/>
      <c r="DW14" s="300"/>
      <c r="DX14" s="300"/>
      <c r="DY14" s="300"/>
      <c r="DZ14" s="300"/>
      <c r="EA14" s="300"/>
      <c r="EB14" s="300"/>
      <c r="EC14" s="300"/>
      <c r="ED14" s="300"/>
      <c r="EE14" s="300"/>
      <c r="EF14" s="300"/>
      <c r="EG14" s="300"/>
      <c r="EH14" s="300"/>
      <c r="EI14" s="300"/>
      <c r="EJ14" s="300"/>
      <c r="EK14" s="300"/>
      <c r="EL14" s="300"/>
      <c r="EM14" s="300"/>
      <c r="EN14" s="300"/>
      <c r="EO14" s="300"/>
      <c r="EP14" s="300"/>
      <c r="EQ14" s="300"/>
      <c r="ER14" s="300"/>
      <c r="ES14" s="300"/>
      <c r="ET14" s="300"/>
      <c r="EU14" s="300"/>
      <c r="EV14" s="300"/>
      <c r="EW14" s="300"/>
      <c r="EX14" s="300"/>
      <c r="EY14" s="300"/>
      <c r="EZ14" s="300"/>
      <c r="FA14" s="300"/>
      <c r="FB14" s="300"/>
      <c r="FC14" s="300"/>
      <c r="FD14" s="300"/>
      <c r="FE14" s="300"/>
      <c r="FF14" s="300"/>
    </row>
    <row r="15" spans="1:162">
      <c r="A15" s="300"/>
      <c r="B15" s="300"/>
      <c r="C15" s="300"/>
      <c r="D15" s="300"/>
      <c r="E15" s="300"/>
      <c r="F15" s="300"/>
      <c r="G15" s="300"/>
      <c r="H15" s="300"/>
      <c r="I15" s="300"/>
      <c r="J15" s="300"/>
      <c r="K15" s="300"/>
      <c r="L15" s="300"/>
      <c r="M15" s="300"/>
      <c r="N15" s="300"/>
      <c r="O15" s="300"/>
      <c r="P15" s="300"/>
      <c r="Q15" s="300"/>
      <c r="R15" s="300"/>
      <c r="S15" s="300"/>
      <c r="T15" s="300"/>
      <c r="U15" s="300"/>
      <c r="V15" s="300"/>
      <c r="W15" s="300"/>
      <c r="X15" s="300"/>
      <c r="Y15" s="300"/>
      <c r="Z15" s="300"/>
      <c r="AA15" s="300"/>
      <c r="AB15" s="300"/>
      <c r="AC15" s="300"/>
      <c r="AD15" s="300"/>
      <c r="AE15" s="300"/>
      <c r="AF15" s="300"/>
      <c r="AG15" s="300"/>
      <c r="AH15" s="300"/>
      <c r="AI15" s="300"/>
      <c r="AJ15" s="300"/>
      <c r="AK15" s="300"/>
      <c r="AL15" s="300"/>
      <c r="AM15" s="300"/>
      <c r="AN15" s="300"/>
      <c r="AO15" s="300"/>
      <c r="AP15" s="300"/>
      <c r="AQ15" s="300"/>
      <c r="AR15" s="300"/>
      <c r="AS15" s="300"/>
      <c r="AT15" s="300"/>
      <c r="AU15" s="300"/>
      <c r="AV15" s="300"/>
      <c r="AW15" s="300"/>
      <c r="AX15" s="300"/>
      <c r="AY15" s="300"/>
      <c r="AZ15" s="300"/>
      <c r="BA15" s="300"/>
      <c r="BB15" s="300"/>
      <c r="BC15" s="300"/>
      <c r="BD15" s="300"/>
      <c r="BE15" s="300"/>
      <c r="BF15" s="300"/>
      <c r="BG15" s="300"/>
      <c r="BH15" s="300"/>
      <c r="BI15" s="300"/>
      <c r="BJ15" s="300"/>
      <c r="BK15" s="300"/>
      <c r="BL15" s="300"/>
      <c r="BM15" s="300"/>
      <c r="BN15" s="300"/>
      <c r="BO15" s="300"/>
      <c r="BP15" s="300"/>
      <c r="BQ15" s="300"/>
      <c r="BR15" s="300"/>
      <c r="BS15" s="300"/>
      <c r="BT15" s="300"/>
      <c r="BU15" s="300"/>
      <c r="BV15" s="300"/>
      <c r="BW15" s="300"/>
      <c r="BX15" s="300"/>
      <c r="BY15" s="300"/>
      <c r="BZ15" s="300"/>
      <c r="CA15" s="300"/>
      <c r="CB15" s="300"/>
      <c r="CC15" s="300"/>
      <c r="CD15" s="300"/>
      <c r="CE15" s="300"/>
      <c r="CF15" s="300"/>
      <c r="CG15" s="300"/>
      <c r="CH15" s="300"/>
      <c r="CI15" s="300"/>
      <c r="CJ15" s="300"/>
      <c r="CK15" s="300"/>
      <c r="CL15" s="300"/>
      <c r="CM15" s="300"/>
      <c r="CN15" s="300"/>
      <c r="CO15" s="300"/>
      <c r="CP15" s="300"/>
      <c r="CQ15" s="300"/>
      <c r="CR15" s="300"/>
      <c r="CS15" s="300"/>
      <c r="CT15" s="300"/>
      <c r="CU15" s="300"/>
      <c r="CV15" s="300"/>
      <c r="CW15" s="300"/>
      <c r="CX15" s="300"/>
      <c r="CY15" s="300"/>
      <c r="CZ15" s="300"/>
      <c r="DA15" s="300"/>
      <c r="DB15" s="300"/>
      <c r="DC15" s="300"/>
      <c r="DD15" s="300"/>
      <c r="DE15" s="300"/>
      <c r="DF15" s="300"/>
      <c r="DG15" s="300"/>
      <c r="DH15" s="300"/>
      <c r="DI15" s="300"/>
      <c r="DJ15" s="300"/>
      <c r="DK15" s="300"/>
      <c r="DL15" s="300"/>
      <c r="DM15" s="300"/>
      <c r="DN15" s="300"/>
      <c r="DO15" s="300"/>
      <c r="DP15" s="300"/>
      <c r="DQ15" s="300"/>
      <c r="DR15" s="300"/>
      <c r="DS15" s="300"/>
      <c r="DT15" s="300"/>
      <c r="DU15" s="300"/>
      <c r="DV15" s="300"/>
      <c r="DW15" s="300"/>
      <c r="DX15" s="300"/>
      <c r="DY15" s="300"/>
      <c r="DZ15" s="300"/>
      <c r="EA15" s="300"/>
      <c r="EB15" s="300"/>
      <c r="EC15" s="300"/>
      <c r="ED15" s="300"/>
      <c r="EE15" s="300"/>
      <c r="EF15" s="300"/>
      <c r="EG15" s="300"/>
      <c r="EH15" s="300"/>
      <c r="EI15" s="300"/>
      <c r="EJ15" s="300"/>
      <c r="EK15" s="300"/>
      <c r="EL15" s="300"/>
      <c r="EM15" s="300"/>
      <c r="EN15" s="300"/>
      <c r="EO15" s="300"/>
      <c r="EP15" s="300"/>
      <c r="EQ15" s="300"/>
      <c r="ER15" s="300"/>
      <c r="ES15" s="300"/>
      <c r="ET15" s="300"/>
      <c r="EU15" s="300"/>
      <c r="EV15" s="300"/>
      <c r="EW15" s="300"/>
      <c r="EX15" s="300"/>
      <c r="EY15" s="300"/>
      <c r="EZ15" s="300"/>
      <c r="FA15" s="300"/>
      <c r="FB15" s="300"/>
      <c r="FC15" s="300"/>
      <c r="FD15" s="300"/>
      <c r="FE15" s="300"/>
      <c r="FF15" s="300"/>
    </row>
    <row r="16" spans="1:162">
      <c r="A16" s="300"/>
      <c r="B16" s="300"/>
      <c r="C16" s="300"/>
      <c r="D16" s="300"/>
      <c r="E16" s="300"/>
      <c r="F16" s="300"/>
      <c r="G16" s="300"/>
      <c r="H16" s="300"/>
      <c r="I16" s="300"/>
      <c r="J16" s="300"/>
      <c r="K16" s="300"/>
      <c r="L16" s="300"/>
      <c r="M16" s="300"/>
      <c r="N16" s="300"/>
      <c r="O16" s="300"/>
      <c r="P16" s="300"/>
      <c r="Q16" s="300"/>
      <c r="R16" s="300"/>
      <c r="S16" s="300"/>
      <c r="T16" s="300"/>
      <c r="U16" s="300"/>
      <c r="V16" s="300"/>
      <c r="W16" s="300"/>
      <c r="X16" s="300"/>
      <c r="Y16" s="300"/>
      <c r="Z16" s="300"/>
      <c r="AA16" s="300"/>
      <c r="AB16" s="300"/>
      <c r="AC16" s="300"/>
      <c r="AD16" s="300"/>
      <c r="AE16" s="300"/>
      <c r="AF16" s="300"/>
      <c r="AG16" s="300"/>
      <c r="AH16" s="300"/>
      <c r="AI16" s="300"/>
      <c r="AJ16" s="300"/>
      <c r="AK16" s="300"/>
      <c r="AL16" s="300"/>
      <c r="AM16" s="300"/>
      <c r="AN16" s="300"/>
      <c r="AO16" s="300"/>
      <c r="AP16" s="300"/>
      <c r="AQ16" s="300"/>
      <c r="AR16" s="300"/>
      <c r="AS16" s="300"/>
      <c r="AT16" s="300"/>
      <c r="AU16" s="300"/>
      <c r="AV16" s="300"/>
      <c r="AW16" s="300"/>
      <c r="AX16" s="300"/>
      <c r="AY16" s="300"/>
      <c r="AZ16" s="300"/>
      <c r="BA16" s="300"/>
      <c r="BB16" s="300"/>
      <c r="BC16" s="300"/>
      <c r="BD16" s="300"/>
      <c r="BE16" s="300"/>
      <c r="BF16" s="300"/>
      <c r="BG16" s="300"/>
      <c r="BH16" s="300"/>
      <c r="BI16" s="300"/>
      <c r="BJ16" s="300"/>
      <c r="BK16" s="300"/>
      <c r="BL16" s="300"/>
      <c r="BM16" s="300"/>
      <c r="BN16" s="300"/>
      <c r="BO16" s="300"/>
      <c r="BP16" s="300"/>
      <c r="BQ16" s="300"/>
      <c r="BR16" s="300"/>
      <c r="BS16" s="300"/>
      <c r="BT16" s="300"/>
      <c r="BU16" s="300"/>
      <c r="BV16" s="300"/>
      <c r="BW16" s="300"/>
      <c r="BX16" s="300"/>
      <c r="BY16" s="300"/>
      <c r="BZ16" s="300"/>
      <c r="CA16" s="300"/>
      <c r="CB16" s="300"/>
      <c r="CC16" s="300"/>
      <c r="CD16" s="300"/>
      <c r="CE16" s="300"/>
      <c r="CF16" s="300"/>
      <c r="CG16" s="300"/>
      <c r="CH16" s="300"/>
      <c r="CI16" s="300"/>
      <c r="CJ16" s="300"/>
      <c r="CK16" s="300"/>
      <c r="CL16" s="300"/>
      <c r="CM16" s="300"/>
      <c r="CN16" s="300"/>
      <c r="CO16" s="300"/>
      <c r="CP16" s="300"/>
      <c r="CQ16" s="300"/>
      <c r="CR16" s="300"/>
      <c r="CS16" s="300"/>
      <c r="CT16" s="300"/>
      <c r="CU16" s="300"/>
      <c r="CV16" s="300"/>
      <c r="CW16" s="300"/>
      <c r="CX16" s="300"/>
      <c r="CY16" s="300"/>
      <c r="CZ16" s="300"/>
      <c r="DA16" s="300"/>
      <c r="DB16" s="300"/>
      <c r="DC16" s="300"/>
      <c r="DD16" s="300"/>
      <c r="DE16" s="300"/>
      <c r="DF16" s="300"/>
      <c r="DG16" s="300"/>
      <c r="DH16" s="300"/>
      <c r="DI16" s="300"/>
      <c r="DJ16" s="300"/>
      <c r="DK16" s="300"/>
      <c r="DL16" s="300"/>
      <c r="DM16" s="300"/>
      <c r="DN16" s="300"/>
      <c r="DO16" s="300"/>
      <c r="DP16" s="300"/>
      <c r="DQ16" s="300"/>
      <c r="DR16" s="300"/>
      <c r="DS16" s="300"/>
      <c r="DT16" s="300"/>
      <c r="DU16" s="300"/>
      <c r="DV16" s="300"/>
      <c r="DW16" s="300"/>
      <c r="DX16" s="300"/>
      <c r="DY16" s="300"/>
      <c r="DZ16" s="300"/>
      <c r="EA16" s="300"/>
      <c r="EB16" s="300"/>
      <c r="EC16" s="300"/>
      <c r="ED16" s="300"/>
      <c r="EE16" s="300"/>
      <c r="EF16" s="300"/>
      <c r="EG16" s="300"/>
      <c r="EH16" s="300"/>
      <c r="EI16" s="300"/>
      <c r="EJ16" s="300"/>
      <c r="EK16" s="300"/>
      <c r="EL16" s="300"/>
      <c r="EM16" s="300"/>
      <c r="EN16" s="300"/>
      <c r="EO16" s="300"/>
      <c r="EP16" s="300"/>
      <c r="EQ16" s="300"/>
      <c r="ER16" s="300"/>
      <c r="ES16" s="300"/>
      <c r="ET16" s="300"/>
      <c r="EU16" s="300"/>
      <c r="EV16" s="300"/>
      <c r="EW16" s="300"/>
      <c r="EX16" s="300"/>
      <c r="EY16" s="300"/>
      <c r="EZ16" s="300"/>
      <c r="FA16" s="300"/>
      <c r="FB16" s="300"/>
      <c r="FC16" s="300"/>
      <c r="FD16" s="300"/>
      <c r="FE16" s="300"/>
      <c r="FF16" s="300"/>
    </row>
    <row r="17" spans="1:162">
      <c r="A17" s="300"/>
      <c r="B17" s="300"/>
      <c r="C17" s="300"/>
      <c r="D17" s="300"/>
      <c r="E17" s="300"/>
      <c r="F17" s="300"/>
      <c r="G17" s="300"/>
      <c r="H17" s="300"/>
      <c r="I17" s="300"/>
      <c r="J17" s="300"/>
      <c r="K17" s="300"/>
      <c r="L17" s="300"/>
      <c r="M17" s="300"/>
      <c r="N17" s="300"/>
      <c r="O17" s="300"/>
      <c r="P17" s="300"/>
      <c r="Q17" s="300"/>
      <c r="R17" s="300"/>
      <c r="S17" s="300"/>
      <c r="T17" s="300"/>
      <c r="U17" s="300"/>
      <c r="V17" s="300"/>
      <c r="W17" s="300"/>
      <c r="X17" s="300"/>
      <c r="Y17" s="300"/>
      <c r="Z17" s="300"/>
      <c r="AA17" s="300"/>
      <c r="AB17" s="300"/>
      <c r="AC17" s="300"/>
      <c r="AD17" s="300"/>
      <c r="AE17" s="300"/>
      <c r="AF17" s="300"/>
      <c r="AG17" s="300"/>
      <c r="AH17" s="300"/>
      <c r="AI17" s="300"/>
      <c r="AJ17" s="300"/>
      <c r="AK17" s="300"/>
      <c r="AL17" s="300"/>
      <c r="AM17" s="300"/>
      <c r="AN17" s="300"/>
      <c r="AO17" s="300"/>
      <c r="AP17" s="300"/>
      <c r="AQ17" s="300"/>
      <c r="AR17" s="300"/>
      <c r="AS17" s="300"/>
      <c r="AT17" s="300"/>
      <c r="AU17" s="300"/>
      <c r="AV17" s="300"/>
      <c r="AW17" s="300"/>
      <c r="AX17" s="300"/>
      <c r="AY17" s="300"/>
      <c r="AZ17" s="300"/>
      <c r="BA17" s="300"/>
      <c r="BB17" s="300"/>
      <c r="BC17" s="300"/>
      <c r="BD17" s="300"/>
      <c r="BE17" s="300"/>
      <c r="BF17" s="300"/>
      <c r="BG17" s="300"/>
      <c r="BH17" s="300"/>
      <c r="BI17" s="300"/>
      <c r="BJ17" s="300"/>
      <c r="BK17" s="300"/>
      <c r="BL17" s="300"/>
      <c r="BM17" s="300"/>
      <c r="BN17" s="300"/>
      <c r="BO17" s="300"/>
      <c r="BP17" s="300"/>
      <c r="BQ17" s="300"/>
      <c r="BR17" s="300"/>
      <c r="BS17" s="300"/>
      <c r="BT17" s="300"/>
      <c r="BU17" s="300"/>
      <c r="BV17" s="300"/>
      <c r="BW17" s="300"/>
      <c r="BX17" s="300"/>
      <c r="BY17" s="300"/>
      <c r="BZ17" s="300"/>
      <c r="CA17" s="300"/>
      <c r="CB17" s="300"/>
      <c r="CC17" s="300"/>
      <c r="CD17" s="300"/>
      <c r="CE17" s="300"/>
      <c r="CF17" s="300"/>
      <c r="CG17" s="300"/>
      <c r="CH17" s="300"/>
      <c r="CI17" s="300"/>
      <c r="CJ17" s="300"/>
      <c r="CK17" s="300"/>
      <c r="CL17" s="300"/>
      <c r="CM17" s="300"/>
      <c r="CN17" s="300"/>
      <c r="CO17" s="300"/>
      <c r="CP17" s="300"/>
      <c r="CQ17" s="300"/>
      <c r="CR17" s="300"/>
      <c r="CS17" s="300"/>
      <c r="CT17" s="300"/>
      <c r="CU17" s="300"/>
      <c r="CV17" s="300"/>
      <c r="CW17" s="300"/>
      <c r="CX17" s="300"/>
      <c r="CY17" s="300"/>
      <c r="CZ17" s="300"/>
      <c r="DA17" s="300"/>
      <c r="DB17" s="300"/>
      <c r="DC17" s="300"/>
      <c r="DD17" s="300"/>
      <c r="DE17" s="300"/>
      <c r="DF17" s="300"/>
      <c r="DG17" s="300"/>
      <c r="DH17" s="300"/>
      <c r="DI17" s="300"/>
      <c r="DJ17" s="300"/>
      <c r="DK17" s="300"/>
      <c r="DL17" s="300"/>
      <c r="DM17" s="300"/>
      <c r="DN17" s="300"/>
      <c r="DO17" s="300"/>
      <c r="DP17" s="300"/>
      <c r="DQ17" s="300"/>
      <c r="DR17" s="300"/>
      <c r="DS17" s="300"/>
      <c r="DT17" s="300"/>
      <c r="DU17" s="300"/>
      <c r="DV17" s="300"/>
      <c r="DW17" s="300"/>
      <c r="DX17" s="300"/>
      <c r="DY17" s="300"/>
      <c r="DZ17" s="300"/>
      <c r="EA17" s="300"/>
      <c r="EB17" s="300"/>
      <c r="EC17" s="300"/>
      <c r="ED17" s="300"/>
      <c r="EE17" s="300"/>
      <c r="EF17" s="300"/>
      <c r="EG17" s="300"/>
      <c r="EH17" s="300"/>
      <c r="EI17" s="300"/>
      <c r="EJ17" s="300"/>
      <c r="EK17" s="300"/>
      <c r="EL17" s="300"/>
      <c r="EM17" s="300"/>
      <c r="EN17" s="300"/>
      <c r="EO17" s="300"/>
      <c r="EP17" s="300"/>
      <c r="EQ17" s="300"/>
      <c r="ER17" s="300"/>
      <c r="ES17" s="300"/>
      <c r="ET17" s="300"/>
      <c r="EU17" s="300"/>
      <c r="EV17" s="300"/>
      <c r="EW17" s="300"/>
      <c r="EX17" s="300"/>
      <c r="EY17" s="300"/>
      <c r="EZ17" s="300"/>
      <c r="FA17" s="300"/>
      <c r="FB17" s="300"/>
      <c r="FC17" s="300"/>
      <c r="FD17" s="300"/>
      <c r="FE17" s="300"/>
      <c r="FF17" s="300"/>
    </row>
    <row r="18" spans="1:162">
      <c r="A18" s="300"/>
      <c r="B18" s="300"/>
      <c r="C18" s="300"/>
      <c r="D18" s="300"/>
      <c r="E18" s="300"/>
      <c r="F18" s="300"/>
      <c r="G18" s="300"/>
      <c r="H18" s="300"/>
      <c r="I18" s="300"/>
      <c r="J18" s="300"/>
      <c r="K18" s="300"/>
      <c r="L18" s="300"/>
      <c r="M18" s="300"/>
      <c r="N18" s="300"/>
      <c r="O18" s="300"/>
      <c r="P18" s="300"/>
      <c r="Q18" s="300"/>
      <c r="R18" s="300"/>
      <c r="S18" s="300"/>
      <c r="T18" s="300"/>
      <c r="U18" s="300"/>
      <c r="V18" s="300"/>
      <c r="W18" s="300"/>
      <c r="X18" s="300"/>
      <c r="Y18" s="300"/>
      <c r="Z18" s="300"/>
      <c r="AA18" s="300"/>
      <c r="AB18" s="300"/>
      <c r="AC18" s="300"/>
      <c r="AD18" s="300"/>
      <c r="AE18" s="300"/>
      <c r="AF18" s="300"/>
      <c r="AG18" s="300"/>
      <c r="AH18" s="300"/>
      <c r="AI18" s="300"/>
      <c r="AJ18" s="300"/>
      <c r="AK18" s="300"/>
      <c r="AL18" s="300"/>
      <c r="AM18" s="300"/>
      <c r="AN18" s="300"/>
      <c r="AO18" s="300"/>
      <c r="AP18" s="300"/>
      <c r="AQ18" s="300"/>
      <c r="AR18" s="300"/>
      <c r="AS18" s="300"/>
      <c r="AT18" s="300"/>
      <c r="AU18" s="300"/>
      <c r="AV18" s="300"/>
      <c r="AW18" s="300"/>
      <c r="AX18" s="300"/>
      <c r="AY18" s="300"/>
      <c r="AZ18" s="300"/>
      <c r="BA18" s="300"/>
      <c r="BB18" s="300"/>
      <c r="BC18" s="300"/>
      <c r="BD18" s="300"/>
      <c r="BE18" s="300"/>
      <c r="BF18" s="300"/>
      <c r="BG18" s="300"/>
      <c r="BH18" s="300"/>
      <c r="BI18" s="300"/>
      <c r="BJ18" s="300"/>
      <c r="BK18" s="300"/>
      <c r="BL18" s="300"/>
      <c r="BM18" s="300"/>
      <c r="BN18" s="300"/>
      <c r="BO18" s="300"/>
      <c r="BP18" s="300"/>
      <c r="BQ18" s="300"/>
      <c r="BR18" s="300"/>
      <c r="BS18" s="300"/>
      <c r="BT18" s="300"/>
      <c r="BU18" s="300"/>
      <c r="BV18" s="300"/>
      <c r="BW18" s="300"/>
      <c r="BX18" s="300"/>
      <c r="BY18" s="300"/>
      <c r="BZ18" s="300"/>
      <c r="CA18" s="300"/>
      <c r="CB18" s="300"/>
      <c r="CC18" s="300"/>
      <c r="CD18" s="300"/>
      <c r="CE18" s="300"/>
      <c r="CF18" s="300"/>
      <c r="CG18" s="300"/>
      <c r="CH18" s="300"/>
      <c r="CI18" s="300"/>
      <c r="CJ18" s="300"/>
      <c r="CK18" s="300"/>
      <c r="CL18" s="300"/>
      <c r="CM18" s="300"/>
      <c r="CN18" s="300"/>
      <c r="CO18" s="300"/>
      <c r="CP18" s="300"/>
      <c r="CQ18" s="300"/>
      <c r="CR18" s="300"/>
      <c r="CS18" s="300"/>
      <c r="CT18" s="300"/>
      <c r="CU18" s="300"/>
      <c r="CV18" s="300"/>
      <c r="CW18" s="300"/>
      <c r="CX18" s="300"/>
      <c r="CY18" s="300"/>
      <c r="CZ18" s="300"/>
      <c r="DA18" s="300"/>
      <c r="DB18" s="300"/>
      <c r="DC18" s="300"/>
      <c r="DD18" s="300"/>
      <c r="DE18" s="300"/>
      <c r="DF18" s="300"/>
      <c r="DG18" s="300"/>
      <c r="DH18" s="300"/>
      <c r="DI18" s="300"/>
      <c r="DJ18" s="300"/>
      <c r="DK18" s="300"/>
      <c r="DL18" s="300"/>
      <c r="DM18" s="300"/>
      <c r="DN18" s="300"/>
      <c r="DO18" s="300"/>
      <c r="DP18" s="300"/>
      <c r="DQ18" s="300"/>
      <c r="DR18" s="300"/>
      <c r="DS18" s="300"/>
      <c r="DT18" s="300"/>
      <c r="DU18" s="300"/>
      <c r="DV18" s="300"/>
      <c r="DW18" s="300"/>
      <c r="DX18" s="300"/>
      <c r="DY18" s="300"/>
      <c r="DZ18" s="300"/>
      <c r="EA18" s="300"/>
      <c r="EB18" s="300"/>
      <c r="EC18" s="300"/>
      <c r="ED18" s="300"/>
      <c r="EE18" s="300"/>
      <c r="EF18" s="300"/>
      <c r="EG18" s="300"/>
      <c r="EH18" s="300"/>
      <c r="EI18" s="300"/>
      <c r="EJ18" s="300"/>
      <c r="EK18" s="300"/>
      <c r="EL18" s="300"/>
      <c r="EM18" s="300"/>
      <c r="EN18" s="300"/>
      <c r="EO18" s="300"/>
      <c r="EP18" s="300"/>
      <c r="EQ18" s="300"/>
      <c r="ER18" s="300"/>
      <c r="ES18" s="300"/>
      <c r="ET18" s="300"/>
      <c r="EU18" s="300"/>
      <c r="EV18" s="300"/>
      <c r="EW18" s="300"/>
      <c r="EX18" s="300"/>
      <c r="EY18" s="300"/>
      <c r="EZ18" s="300"/>
      <c r="FA18" s="300"/>
      <c r="FB18" s="300"/>
      <c r="FC18" s="300"/>
      <c r="FD18" s="300"/>
      <c r="FE18" s="300"/>
      <c r="FF18" s="300"/>
    </row>
    <row r="19" spans="1:162">
      <c r="A19" s="300"/>
      <c r="B19" s="300"/>
      <c r="C19" s="300"/>
      <c r="D19" s="300"/>
      <c r="E19" s="300"/>
      <c r="F19" s="300"/>
      <c r="G19" s="300"/>
      <c r="H19" s="300"/>
      <c r="I19" s="300"/>
      <c r="J19" s="300"/>
      <c r="K19" s="300"/>
      <c r="L19" s="300"/>
      <c r="M19" s="300"/>
      <c r="N19" s="300"/>
      <c r="O19" s="300"/>
      <c r="P19" s="300"/>
      <c r="Q19" s="300"/>
      <c r="R19" s="300"/>
      <c r="S19" s="300"/>
      <c r="T19" s="300"/>
      <c r="U19" s="300"/>
      <c r="V19" s="300"/>
      <c r="W19" s="300"/>
      <c r="X19" s="300"/>
      <c r="Y19" s="300"/>
      <c r="Z19" s="300"/>
      <c r="AA19" s="300"/>
      <c r="AB19" s="300"/>
      <c r="AC19" s="300"/>
      <c r="AD19" s="300"/>
      <c r="AE19" s="300"/>
      <c r="AF19" s="300"/>
      <c r="AG19" s="300"/>
      <c r="AH19" s="300"/>
      <c r="AI19" s="300"/>
      <c r="AJ19" s="300"/>
      <c r="AK19" s="300"/>
      <c r="AL19" s="300"/>
      <c r="AM19" s="300"/>
      <c r="AN19" s="300"/>
      <c r="AO19" s="300"/>
      <c r="AP19" s="300"/>
      <c r="AQ19" s="300"/>
      <c r="AR19" s="300"/>
      <c r="AS19" s="300"/>
      <c r="AT19" s="300"/>
      <c r="AU19" s="300"/>
      <c r="AV19" s="300"/>
      <c r="AW19" s="300"/>
      <c r="AX19" s="300"/>
      <c r="AY19" s="300"/>
      <c r="AZ19" s="300"/>
      <c r="BA19" s="300"/>
      <c r="BB19" s="300"/>
      <c r="BC19" s="300"/>
      <c r="BD19" s="300"/>
      <c r="BE19" s="300"/>
      <c r="BF19" s="300"/>
      <c r="BG19" s="300"/>
      <c r="BH19" s="300"/>
      <c r="BI19" s="300"/>
      <c r="BJ19" s="300"/>
      <c r="BK19" s="300"/>
      <c r="BL19" s="300"/>
      <c r="BM19" s="300"/>
      <c r="BN19" s="300"/>
      <c r="BO19" s="300"/>
      <c r="BP19" s="300"/>
      <c r="BQ19" s="300"/>
      <c r="BR19" s="300"/>
      <c r="BS19" s="300"/>
      <c r="BT19" s="300"/>
      <c r="BU19" s="300"/>
      <c r="BV19" s="300"/>
      <c r="BW19" s="300"/>
      <c r="BX19" s="300"/>
      <c r="BY19" s="300"/>
      <c r="BZ19" s="300"/>
      <c r="CA19" s="300"/>
      <c r="CB19" s="300"/>
      <c r="CC19" s="300"/>
      <c r="CD19" s="300"/>
      <c r="CE19" s="300"/>
      <c r="CF19" s="300"/>
      <c r="CG19" s="300"/>
      <c r="CH19" s="300"/>
      <c r="CI19" s="300"/>
      <c r="CJ19" s="300"/>
      <c r="CK19" s="300"/>
      <c r="CL19" s="300"/>
      <c r="CM19" s="300"/>
      <c r="CN19" s="300"/>
      <c r="CO19" s="300"/>
      <c r="CP19" s="300"/>
      <c r="CQ19" s="300"/>
      <c r="CR19" s="300"/>
      <c r="CS19" s="300"/>
      <c r="CT19" s="300"/>
      <c r="CU19" s="300"/>
      <c r="CV19" s="300"/>
      <c r="CW19" s="300"/>
      <c r="CX19" s="300"/>
      <c r="CY19" s="300"/>
      <c r="CZ19" s="300"/>
      <c r="DA19" s="300"/>
      <c r="DB19" s="300"/>
      <c r="DC19" s="300"/>
      <c r="DD19" s="300"/>
      <c r="DE19" s="300"/>
      <c r="DF19" s="300"/>
      <c r="DG19" s="300"/>
      <c r="DH19" s="300"/>
      <c r="DI19" s="300"/>
      <c r="DJ19" s="300"/>
      <c r="DK19" s="300"/>
      <c r="DL19" s="300"/>
      <c r="DM19" s="300"/>
      <c r="DN19" s="300"/>
      <c r="DO19" s="300"/>
      <c r="DP19" s="300"/>
      <c r="DQ19" s="300"/>
      <c r="DR19" s="300"/>
      <c r="DS19" s="300"/>
      <c r="DT19" s="300"/>
      <c r="DU19" s="300"/>
      <c r="DV19" s="300"/>
      <c r="DW19" s="300"/>
      <c r="DX19" s="300"/>
      <c r="DY19" s="300"/>
      <c r="DZ19" s="300"/>
      <c r="EA19" s="300"/>
      <c r="EB19" s="300"/>
      <c r="EC19" s="300"/>
      <c r="ED19" s="300"/>
      <c r="EE19" s="300"/>
      <c r="EF19" s="300"/>
      <c r="EG19" s="300"/>
      <c r="EH19" s="300"/>
      <c r="EI19" s="300"/>
      <c r="EJ19" s="300"/>
      <c r="EK19" s="300"/>
      <c r="EL19" s="300"/>
      <c r="EM19" s="300"/>
      <c r="EN19" s="300"/>
      <c r="EO19" s="300"/>
      <c r="EP19" s="300"/>
      <c r="EQ19" s="300"/>
      <c r="ER19" s="300"/>
      <c r="ES19" s="300"/>
      <c r="ET19" s="300"/>
      <c r="EU19" s="300"/>
      <c r="EV19" s="300"/>
      <c r="EW19" s="300"/>
      <c r="EX19" s="300"/>
      <c r="EY19" s="300"/>
      <c r="EZ19" s="300"/>
      <c r="FA19" s="300"/>
      <c r="FB19" s="300"/>
      <c r="FC19" s="300"/>
      <c r="FD19" s="300"/>
      <c r="FE19" s="300"/>
      <c r="FF19" s="300"/>
    </row>
    <row r="20" spans="1:162">
      <c r="A20" s="300"/>
      <c r="B20" s="300"/>
      <c r="C20" s="300"/>
      <c r="D20" s="300"/>
      <c r="E20" s="300"/>
      <c r="F20" s="300"/>
      <c r="G20" s="300"/>
      <c r="H20" s="300"/>
      <c r="I20" s="300"/>
      <c r="J20" s="300"/>
      <c r="K20" s="300"/>
      <c r="L20" s="300"/>
      <c r="M20" s="300"/>
      <c r="N20" s="300"/>
      <c r="O20" s="300"/>
      <c r="P20" s="300"/>
      <c r="Q20" s="300"/>
      <c r="R20" s="300"/>
      <c r="S20" s="300"/>
      <c r="T20" s="300"/>
      <c r="U20" s="300"/>
      <c r="V20" s="300"/>
      <c r="W20" s="300"/>
      <c r="X20" s="300"/>
      <c r="Y20" s="300"/>
      <c r="Z20" s="300"/>
      <c r="AA20" s="300"/>
      <c r="AB20" s="300"/>
      <c r="AC20" s="300"/>
      <c r="AD20" s="300"/>
      <c r="AE20" s="300"/>
      <c r="AF20" s="300"/>
      <c r="AG20" s="300"/>
      <c r="AH20" s="300"/>
      <c r="AI20" s="300"/>
      <c r="AJ20" s="300"/>
      <c r="AK20" s="300"/>
      <c r="AL20" s="300"/>
      <c r="AM20" s="300"/>
      <c r="AN20" s="300"/>
      <c r="AO20" s="300"/>
      <c r="AP20" s="300"/>
      <c r="AQ20" s="300"/>
      <c r="AR20" s="300"/>
      <c r="AS20" s="300"/>
      <c r="AT20" s="300"/>
      <c r="AU20" s="300"/>
      <c r="AV20" s="300"/>
      <c r="AW20" s="300"/>
      <c r="AX20" s="300"/>
      <c r="AY20" s="300"/>
      <c r="AZ20" s="300"/>
      <c r="BA20" s="300"/>
      <c r="BB20" s="300"/>
      <c r="BC20" s="300"/>
      <c r="BD20" s="300"/>
      <c r="BE20" s="300"/>
      <c r="BF20" s="300"/>
      <c r="BG20" s="300"/>
      <c r="BH20" s="300"/>
      <c r="BI20" s="300"/>
      <c r="BJ20" s="300"/>
      <c r="BK20" s="300"/>
      <c r="BL20" s="300"/>
      <c r="BM20" s="300"/>
      <c r="BN20" s="300"/>
      <c r="BO20" s="300"/>
      <c r="BP20" s="300"/>
      <c r="BQ20" s="300"/>
      <c r="BR20" s="300"/>
      <c r="BS20" s="300"/>
      <c r="BT20" s="300"/>
      <c r="BU20" s="300"/>
      <c r="BV20" s="300"/>
      <c r="BW20" s="300"/>
      <c r="BX20" s="300"/>
      <c r="BY20" s="300"/>
      <c r="BZ20" s="300"/>
      <c r="CA20" s="300"/>
      <c r="CB20" s="300"/>
      <c r="CC20" s="300"/>
      <c r="CD20" s="300"/>
      <c r="CE20" s="300"/>
      <c r="CF20" s="300"/>
      <c r="CG20" s="300"/>
      <c r="CH20" s="300"/>
      <c r="CI20" s="300"/>
      <c r="CJ20" s="300"/>
      <c r="CK20" s="300"/>
      <c r="CL20" s="300"/>
      <c r="CM20" s="300"/>
      <c r="CN20" s="300"/>
      <c r="CO20" s="300"/>
      <c r="CP20" s="300"/>
      <c r="CQ20" s="300"/>
      <c r="CR20" s="300"/>
      <c r="CS20" s="300"/>
      <c r="CT20" s="300"/>
      <c r="CU20" s="300"/>
      <c r="CV20" s="300"/>
      <c r="CW20" s="300"/>
      <c r="CX20" s="300"/>
      <c r="CY20" s="300"/>
      <c r="CZ20" s="300"/>
      <c r="DA20" s="300"/>
      <c r="DB20" s="300"/>
      <c r="DC20" s="300"/>
      <c r="DD20" s="300"/>
      <c r="DE20" s="300"/>
      <c r="DF20" s="300"/>
      <c r="DG20" s="300"/>
      <c r="DH20" s="300"/>
      <c r="DI20" s="300"/>
      <c r="DJ20" s="300"/>
      <c r="DK20" s="300"/>
      <c r="DL20" s="300"/>
      <c r="DM20" s="300"/>
      <c r="DN20" s="300"/>
      <c r="DO20" s="300"/>
      <c r="DP20" s="300"/>
      <c r="DQ20" s="300"/>
      <c r="DR20" s="300"/>
      <c r="DS20" s="300"/>
      <c r="DT20" s="300"/>
      <c r="DU20" s="300"/>
      <c r="DV20" s="300"/>
      <c r="DW20" s="300"/>
      <c r="DX20" s="300"/>
      <c r="DY20" s="300"/>
      <c r="DZ20" s="300"/>
      <c r="EA20" s="300"/>
      <c r="EB20" s="300"/>
      <c r="EC20" s="300"/>
      <c r="ED20" s="300"/>
      <c r="EE20" s="300"/>
      <c r="EF20" s="300"/>
      <c r="EG20" s="300"/>
      <c r="EH20" s="300"/>
      <c r="EI20" s="300"/>
      <c r="EJ20" s="300"/>
      <c r="EK20" s="300"/>
      <c r="EL20" s="300"/>
      <c r="EM20" s="300"/>
      <c r="EN20" s="300"/>
      <c r="EO20" s="300"/>
      <c r="EP20" s="300"/>
      <c r="EQ20" s="300"/>
      <c r="ER20" s="300"/>
      <c r="ES20" s="300"/>
      <c r="ET20" s="300"/>
      <c r="EU20" s="300"/>
      <c r="EV20" s="300"/>
      <c r="EW20" s="300"/>
      <c r="EX20" s="300"/>
      <c r="EY20" s="300"/>
      <c r="EZ20" s="300"/>
      <c r="FA20" s="300"/>
      <c r="FB20" s="300"/>
      <c r="FC20" s="300"/>
      <c r="FD20" s="300"/>
      <c r="FE20" s="300"/>
      <c r="FF20" s="300"/>
    </row>
    <row r="21" spans="1:162">
      <c r="A21" s="300"/>
      <c r="B21" s="300"/>
      <c r="C21" s="300"/>
      <c r="D21" s="300"/>
      <c r="E21" s="300"/>
      <c r="F21" s="300"/>
      <c r="G21" s="300"/>
      <c r="H21" s="300"/>
      <c r="I21" s="300"/>
      <c r="J21" s="300"/>
      <c r="K21" s="300"/>
      <c r="L21" s="300"/>
      <c r="M21" s="300"/>
      <c r="N21" s="300"/>
      <c r="O21" s="300"/>
      <c r="P21" s="300"/>
      <c r="Q21" s="300"/>
      <c r="R21" s="300"/>
      <c r="S21" s="300"/>
      <c r="T21" s="300"/>
      <c r="U21" s="300"/>
      <c r="V21" s="300"/>
      <c r="W21" s="300"/>
      <c r="X21" s="300"/>
      <c r="Y21" s="300"/>
      <c r="Z21" s="300"/>
      <c r="AA21" s="300"/>
      <c r="AB21" s="300"/>
      <c r="AC21" s="300"/>
      <c r="AD21" s="300"/>
      <c r="AE21" s="300"/>
      <c r="AF21" s="300"/>
      <c r="AG21" s="300"/>
      <c r="AH21" s="300"/>
      <c r="AI21" s="300"/>
      <c r="AJ21" s="300"/>
      <c r="AK21" s="300"/>
      <c r="AL21" s="300"/>
      <c r="AM21" s="300"/>
      <c r="AN21" s="300"/>
      <c r="AO21" s="300"/>
      <c r="AP21" s="300"/>
      <c r="AQ21" s="300"/>
      <c r="AR21" s="300"/>
      <c r="AS21" s="300"/>
      <c r="AT21" s="300"/>
      <c r="AU21" s="300"/>
      <c r="AV21" s="300"/>
      <c r="AW21" s="300"/>
      <c r="AX21" s="300"/>
      <c r="AY21" s="300"/>
      <c r="AZ21" s="300"/>
      <c r="BA21" s="300"/>
      <c r="BB21" s="300"/>
      <c r="BC21" s="300"/>
      <c r="BD21" s="300"/>
      <c r="BE21" s="300"/>
      <c r="BF21" s="300"/>
      <c r="BG21" s="300"/>
      <c r="BH21" s="300"/>
      <c r="BI21" s="300"/>
      <c r="BJ21" s="300"/>
      <c r="BK21" s="300"/>
      <c r="BL21" s="300"/>
      <c r="BM21" s="300"/>
      <c r="BN21" s="300"/>
      <c r="BO21" s="300"/>
      <c r="BP21" s="300"/>
      <c r="BQ21" s="300"/>
      <c r="BR21" s="300"/>
      <c r="BS21" s="300"/>
      <c r="BT21" s="300"/>
      <c r="BU21" s="300"/>
      <c r="BV21" s="300"/>
      <c r="BW21" s="300"/>
      <c r="BX21" s="300"/>
      <c r="BY21" s="300"/>
      <c r="BZ21" s="300"/>
      <c r="CA21" s="300"/>
      <c r="CB21" s="300"/>
      <c r="CC21" s="300"/>
      <c r="CD21" s="300"/>
      <c r="CE21" s="300"/>
      <c r="CF21" s="300"/>
      <c r="CG21" s="300"/>
      <c r="CH21" s="300"/>
      <c r="CI21" s="300"/>
      <c r="CJ21" s="300"/>
      <c r="CK21" s="300"/>
      <c r="CL21" s="300"/>
      <c r="CM21" s="300"/>
      <c r="CN21" s="300"/>
      <c r="CO21" s="300"/>
      <c r="CP21" s="300"/>
      <c r="CQ21" s="300"/>
      <c r="CR21" s="300"/>
      <c r="CS21" s="300"/>
      <c r="CT21" s="300"/>
      <c r="CU21" s="300"/>
      <c r="CV21" s="300"/>
      <c r="CW21" s="300"/>
      <c r="CX21" s="300"/>
      <c r="CY21" s="300"/>
      <c r="CZ21" s="300"/>
      <c r="DA21" s="300"/>
      <c r="DB21" s="300"/>
      <c r="DC21" s="300"/>
      <c r="DD21" s="300"/>
      <c r="DE21" s="300"/>
      <c r="DF21" s="300"/>
      <c r="DG21" s="300"/>
      <c r="DH21" s="300"/>
      <c r="DI21" s="300"/>
      <c r="DJ21" s="300"/>
      <c r="DK21" s="300"/>
      <c r="DL21" s="300"/>
      <c r="DM21" s="300"/>
      <c r="DN21" s="300"/>
      <c r="DO21" s="300"/>
      <c r="DP21" s="300"/>
      <c r="DQ21" s="300"/>
      <c r="DR21" s="300"/>
      <c r="DS21" s="300"/>
      <c r="DT21" s="300"/>
      <c r="DU21" s="300"/>
      <c r="DV21" s="300"/>
      <c r="DW21" s="300"/>
      <c r="DX21" s="300"/>
      <c r="DY21" s="300"/>
      <c r="DZ21" s="300"/>
      <c r="EA21" s="300"/>
      <c r="EB21" s="300"/>
      <c r="EC21" s="300"/>
      <c r="ED21" s="300"/>
      <c r="EE21" s="300"/>
      <c r="EF21" s="300"/>
      <c r="EG21" s="300"/>
      <c r="EH21" s="300"/>
      <c r="EI21" s="300"/>
      <c r="EJ21" s="300"/>
      <c r="EK21" s="300"/>
      <c r="EL21" s="300"/>
      <c r="EM21" s="300"/>
      <c r="EN21" s="300"/>
      <c r="EO21" s="300"/>
      <c r="EP21" s="300"/>
      <c r="EQ21" s="300"/>
      <c r="ER21" s="300"/>
      <c r="ES21" s="300"/>
      <c r="ET21" s="300"/>
      <c r="EU21" s="300"/>
      <c r="EV21" s="300"/>
      <c r="EW21" s="300"/>
      <c r="EX21" s="300"/>
      <c r="EY21" s="300"/>
      <c r="EZ21" s="300"/>
      <c r="FA21" s="300"/>
      <c r="FB21" s="300"/>
      <c r="FC21" s="300"/>
      <c r="FD21" s="300"/>
      <c r="FE21" s="300"/>
      <c r="FF21" s="300"/>
    </row>
    <row r="22" spans="1:162">
      <c r="A22" s="300"/>
      <c r="B22" s="300"/>
      <c r="C22" s="300"/>
      <c r="D22" s="300"/>
      <c r="E22" s="300"/>
      <c r="F22" s="300"/>
      <c r="G22" s="300"/>
      <c r="H22" s="300"/>
      <c r="I22" s="300"/>
      <c r="J22" s="300"/>
      <c r="K22" s="300"/>
      <c r="L22" s="300"/>
      <c r="M22" s="300"/>
      <c r="N22" s="300"/>
      <c r="O22" s="300"/>
      <c r="P22" s="300"/>
      <c r="Q22" s="300"/>
      <c r="R22" s="300"/>
      <c r="S22" s="300"/>
      <c r="T22" s="300"/>
      <c r="U22" s="300"/>
      <c r="V22" s="300"/>
      <c r="W22" s="300"/>
      <c r="X22" s="300"/>
      <c r="Y22" s="300"/>
      <c r="Z22" s="300"/>
      <c r="AA22" s="300"/>
      <c r="AB22" s="300"/>
      <c r="AC22" s="300"/>
      <c r="AD22" s="300"/>
      <c r="AE22" s="300"/>
      <c r="AF22" s="300"/>
      <c r="AG22" s="300"/>
      <c r="AH22" s="300"/>
      <c r="AI22" s="300"/>
      <c r="AJ22" s="300"/>
      <c r="AK22" s="300"/>
      <c r="AL22" s="300"/>
      <c r="AM22" s="300"/>
      <c r="AN22" s="300"/>
      <c r="AO22" s="300"/>
      <c r="AP22" s="300"/>
      <c r="AQ22" s="300"/>
      <c r="AR22" s="300"/>
      <c r="AS22" s="300"/>
      <c r="AT22" s="300"/>
      <c r="AU22" s="300"/>
      <c r="AV22" s="300"/>
      <c r="AW22" s="300"/>
      <c r="AX22" s="300"/>
      <c r="AY22" s="300"/>
      <c r="AZ22" s="300"/>
      <c r="BA22" s="300"/>
      <c r="BB22" s="300"/>
      <c r="BC22" s="300"/>
      <c r="BD22" s="300"/>
      <c r="BE22" s="300"/>
      <c r="BF22" s="300"/>
      <c r="BG22" s="300"/>
      <c r="BH22" s="300"/>
      <c r="BI22" s="300"/>
      <c r="BJ22" s="300"/>
      <c r="BK22" s="300"/>
      <c r="BL22" s="300"/>
      <c r="BM22" s="300"/>
      <c r="BN22" s="300"/>
      <c r="BO22" s="300"/>
      <c r="BP22" s="300"/>
      <c r="BQ22" s="300"/>
      <c r="BR22" s="300"/>
      <c r="BS22" s="300"/>
      <c r="BT22" s="300"/>
      <c r="BU22" s="300"/>
      <c r="BV22" s="300"/>
      <c r="BW22" s="300"/>
      <c r="BX22" s="300"/>
      <c r="BY22" s="300"/>
      <c r="BZ22" s="300"/>
      <c r="CA22" s="300"/>
      <c r="CB22" s="300"/>
      <c r="CC22" s="300"/>
      <c r="CD22" s="300"/>
      <c r="CE22" s="300"/>
      <c r="CF22" s="300"/>
      <c r="CG22" s="300"/>
      <c r="CH22" s="300"/>
      <c r="CI22" s="300"/>
      <c r="CJ22" s="300"/>
      <c r="CK22" s="300"/>
      <c r="CL22" s="300"/>
      <c r="CM22" s="300"/>
      <c r="CN22" s="300"/>
      <c r="CO22" s="300"/>
      <c r="CP22" s="300"/>
      <c r="CQ22" s="300"/>
      <c r="CR22" s="300"/>
      <c r="CS22" s="300"/>
      <c r="CT22" s="300"/>
      <c r="CU22" s="300"/>
      <c r="CV22" s="300"/>
      <c r="CW22" s="300"/>
      <c r="CX22" s="300"/>
      <c r="CY22" s="300"/>
      <c r="CZ22" s="300"/>
      <c r="DA22" s="300"/>
      <c r="DB22" s="300"/>
      <c r="DC22" s="300"/>
      <c r="DD22" s="300"/>
      <c r="DE22" s="300"/>
      <c r="DF22" s="300"/>
      <c r="DG22" s="300"/>
      <c r="DH22" s="300"/>
      <c r="DI22" s="300"/>
      <c r="DJ22" s="300"/>
      <c r="DK22" s="300"/>
      <c r="DL22" s="300"/>
      <c r="DM22" s="300"/>
      <c r="DN22" s="300"/>
      <c r="DO22" s="300"/>
      <c r="DP22" s="300"/>
      <c r="DQ22" s="300"/>
      <c r="DR22" s="300"/>
      <c r="DS22" s="300"/>
      <c r="DT22" s="300"/>
      <c r="DU22" s="300"/>
      <c r="DV22" s="300"/>
      <c r="DW22" s="300"/>
      <c r="DX22" s="300"/>
      <c r="DY22" s="300"/>
      <c r="DZ22" s="300"/>
      <c r="EA22" s="300"/>
      <c r="EB22" s="300"/>
      <c r="EC22" s="300"/>
      <c r="ED22" s="300"/>
      <c r="EE22" s="300"/>
      <c r="EF22" s="300"/>
      <c r="EG22" s="300"/>
      <c r="EH22" s="300"/>
      <c r="EI22" s="300"/>
      <c r="EJ22" s="300"/>
      <c r="EK22" s="300"/>
      <c r="EL22" s="300"/>
      <c r="EM22" s="300"/>
      <c r="EN22" s="300"/>
      <c r="EO22" s="300"/>
      <c r="EP22" s="300"/>
      <c r="EQ22" s="300"/>
      <c r="ER22" s="300"/>
      <c r="ES22" s="300"/>
      <c r="ET22" s="300"/>
      <c r="EU22" s="300"/>
      <c r="EV22" s="300"/>
      <c r="EW22" s="300"/>
      <c r="EX22" s="300"/>
      <c r="EY22" s="300"/>
      <c r="EZ22" s="300"/>
      <c r="FA22" s="300"/>
      <c r="FB22" s="300"/>
      <c r="FC22" s="300"/>
      <c r="FD22" s="300"/>
      <c r="FE22" s="300"/>
      <c r="FF22" s="300"/>
    </row>
    <row r="23" spans="1:162">
      <c r="A23" s="300"/>
      <c r="B23" s="300"/>
      <c r="C23" s="300"/>
      <c r="D23" s="300"/>
      <c r="E23" s="300"/>
      <c r="F23" s="300"/>
      <c r="G23" s="300"/>
      <c r="H23" s="300"/>
      <c r="I23" s="300"/>
      <c r="J23" s="300"/>
      <c r="K23" s="300"/>
      <c r="L23" s="300"/>
      <c r="M23" s="300"/>
      <c r="N23" s="300"/>
      <c r="O23" s="300"/>
      <c r="P23" s="300"/>
      <c r="Q23" s="300"/>
      <c r="R23" s="300"/>
      <c r="S23" s="300"/>
      <c r="T23" s="300"/>
      <c r="U23" s="300"/>
      <c r="V23" s="300"/>
      <c r="W23" s="300"/>
      <c r="X23" s="300"/>
      <c r="Y23" s="300"/>
      <c r="Z23" s="300"/>
      <c r="AA23" s="300"/>
      <c r="AB23" s="300"/>
      <c r="AC23" s="300"/>
      <c r="AD23" s="300"/>
      <c r="AE23" s="300"/>
      <c r="AF23" s="300"/>
      <c r="AG23" s="300"/>
      <c r="AH23" s="300"/>
      <c r="AI23" s="300"/>
      <c r="AJ23" s="300"/>
      <c r="AK23" s="300"/>
      <c r="AL23" s="300"/>
      <c r="AM23" s="300"/>
      <c r="AN23" s="300"/>
      <c r="AO23" s="300"/>
      <c r="AP23" s="300"/>
      <c r="AQ23" s="300"/>
      <c r="AR23" s="300"/>
      <c r="AS23" s="300"/>
      <c r="AT23" s="300"/>
      <c r="AU23" s="300"/>
      <c r="AV23" s="300"/>
      <c r="AW23" s="300"/>
      <c r="AX23" s="300"/>
      <c r="AY23" s="300"/>
      <c r="AZ23" s="300"/>
      <c r="BA23" s="300"/>
      <c r="BB23" s="300"/>
      <c r="BC23" s="300"/>
      <c r="BD23" s="300"/>
      <c r="BE23" s="300"/>
      <c r="BF23" s="300"/>
      <c r="BG23" s="300"/>
      <c r="BH23" s="300"/>
      <c r="BI23" s="300"/>
      <c r="BJ23" s="300"/>
      <c r="BK23" s="300"/>
      <c r="BL23" s="300"/>
      <c r="BM23" s="300"/>
      <c r="BN23" s="300"/>
      <c r="BO23" s="300"/>
      <c r="BP23" s="300"/>
      <c r="BQ23" s="300"/>
      <c r="BR23" s="300"/>
      <c r="BS23" s="300"/>
      <c r="BT23" s="300"/>
      <c r="BU23" s="300"/>
      <c r="BV23" s="300"/>
      <c r="BW23" s="300"/>
      <c r="BX23" s="300"/>
      <c r="BY23" s="300"/>
      <c r="BZ23" s="300"/>
      <c r="CA23" s="300"/>
      <c r="CB23" s="300"/>
      <c r="CC23" s="300"/>
      <c r="CD23" s="300"/>
      <c r="CE23" s="300"/>
      <c r="CF23" s="300"/>
      <c r="CG23" s="300"/>
      <c r="CH23" s="300"/>
      <c r="CI23" s="300"/>
      <c r="CJ23" s="300"/>
      <c r="CK23" s="300"/>
      <c r="CL23" s="300"/>
      <c r="CM23" s="300"/>
      <c r="CN23" s="300"/>
      <c r="CO23" s="300"/>
      <c r="CP23" s="300"/>
      <c r="CQ23" s="300"/>
      <c r="CR23" s="300"/>
      <c r="CS23" s="300"/>
      <c r="CT23" s="300"/>
      <c r="CU23" s="300"/>
      <c r="CV23" s="300"/>
      <c r="CW23" s="300"/>
      <c r="CX23" s="300"/>
      <c r="CY23" s="300"/>
      <c r="CZ23" s="300"/>
      <c r="DA23" s="300"/>
      <c r="DB23" s="300"/>
      <c r="DC23" s="300"/>
      <c r="DD23" s="300"/>
      <c r="DE23" s="300"/>
      <c r="DF23" s="300"/>
      <c r="DG23" s="300"/>
      <c r="DH23" s="300"/>
      <c r="DI23" s="300"/>
      <c r="DJ23" s="300"/>
      <c r="DK23" s="300"/>
      <c r="DL23" s="300"/>
      <c r="DM23" s="300"/>
      <c r="DN23" s="300"/>
      <c r="DO23" s="300"/>
      <c r="DP23" s="300"/>
      <c r="DQ23" s="300"/>
      <c r="DR23" s="300"/>
      <c r="DS23" s="300"/>
      <c r="DT23" s="300"/>
      <c r="DU23" s="300"/>
      <c r="DV23" s="300"/>
      <c r="DW23" s="300"/>
      <c r="DX23" s="300"/>
      <c r="DY23" s="300"/>
      <c r="DZ23" s="300"/>
      <c r="EA23" s="300"/>
      <c r="EB23" s="300"/>
      <c r="EC23" s="300"/>
      <c r="ED23" s="300"/>
      <c r="EE23" s="300"/>
      <c r="EF23" s="300"/>
      <c r="EG23" s="300"/>
      <c r="EH23" s="300"/>
      <c r="EI23" s="300"/>
      <c r="EJ23" s="300"/>
      <c r="EK23" s="300"/>
      <c r="EL23" s="300"/>
      <c r="EM23" s="300"/>
      <c r="EN23" s="300"/>
      <c r="EO23" s="300"/>
      <c r="EP23" s="300"/>
      <c r="EQ23" s="300"/>
      <c r="ER23" s="300"/>
      <c r="ES23" s="300"/>
      <c r="ET23" s="300"/>
      <c r="EU23" s="300"/>
      <c r="EV23" s="300"/>
      <c r="EW23" s="300"/>
      <c r="EX23" s="300"/>
      <c r="EY23" s="300"/>
      <c r="EZ23" s="300"/>
      <c r="FA23" s="300"/>
      <c r="FB23" s="300"/>
      <c r="FC23" s="300"/>
      <c r="FD23" s="300"/>
      <c r="FE23" s="300"/>
      <c r="FF23" s="300"/>
    </row>
    <row r="24" spans="1:162">
      <c r="A24" s="300"/>
      <c r="B24" s="300"/>
      <c r="C24" s="300"/>
      <c r="D24" s="300"/>
      <c r="E24" s="300"/>
      <c r="F24" s="300"/>
      <c r="G24" s="300"/>
      <c r="H24" s="300"/>
      <c r="I24" s="300"/>
      <c r="J24" s="300"/>
      <c r="K24" s="300"/>
      <c r="L24" s="300"/>
      <c r="M24" s="300"/>
      <c r="N24" s="300"/>
      <c r="O24" s="300"/>
      <c r="P24" s="300"/>
      <c r="Q24" s="300"/>
      <c r="R24" s="300"/>
      <c r="S24" s="300"/>
      <c r="T24" s="300"/>
      <c r="U24" s="300"/>
      <c r="V24" s="300"/>
      <c r="W24" s="300"/>
      <c r="X24" s="300"/>
      <c r="Y24" s="300"/>
      <c r="Z24" s="300"/>
      <c r="AA24" s="300"/>
      <c r="AB24" s="300"/>
      <c r="AC24" s="300"/>
      <c r="AD24" s="300"/>
      <c r="AE24" s="300"/>
      <c r="AF24" s="300"/>
      <c r="AG24" s="300"/>
      <c r="AH24" s="300"/>
      <c r="AI24" s="300"/>
      <c r="AJ24" s="300"/>
      <c r="AK24" s="300"/>
      <c r="AL24" s="300"/>
      <c r="AM24" s="300"/>
      <c r="AN24" s="300"/>
      <c r="AO24" s="300"/>
      <c r="AP24" s="300"/>
      <c r="AQ24" s="300"/>
      <c r="AR24" s="300"/>
      <c r="AS24" s="300"/>
      <c r="AT24" s="300"/>
      <c r="AU24" s="300"/>
      <c r="AV24" s="300"/>
      <c r="AW24" s="300"/>
      <c r="AX24" s="300"/>
      <c r="AY24" s="300"/>
      <c r="AZ24" s="300"/>
      <c r="BA24" s="300"/>
      <c r="BB24" s="300"/>
      <c r="BC24" s="300"/>
      <c r="BD24" s="300"/>
      <c r="BE24" s="300"/>
      <c r="BF24" s="300"/>
      <c r="BG24" s="300"/>
      <c r="BH24" s="300"/>
      <c r="BI24" s="300"/>
      <c r="BJ24" s="300"/>
      <c r="BK24" s="300"/>
      <c r="BL24" s="300"/>
      <c r="BM24" s="300"/>
      <c r="BN24" s="300"/>
      <c r="BO24" s="300"/>
      <c r="BP24" s="300"/>
      <c r="BQ24" s="300"/>
      <c r="BR24" s="300"/>
      <c r="BS24" s="300"/>
      <c r="BT24" s="300"/>
      <c r="BU24" s="300"/>
      <c r="BV24" s="300"/>
      <c r="BW24" s="300"/>
      <c r="BX24" s="300"/>
      <c r="BY24" s="300"/>
      <c r="BZ24" s="300"/>
      <c r="CA24" s="300"/>
      <c r="CB24" s="300"/>
      <c r="CC24" s="300"/>
      <c r="CD24" s="300"/>
      <c r="CE24" s="300"/>
      <c r="CF24" s="300"/>
      <c r="CG24" s="300"/>
      <c r="CH24" s="300"/>
      <c r="CI24" s="300"/>
      <c r="CJ24" s="300"/>
      <c r="CK24" s="300"/>
      <c r="CL24" s="300"/>
      <c r="CM24" s="300"/>
      <c r="CN24" s="300"/>
      <c r="CO24" s="300"/>
      <c r="CP24" s="300"/>
      <c r="CQ24" s="300"/>
      <c r="CR24" s="300"/>
      <c r="CS24" s="300"/>
      <c r="CT24" s="300"/>
      <c r="CU24" s="300"/>
      <c r="CV24" s="300"/>
      <c r="CW24" s="300"/>
      <c r="CX24" s="300"/>
      <c r="CY24" s="300"/>
      <c r="CZ24" s="300"/>
      <c r="DA24" s="300"/>
      <c r="DB24" s="300"/>
      <c r="DC24" s="300"/>
      <c r="DD24" s="300"/>
      <c r="DE24" s="300"/>
      <c r="DF24" s="300"/>
      <c r="DG24" s="300"/>
      <c r="DH24" s="300"/>
      <c r="DI24" s="300"/>
      <c r="DJ24" s="300"/>
      <c r="DK24" s="300"/>
      <c r="DL24" s="300"/>
      <c r="DM24" s="300"/>
      <c r="DN24" s="300"/>
      <c r="DO24" s="300"/>
      <c r="DP24" s="300"/>
      <c r="DQ24" s="300"/>
      <c r="DR24" s="300"/>
      <c r="DS24" s="300"/>
      <c r="DT24" s="300"/>
      <c r="DU24" s="300"/>
      <c r="DV24" s="300"/>
      <c r="DW24" s="300"/>
      <c r="DX24" s="300"/>
      <c r="DY24" s="300"/>
      <c r="DZ24" s="300"/>
      <c r="EA24" s="300"/>
      <c r="EB24" s="300"/>
      <c r="EC24" s="300"/>
      <c r="ED24" s="300"/>
      <c r="EE24" s="300"/>
      <c r="EF24" s="300"/>
      <c r="EG24" s="300"/>
      <c r="EH24" s="300"/>
      <c r="EI24" s="300"/>
      <c r="EJ24" s="300"/>
      <c r="EK24" s="300"/>
      <c r="EL24" s="300"/>
      <c r="EM24" s="300"/>
      <c r="EN24" s="300"/>
      <c r="EO24" s="300"/>
      <c r="EP24" s="300"/>
      <c r="EQ24" s="300"/>
      <c r="ER24" s="300"/>
      <c r="ES24" s="300"/>
      <c r="ET24" s="300"/>
      <c r="EU24" s="300"/>
      <c r="EV24" s="300"/>
      <c r="EW24" s="300"/>
      <c r="EX24" s="300"/>
      <c r="EY24" s="300"/>
      <c r="EZ24" s="300"/>
      <c r="FA24" s="300"/>
      <c r="FB24" s="300"/>
      <c r="FC24" s="300"/>
      <c r="FD24" s="300"/>
      <c r="FE24" s="300"/>
      <c r="FF24" s="300"/>
    </row>
    <row r="25" spans="1:162">
      <c r="A25" s="300"/>
      <c r="B25" s="300"/>
      <c r="C25" s="300"/>
      <c r="D25" s="300"/>
      <c r="E25" s="300"/>
      <c r="F25" s="300"/>
      <c r="G25" s="300"/>
      <c r="H25" s="300"/>
      <c r="I25" s="300"/>
      <c r="J25" s="300"/>
      <c r="K25" s="300"/>
      <c r="L25" s="300"/>
      <c r="M25" s="300"/>
      <c r="N25" s="300"/>
      <c r="O25" s="300"/>
      <c r="P25" s="300"/>
      <c r="Q25" s="300"/>
      <c r="R25" s="300"/>
      <c r="S25" s="300"/>
      <c r="T25" s="300"/>
      <c r="U25" s="300"/>
      <c r="V25" s="300"/>
      <c r="W25" s="300"/>
      <c r="X25" s="300"/>
      <c r="Y25" s="300"/>
      <c r="Z25" s="300"/>
      <c r="AA25" s="300"/>
      <c r="AB25" s="300"/>
      <c r="AC25" s="300"/>
      <c r="AD25" s="300"/>
      <c r="AE25" s="300"/>
      <c r="AF25" s="300"/>
      <c r="AG25" s="300"/>
      <c r="AH25" s="300"/>
      <c r="AI25" s="300"/>
      <c r="AJ25" s="300"/>
      <c r="AK25" s="300"/>
      <c r="AL25" s="300"/>
      <c r="AM25" s="300"/>
      <c r="AN25" s="300"/>
      <c r="AO25" s="300"/>
      <c r="AP25" s="300"/>
      <c r="AQ25" s="300"/>
      <c r="AR25" s="300"/>
      <c r="AS25" s="300"/>
      <c r="AT25" s="300"/>
      <c r="AU25" s="300"/>
      <c r="AV25" s="300"/>
      <c r="AW25" s="300"/>
      <c r="AX25" s="300"/>
      <c r="AY25" s="300"/>
      <c r="AZ25" s="300"/>
      <c r="BA25" s="300"/>
      <c r="BB25" s="300"/>
      <c r="BC25" s="300"/>
      <c r="BD25" s="300"/>
      <c r="BE25" s="300"/>
      <c r="BF25" s="300"/>
      <c r="BG25" s="300"/>
      <c r="BH25" s="300"/>
      <c r="BI25" s="300"/>
      <c r="BJ25" s="300"/>
      <c r="BK25" s="300"/>
      <c r="BL25" s="300"/>
      <c r="BM25" s="300"/>
      <c r="BN25" s="300"/>
      <c r="BO25" s="300"/>
      <c r="BP25" s="300"/>
      <c r="BQ25" s="300"/>
      <c r="BR25" s="300"/>
      <c r="BS25" s="300"/>
      <c r="BT25" s="300"/>
      <c r="BU25" s="300"/>
      <c r="BV25" s="300"/>
      <c r="BW25" s="300"/>
      <c r="BX25" s="300"/>
      <c r="BY25" s="300"/>
      <c r="BZ25" s="300"/>
      <c r="CA25" s="300"/>
      <c r="CB25" s="300"/>
      <c r="CC25" s="300"/>
      <c r="CD25" s="300"/>
      <c r="CE25" s="300"/>
      <c r="CF25" s="300"/>
      <c r="CG25" s="300"/>
      <c r="CH25" s="300"/>
      <c r="CI25" s="300"/>
      <c r="CJ25" s="300"/>
      <c r="CK25" s="300"/>
      <c r="CL25" s="300"/>
      <c r="CM25" s="300"/>
      <c r="CN25" s="300"/>
      <c r="CO25" s="300"/>
      <c r="CP25" s="300"/>
      <c r="CQ25" s="300"/>
      <c r="CR25" s="300"/>
      <c r="CS25" s="300"/>
      <c r="CT25" s="300"/>
      <c r="CU25" s="300"/>
      <c r="CV25" s="300"/>
      <c r="CW25" s="300"/>
      <c r="CX25" s="300"/>
      <c r="CY25" s="300"/>
      <c r="CZ25" s="300"/>
      <c r="DA25" s="300"/>
      <c r="DB25" s="300"/>
      <c r="DC25" s="300"/>
      <c r="DD25" s="300"/>
      <c r="DE25" s="300"/>
      <c r="DF25" s="300"/>
      <c r="DG25" s="300"/>
      <c r="DH25" s="300"/>
      <c r="DI25" s="300"/>
      <c r="DJ25" s="300"/>
      <c r="DK25" s="300"/>
      <c r="DL25" s="300"/>
      <c r="DM25" s="300"/>
      <c r="DN25" s="300"/>
      <c r="DO25" s="300"/>
      <c r="DP25" s="300"/>
      <c r="DQ25" s="300"/>
      <c r="DR25" s="300"/>
      <c r="DS25" s="300"/>
      <c r="DT25" s="300"/>
      <c r="DU25" s="300"/>
      <c r="DV25" s="300"/>
      <c r="DW25" s="300"/>
      <c r="DX25" s="300"/>
      <c r="DY25" s="300"/>
      <c r="DZ25" s="300"/>
      <c r="EA25" s="300"/>
      <c r="EB25" s="300"/>
      <c r="EC25" s="300"/>
      <c r="ED25" s="300"/>
      <c r="EE25" s="300"/>
      <c r="EF25" s="300"/>
      <c r="EG25" s="300"/>
      <c r="EH25" s="300"/>
      <c r="EI25" s="300"/>
      <c r="EJ25" s="300"/>
      <c r="EK25" s="300"/>
      <c r="EL25" s="300"/>
      <c r="EM25" s="300"/>
      <c r="EN25" s="300"/>
      <c r="EO25" s="300"/>
      <c r="EP25" s="300"/>
      <c r="EQ25" s="300"/>
      <c r="ER25" s="300"/>
      <c r="ES25" s="300"/>
      <c r="ET25" s="300"/>
      <c r="EU25" s="300"/>
      <c r="EV25" s="300"/>
      <c r="EW25" s="300"/>
      <c r="EX25" s="300"/>
      <c r="EY25" s="300"/>
      <c r="EZ25" s="300"/>
      <c r="FA25" s="300"/>
      <c r="FB25" s="300"/>
      <c r="FC25" s="300"/>
      <c r="FD25" s="300"/>
      <c r="FE25" s="300"/>
      <c r="FF25" s="300"/>
    </row>
    <row r="26" spans="1:162">
      <c r="A26" s="300"/>
      <c r="B26" s="300"/>
      <c r="C26" s="300"/>
      <c r="D26" s="300"/>
      <c r="E26" s="300"/>
      <c r="F26" s="300"/>
      <c r="G26" s="300"/>
      <c r="H26" s="300"/>
      <c r="I26" s="300"/>
      <c r="J26" s="300"/>
      <c r="K26" s="300"/>
      <c r="L26" s="300"/>
      <c r="M26" s="300"/>
      <c r="N26" s="300"/>
      <c r="O26" s="300"/>
      <c r="P26" s="300"/>
      <c r="Q26" s="300"/>
      <c r="R26" s="300"/>
      <c r="S26" s="300"/>
      <c r="T26" s="300"/>
      <c r="U26" s="300"/>
      <c r="V26" s="300"/>
      <c r="W26" s="300"/>
      <c r="X26" s="300"/>
      <c r="Y26" s="300"/>
      <c r="Z26" s="300"/>
      <c r="AA26" s="300"/>
      <c r="AB26" s="300"/>
      <c r="AC26" s="300"/>
      <c r="AD26" s="300"/>
      <c r="AE26" s="300"/>
      <c r="AF26" s="300"/>
      <c r="AG26" s="300"/>
      <c r="AH26" s="300"/>
      <c r="AI26" s="300"/>
      <c r="AJ26" s="300"/>
      <c r="AK26" s="300"/>
      <c r="AL26" s="300"/>
      <c r="AM26" s="300"/>
      <c r="AN26" s="300"/>
      <c r="AO26" s="300"/>
      <c r="AP26" s="300"/>
      <c r="AQ26" s="300"/>
      <c r="AR26" s="300"/>
      <c r="AS26" s="300"/>
      <c r="AT26" s="300"/>
      <c r="AU26" s="300"/>
      <c r="AV26" s="300"/>
      <c r="AW26" s="300"/>
      <c r="AX26" s="300"/>
      <c r="AY26" s="300"/>
      <c r="AZ26" s="300"/>
      <c r="BA26" s="300"/>
      <c r="BB26" s="300"/>
      <c r="BC26" s="300"/>
      <c r="BD26" s="300"/>
      <c r="BE26" s="300"/>
      <c r="BF26" s="300"/>
      <c r="BG26" s="300"/>
      <c r="BH26" s="300"/>
      <c r="BI26" s="300"/>
      <c r="BJ26" s="300"/>
      <c r="BK26" s="300"/>
      <c r="BL26" s="300"/>
      <c r="BM26" s="300"/>
      <c r="BN26" s="300"/>
      <c r="BO26" s="300"/>
      <c r="BP26" s="300"/>
      <c r="BQ26" s="300"/>
      <c r="BR26" s="300"/>
      <c r="BS26" s="300"/>
      <c r="BT26" s="300"/>
      <c r="BU26" s="300"/>
      <c r="BV26" s="300"/>
      <c r="BW26" s="300"/>
      <c r="BX26" s="300"/>
      <c r="BY26" s="300"/>
      <c r="BZ26" s="300"/>
      <c r="CA26" s="300"/>
      <c r="CB26" s="300"/>
      <c r="CC26" s="300"/>
      <c r="CD26" s="300"/>
      <c r="CE26" s="300"/>
      <c r="CF26" s="300"/>
      <c r="CG26" s="300"/>
      <c r="CH26" s="300"/>
      <c r="CI26" s="300"/>
      <c r="CJ26" s="300"/>
      <c r="CK26" s="300"/>
      <c r="CL26" s="300"/>
      <c r="CM26" s="300"/>
      <c r="CN26" s="300"/>
      <c r="CO26" s="300"/>
      <c r="CP26" s="300"/>
      <c r="CQ26" s="300"/>
      <c r="CR26" s="300"/>
      <c r="CS26" s="300"/>
      <c r="CT26" s="300"/>
      <c r="CU26" s="300"/>
      <c r="CV26" s="300"/>
      <c r="CW26" s="300"/>
      <c r="CX26" s="300"/>
      <c r="CY26" s="300"/>
      <c r="CZ26" s="300"/>
      <c r="DA26" s="300"/>
      <c r="DB26" s="300"/>
      <c r="DC26" s="300"/>
      <c r="DD26" s="300"/>
      <c r="DE26" s="300"/>
      <c r="DF26" s="300"/>
      <c r="DG26" s="300"/>
      <c r="DH26" s="300"/>
      <c r="DI26" s="300"/>
      <c r="DJ26" s="300"/>
      <c r="DK26" s="300"/>
      <c r="DL26" s="300"/>
      <c r="DM26" s="300"/>
      <c r="DN26" s="300"/>
      <c r="DO26" s="300"/>
      <c r="DP26" s="300"/>
      <c r="DQ26" s="300"/>
      <c r="DR26" s="300"/>
      <c r="DS26" s="300"/>
      <c r="DT26" s="300"/>
      <c r="DU26" s="300"/>
      <c r="DV26" s="300"/>
      <c r="DW26" s="300"/>
      <c r="DX26" s="300"/>
      <c r="DY26" s="300"/>
      <c r="DZ26" s="300"/>
      <c r="EA26" s="300"/>
      <c r="EB26" s="300"/>
      <c r="EC26" s="300"/>
      <c r="ED26" s="300"/>
      <c r="EE26" s="300"/>
      <c r="EF26" s="300"/>
      <c r="EG26" s="300"/>
      <c r="EH26" s="300"/>
      <c r="EI26" s="300"/>
      <c r="EJ26" s="300"/>
      <c r="EK26" s="300"/>
      <c r="EL26" s="300"/>
      <c r="EM26" s="300"/>
      <c r="EN26" s="300"/>
      <c r="EO26" s="300"/>
      <c r="EP26" s="300"/>
      <c r="EQ26" s="300"/>
      <c r="ER26" s="300"/>
      <c r="ES26" s="300"/>
      <c r="ET26" s="300"/>
      <c r="EU26" s="300"/>
      <c r="EV26" s="300"/>
      <c r="EW26" s="300"/>
      <c r="EX26" s="300"/>
      <c r="EY26" s="300"/>
      <c r="EZ26" s="300"/>
      <c r="FA26" s="300"/>
      <c r="FB26" s="300"/>
      <c r="FC26" s="300"/>
      <c r="FD26" s="300"/>
      <c r="FE26" s="300"/>
      <c r="FF26" s="300"/>
    </row>
    <row r="27" spans="1:162">
      <c r="A27" s="300"/>
      <c r="B27" s="300"/>
      <c r="C27" s="300"/>
      <c r="D27" s="300"/>
      <c r="E27" s="300"/>
      <c r="F27" s="300"/>
      <c r="G27" s="300"/>
      <c r="H27" s="300"/>
      <c r="I27" s="300"/>
      <c r="J27" s="300"/>
      <c r="K27" s="300"/>
      <c r="L27" s="300"/>
      <c r="M27" s="300"/>
      <c r="N27" s="300"/>
      <c r="O27" s="300"/>
      <c r="P27" s="300"/>
      <c r="Q27" s="300"/>
      <c r="R27" s="300"/>
      <c r="S27" s="300"/>
      <c r="T27" s="300"/>
      <c r="U27" s="300"/>
      <c r="V27" s="300"/>
      <c r="W27" s="300"/>
      <c r="X27" s="300"/>
      <c r="Y27" s="300"/>
      <c r="Z27" s="300"/>
      <c r="AA27" s="300"/>
      <c r="AB27" s="300"/>
      <c r="AC27" s="300"/>
      <c r="AD27" s="300"/>
      <c r="AE27" s="300"/>
      <c r="AF27" s="300"/>
      <c r="AG27" s="300"/>
      <c r="AH27" s="300"/>
      <c r="AI27" s="300"/>
      <c r="AJ27" s="300"/>
      <c r="AK27" s="300"/>
      <c r="AL27" s="300"/>
      <c r="AM27" s="300"/>
      <c r="AN27" s="300"/>
      <c r="AO27" s="300"/>
      <c r="AP27" s="300"/>
      <c r="AQ27" s="300"/>
      <c r="AR27" s="300"/>
      <c r="AS27" s="300"/>
      <c r="AT27" s="300"/>
      <c r="AU27" s="300"/>
      <c r="AV27" s="300"/>
      <c r="AW27" s="300"/>
      <c r="AX27" s="300"/>
      <c r="AY27" s="300"/>
      <c r="AZ27" s="300"/>
      <c r="BA27" s="300"/>
      <c r="BB27" s="300"/>
      <c r="BC27" s="300"/>
      <c r="BD27" s="300"/>
      <c r="BE27" s="300"/>
      <c r="BF27" s="300"/>
      <c r="BG27" s="300"/>
      <c r="BH27" s="300"/>
      <c r="BI27" s="300"/>
      <c r="BJ27" s="300"/>
      <c r="BK27" s="300"/>
      <c r="BL27" s="300"/>
      <c r="BM27" s="300"/>
      <c r="BN27" s="300"/>
      <c r="BO27" s="300"/>
      <c r="BP27" s="300"/>
      <c r="BQ27" s="300"/>
      <c r="BR27" s="300"/>
      <c r="BS27" s="300"/>
      <c r="BT27" s="300"/>
      <c r="BU27" s="300"/>
      <c r="BV27" s="300"/>
      <c r="BW27" s="300"/>
      <c r="BX27" s="300"/>
      <c r="BY27" s="300"/>
      <c r="BZ27" s="300"/>
      <c r="CA27" s="300"/>
      <c r="CB27" s="300"/>
      <c r="CC27" s="300"/>
      <c r="CD27" s="300"/>
      <c r="CE27" s="300"/>
      <c r="CF27" s="300"/>
      <c r="CG27" s="300"/>
      <c r="CH27" s="300"/>
      <c r="CI27" s="300"/>
      <c r="CJ27" s="300"/>
      <c r="CK27" s="300"/>
      <c r="CL27" s="300"/>
      <c r="CM27" s="300"/>
      <c r="CN27" s="300"/>
      <c r="CO27" s="300"/>
      <c r="CP27" s="300"/>
      <c r="CQ27" s="300"/>
      <c r="CR27" s="300"/>
      <c r="CS27" s="300"/>
      <c r="CT27" s="300"/>
      <c r="CU27" s="300"/>
      <c r="CV27" s="300"/>
      <c r="CW27" s="300"/>
      <c r="CX27" s="300"/>
      <c r="CY27" s="300"/>
      <c r="CZ27" s="300"/>
      <c r="DA27" s="300"/>
      <c r="DB27" s="300"/>
      <c r="DC27" s="300"/>
      <c r="DD27" s="300"/>
      <c r="DE27" s="300"/>
      <c r="DF27" s="300"/>
      <c r="DG27" s="300"/>
      <c r="DH27" s="300"/>
      <c r="DI27" s="300"/>
      <c r="DJ27" s="300"/>
      <c r="DK27" s="300"/>
      <c r="DL27" s="300"/>
      <c r="DM27" s="300"/>
      <c r="DN27" s="300"/>
      <c r="DO27" s="300"/>
      <c r="DP27" s="300"/>
      <c r="DQ27" s="300"/>
      <c r="DR27" s="300"/>
      <c r="DS27" s="300"/>
      <c r="DT27" s="300"/>
      <c r="DU27" s="300"/>
      <c r="DV27" s="300"/>
      <c r="DW27" s="300"/>
      <c r="DX27" s="300"/>
      <c r="DY27" s="300"/>
      <c r="DZ27" s="300"/>
      <c r="EA27" s="300"/>
      <c r="EB27" s="300"/>
      <c r="EC27" s="300"/>
      <c r="ED27" s="300"/>
      <c r="EE27" s="300"/>
      <c r="EF27" s="300"/>
      <c r="EG27" s="300"/>
      <c r="EH27" s="300"/>
      <c r="EI27" s="300"/>
      <c r="EJ27" s="300"/>
      <c r="EK27" s="300"/>
      <c r="EL27" s="300"/>
      <c r="EM27" s="300"/>
      <c r="EN27" s="300"/>
      <c r="EO27" s="300"/>
      <c r="EP27" s="300"/>
      <c r="EQ27" s="300"/>
      <c r="ER27" s="300"/>
      <c r="ES27" s="300"/>
      <c r="ET27" s="300"/>
      <c r="EU27" s="300"/>
      <c r="EV27" s="300"/>
      <c r="EW27" s="300"/>
      <c r="EX27" s="300"/>
      <c r="EY27" s="300"/>
      <c r="EZ27" s="300"/>
      <c r="FA27" s="300"/>
      <c r="FB27" s="300"/>
      <c r="FC27" s="300"/>
      <c r="FD27" s="300"/>
      <c r="FE27" s="300"/>
      <c r="FF27" s="300"/>
    </row>
    <row r="28" spans="1:162">
      <c r="A28" s="300"/>
      <c r="B28" s="300"/>
      <c r="C28" s="300"/>
      <c r="D28" s="300"/>
      <c r="E28" s="300"/>
      <c r="F28" s="300"/>
      <c r="G28" s="300"/>
      <c r="H28" s="300"/>
      <c r="I28" s="300"/>
      <c r="J28" s="300"/>
      <c r="K28" s="300"/>
      <c r="L28" s="300"/>
      <c r="M28" s="300"/>
      <c r="N28" s="300"/>
      <c r="O28" s="300"/>
      <c r="P28" s="300"/>
      <c r="Q28" s="300"/>
      <c r="R28" s="300"/>
      <c r="S28" s="300"/>
      <c r="T28" s="300"/>
      <c r="U28" s="300"/>
      <c r="V28" s="300"/>
      <c r="W28" s="300"/>
      <c r="X28" s="300"/>
      <c r="Y28" s="300"/>
      <c r="Z28" s="300"/>
      <c r="AA28" s="300"/>
      <c r="AB28" s="300"/>
      <c r="AC28" s="300"/>
      <c r="AD28" s="300"/>
      <c r="AE28" s="300"/>
      <c r="AF28" s="300"/>
      <c r="AG28" s="300"/>
      <c r="AH28" s="300"/>
      <c r="AI28" s="300"/>
      <c r="AJ28" s="300"/>
      <c r="AK28" s="300"/>
      <c r="AL28" s="300"/>
      <c r="AM28" s="300"/>
      <c r="AN28" s="300"/>
      <c r="AO28" s="300"/>
      <c r="AP28" s="300"/>
      <c r="AQ28" s="300"/>
      <c r="AR28" s="300"/>
      <c r="AS28" s="300"/>
      <c r="AT28" s="300"/>
      <c r="AU28" s="300"/>
      <c r="AV28" s="300"/>
      <c r="AW28" s="300"/>
      <c r="AX28" s="300"/>
      <c r="AY28" s="300"/>
      <c r="AZ28" s="300"/>
      <c r="BA28" s="300"/>
      <c r="BB28" s="300"/>
      <c r="BC28" s="300"/>
      <c r="BD28" s="300"/>
      <c r="BE28" s="300"/>
      <c r="BF28" s="300"/>
      <c r="BG28" s="300"/>
      <c r="BH28" s="300"/>
      <c r="BI28" s="300"/>
      <c r="BJ28" s="300"/>
      <c r="BK28" s="300"/>
      <c r="BL28" s="300"/>
      <c r="BM28" s="300"/>
      <c r="BN28" s="300"/>
      <c r="BO28" s="300"/>
      <c r="BP28" s="300"/>
      <c r="BQ28" s="300"/>
      <c r="BR28" s="300"/>
      <c r="BS28" s="300"/>
      <c r="BT28" s="300"/>
      <c r="BU28" s="300"/>
      <c r="BV28" s="300"/>
      <c r="BW28" s="300"/>
      <c r="BX28" s="300"/>
      <c r="BY28" s="300"/>
      <c r="BZ28" s="300"/>
      <c r="CA28" s="300"/>
      <c r="CB28" s="300"/>
      <c r="CC28" s="300"/>
      <c r="CD28" s="300"/>
      <c r="CE28" s="300"/>
      <c r="CF28" s="300"/>
      <c r="CG28" s="300"/>
      <c r="CH28" s="300"/>
      <c r="CI28" s="300"/>
      <c r="CJ28" s="300"/>
      <c r="CK28" s="300"/>
      <c r="CL28" s="300"/>
      <c r="CM28" s="300"/>
      <c r="CN28" s="300"/>
      <c r="CO28" s="300"/>
      <c r="CP28" s="300"/>
      <c r="CQ28" s="300"/>
      <c r="CR28" s="300"/>
      <c r="CS28" s="300"/>
      <c r="CT28" s="300"/>
      <c r="CU28" s="300"/>
      <c r="CV28" s="300"/>
      <c r="CW28" s="300"/>
      <c r="CX28" s="300"/>
      <c r="CY28" s="300"/>
      <c r="CZ28" s="300"/>
      <c r="DA28" s="300"/>
      <c r="DB28" s="300"/>
      <c r="DC28" s="300"/>
      <c r="DD28" s="300"/>
      <c r="DE28" s="300"/>
      <c r="DF28" s="300"/>
      <c r="DG28" s="300"/>
      <c r="DH28" s="300"/>
      <c r="DI28" s="300"/>
      <c r="DJ28" s="300"/>
      <c r="DK28" s="300"/>
      <c r="DL28" s="300"/>
      <c r="DM28" s="300"/>
      <c r="DN28" s="300"/>
      <c r="DO28" s="300"/>
      <c r="DP28" s="300"/>
      <c r="DQ28" s="300"/>
      <c r="DR28" s="300"/>
      <c r="DS28" s="300"/>
      <c r="DT28" s="300"/>
      <c r="DU28" s="300"/>
      <c r="DV28" s="300"/>
      <c r="DW28" s="300"/>
      <c r="DX28" s="300"/>
      <c r="DY28" s="300"/>
      <c r="DZ28" s="300"/>
      <c r="EA28" s="300"/>
      <c r="EB28" s="300"/>
      <c r="EC28" s="300"/>
      <c r="ED28" s="300"/>
      <c r="EE28" s="300"/>
      <c r="EF28" s="300"/>
      <c r="EG28" s="300"/>
      <c r="EH28" s="300"/>
      <c r="EI28" s="300"/>
      <c r="EJ28" s="300"/>
      <c r="EK28" s="300"/>
      <c r="EL28" s="300"/>
      <c r="EM28" s="300"/>
      <c r="EN28" s="300"/>
      <c r="EO28" s="300"/>
      <c r="EP28" s="300"/>
      <c r="EQ28" s="300"/>
      <c r="ER28" s="300"/>
      <c r="ES28" s="300"/>
      <c r="ET28" s="300"/>
      <c r="EU28" s="300"/>
      <c r="EV28" s="300"/>
      <c r="EW28" s="300"/>
      <c r="EX28" s="300"/>
      <c r="EY28" s="300"/>
      <c r="EZ28" s="300"/>
      <c r="FA28" s="300"/>
      <c r="FB28" s="300"/>
      <c r="FC28" s="300"/>
      <c r="FD28" s="300"/>
      <c r="FE28" s="300"/>
      <c r="FF28" s="300"/>
    </row>
    <row r="29" spans="1:162">
      <c r="A29" s="300"/>
      <c r="B29" s="300"/>
      <c r="C29" s="300"/>
      <c r="D29" s="300"/>
      <c r="E29" s="300"/>
      <c r="F29" s="300"/>
      <c r="G29" s="300"/>
      <c r="H29" s="300"/>
      <c r="I29" s="300"/>
      <c r="J29" s="300"/>
      <c r="K29" s="300"/>
      <c r="L29" s="300"/>
      <c r="M29" s="300"/>
      <c r="N29" s="300"/>
      <c r="O29" s="300"/>
      <c r="P29" s="300"/>
      <c r="Q29" s="300"/>
      <c r="R29" s="300"/>
      <c r="S29" s="300"/>
      <c r="T29" s="300"/>
      <c r="U29" s="300"/>
      <c r="V29" s="300"/>
      <c r="W29" s="300"/>
      <c r="X29" s="300"/>
      <c r="Y29" s="300"/>
      <c r="Z29" s="300"/>
      <c r="AA29" s="300"/>
      <c r="AB29" s="300"/>
      <c r="AC29" s="300"/>
      <c r="AD29" s="300"/>
      <c r="AE29" s="300"/>
      <c r="AF29" s="300"/>
      <c r="AG29" s="300"/>
      <c r="AH29" s="300"/>
      <c r="AI29" s="300"/>
      <c r="AJ29" s="300"/>
      <c r="AK29" s="300"/>
      <c r="AL29" s="300"/>
      <c r="AM29" s="300"/>
      <c r="AN29" s="300"/>
      <c r="AO29" s="300"/>
      <c r="AP29" s="300"/>
      <c r="AQ29" s="300"/>
      <c r="AR29" s="300"/>
      <c r="AS29" s="300"/>
      <c r="AT29" s="300"/>
      <c r="AU29" s="300"/>
      <c r="AV29" s="300"/>
      <c r="AW29" s="300"/>
      <c r="AX29" s="300"/>
      <c r="AY29" s="300"/>
      <c r="AZ29" s="300"/>
      <c r="BA29" s="300"/>
      <c r="BB29" s="300"/>
      <c r="BC29" s="300"/>
      <c r="BD29" s="300"/>
      <c r="BE29" s="300"/>
      <c r="BF29" s="300"/>
      <c r="BG29" s="300"/>
      <c r="BH29" s="300"/>
      <c r="BI29" s="300"/>
      <c r="BJ29" s="300"/>
      <c r="BK29" s="300"/>
      <c r="BL29" s="300"/>
      <c r="BM29" s="300"/>
      <c r="BN29" s="300"/>
      <c r="BO29" s="300"/>
      <c r="BP29" s="300"/>
      <c r="BQ29" s="300"/>
      <c r="BR29" s="300"/>
      <c r="BS29" s="300"/>
      <c r="BT29" s="300"/>
      <c r="BU29" s="300"/>
      <c r="BV29" s="300"/>
      <c r="BW29" s="300"/>
      <c r="BX29" s="300"/>
      <c r="BY29" s="300"/>
      <c r="BZ29" s="300"/>
      <c r="CA29" s="300"/>
      <c r="CB29" s="300"/>
      <c r="CC29" s="300"/>
      <c r="CD29" s="300"/>
      <c r="CE29" s="300"/>
      <c r="CF29" s="300"/>
      <c r="CG29" s="300"/>
      <c r="CH29" s="300"/>
      <c r="CI29" s="300"/>
      <c r="CJ29" s="300"/>
      <c r="CK29" s="300"/>
      <c r="CL29" s="300"/>
      <c r="CM29" s="300"/>
      <c r="CN29" s="300"/>
      <c r="CO29" s="300"/>
      <c r="CP29" s="300"/>
      <c r="CQ29" s="300"/>
      <c r="CR29" s="300"/>
      <c r="CS29" s="300"/>
      <c r="CT29" s="300"/>
      <c r="CU29" s="300"/>
      <c r="CV29" s="300"/>
      <c r="CW29" s="300"/>
      <c r="CX29" s="300"/>
      <c r="CY29" s="300"/>
      <c r="CZ29" s="300"/>
      <c r="DA29" s="300"/>
      <c r="DB29" s="300"/>
      <c r="DC29" s="300"/>
      <c r="DD29" s="300"/>
      <c r="DE29" s="300"/>
      <c r="DF29" s="300"/>
      <c r="DG29" s="300"/>
      <c r="DH29" s="300"/>
      <c r="DI29" s="300"/>
      <c r="DJ29" s="300"/>
      <c r="DK29" s="300"/>
      <c r="DL29" s="300"/>
      <c r="DM29" s="300"/>
      <c r="DN29" s="300"/>
      <c r="DO29" s="300"/>
      <c r="DP29" s="300"/>
      <c r="DQ29" s="300"/>
      <c r="DR29" s="300"/>
      <c r="DS29" s="300"/>
      <c r="DT29" s="300"/>
      <c r="DU29" s="300"/>
      <c r="DV29" s="300"/>
      <c r="DW29" s="300"/>
      <c r="DX29" s="300"/>
      <c r="DY29" s="300"/>
      <c r="DZ29" s="300"/>
      <c r="EA29" s="300"/>
      <c r="EB29" s="300"/>
      <c r="EC29" s="300"/>
      <c r="ED29" s="300"/>
      <c r="EE29" s="300"/>
      <c r="EF29" s="300"/>
      <c r="EG29" s="300"/>
      <c r="EH29" s="300"/>
      <c r="EI29" s="300"/>
      <c r="EJ29" s="300"/>
      <c r="EK29" s="300"/>
      <c r="EL29" s="300"/>
      <c r="EM29" s="300"/>
      <c r="EN29" s="300"/>
      <c r="EO29" s="300"/>
      <c r="EP29" s="300"/>
      <c r="EQ29" s="300"/>
      <c r="ER29" s="300"/>
      <c r="ES29" s="300"/>
      <c r="ET29" s="300"/>
      <c r="EU29" s="300"/>
      <c r="EV29" s="300"/>
      <c r="EW29" s="300"/>
      <c r="EX29" s="300"/>
      <c r="EY29" s="300"/>
      <c r="EZ29" s="300"/>
      <c r="FA29" s="300"/>
      <c r="FB29" s="300"/>
      <c r="FC29" s="300"/>
      <c r="FD29" s="300"/>
      <c r="FE29" s="300"/>
      <c r="FF29" s="300"/>
    </row>
    <row r="30" spans="1:162">
      <c r="A30" s="300"/>
      <c r="B30" s="300"/>
      <c r="C30" s="300"/>
      <c r="D30" s="300"/>
      <c r="E30" s="300"/>
      <c r="F30" s="300"/>
      <c r="G30" s="300"/>
      <c r="H30" s="300"/>
      <c r="I30" s="300"/>
      <c r="J30" s="300"/>
      <c r="K30" s="300"/>
      <c r="L30" s="300"/>
      <c r="M30" s="300"/>
      <c r="N30" s="300"/>
      <c r="O30" s="300"/>
      <c r="P30" s="300"/>
      <c r="Q30" s="300"/>
      <c r="R30" s="300"/>
      <c r="S30" s="300"/>
      <c r="T30" s="300"/>
      <c r="U30" s="300"/>
      <c r="V30" s="300"/>
      <c r="W30" s="300"/>
      <c r="X30" s="300"/>
      <c r="Y30" s="300"/>
      <c r="Z30" s="300"/>
      <c r="AA30" s="300"/>
      <c r="AB30" s="300"/>
      <c r="AC30" s="300"/>
      <c r="AD30" s="300"/>
      <c r="AE30" s="300"/>
      <c r="AF30" s="300"/>
      <c r="AG30" s="300"/>
      <c r="AH30" s="300"/>
      <c r="AI30" s="300"/>
      <c r="AJ30" s="300"/>
      <c r="AK30" s="300"/>
      <c r="AL30" s="300"/>
      <c r="AM30" s="300"/>
      <c r="AN30" s="300"/>
      <c r="AO30" s="300"/>
      <c r="AP30" s="300"/>
      <c r="AQ30" s="300"/>
      <c r="AR30" s="300"/>
      <c r="AS30" s="300"/>
      <c r="AT30" s="300"/>
      <c r="AU30" s="300"/>
      <c r="AV30" s="300"/>
      <c r="AW30" s="300"/>
      <c r="AX30" s="300"/>
      <c r="AY30" s="300"/>
      <c r="AZ30" s="300"/>
      <c r="BA30" s="300"/>
      <c r="BB30" s="300"/>
      <c r="BC30" s="300"/>
      <c r="BD30" s="300"/>
      <c r="BE30" s="300"/>
      <c r="BF30" s="300"/>
      <c r="BG30" s="300"/>
      <c r="BH30" s="300"/>
      <c r="BI30" s="300"/>
      <c r="BJ30" s="300"/>
      <c r="BK30" s="300"/>
      <c r="BL30" s="300"/>
      <c r="BM30" s="300"/>
      <c r="BN30" s="300"/>
      <c r="BO30" s="300"/>
      <c r="BP30" s="300"/>
      <c r="BQ30" s="300"/>
      <c r="BR30" s="300"/>
      <c r="BS30" s="300"/>
      <c r="BT30" s="300"/>
      <c r="BU30" s="300"/>
      <c r="BV30" s="300"/>
      <c r="BW30" s="300"/>
      <c r="BX30" s="300"/>
      <c r="BY30" s="300"/>
      <c r="BZ30" s="300"/>
      <c r="CA30" s="300"/>
      <c r="CB30" s="300"/>
      <c r="CC30" s="300"/>
      <c r="CD30" s="300"/>
      <c r="CE30" s="300"/>
      <c r="CF30" s="300"/>
      <c r="CG30" s="300"/>
      <c r="CH30" s="300"/>
      <c r="CI30" s="300"/>
      <c r="CJ30" s="300"/>
      <c r="CK30" s="300"/>
      <c r="CL30" s="300"/>
      <c r="CM30" s="300"/>
      <c r="CN30" s="300"/>
      <c r="CO30" s="300"/>
      <c r="CP30" s="300"/>
      <c r="CQ30" s="300"/>
      <c r="CR30" s="300"/>
      <c r="CS30" s="300"/>
      <c r="CT30" s="300"/>
      <c r="CU30" s="300"/>
      <c r="CV30" s="300"/>
      <c r="CW30" s="300"/>
      <c r="CX30" s="300"/>
      <c r="CY30" s="300"/>
      <c r="CZ30" s="300"/>
      <c r="DA30" s="300"/>
      <c r="DB30" s="300"/>
      <c r="DC30" s="300"/>
      <c r="DD30" s="300"/>
      <c r="DE30" s="300"/>
      <c r="DF30" s="300"/>
      <c r="DG30" s="300"/>
      <c r="DH30" s="300"/>
      <c r="DI30" s="300"/>
      <c r="DJ30" s="300"/>
      <c r="DK30" s="300"/>
      <c r="DL30" s="300"/>
      <c r="DM30" s="300"/>
      <c r="DN30" s="300"/>
      <c r="DO30" s="300"/>
      <c r="DP30" s="300"/>
      <c r="DQ30" s="300"/>
      <c r="DR30" s="300"/>
      <c r="DS30" s="300"/>
      <c r="DT30" s="300"/>
      <c r="DU30" s="300"/>
      <c r="DV30" s="300"/>
      <c r="DW30" s="300"/>
      <c r="DX30" s="300"/>
      <c r="DY30" s="300"/>
      <c r="DZ30" s="300"/>
      <c r="EA30" s="300"/>
      <c r="EB30" s="300"/>
      <c r="EC30" s="300"/>
      <c r="ED30" s="300"/>
      <c r="EE30" s="300"/>
      <c r="EF30" s="300"/>
      <c r="EG30" s="300"/>
      <c r="EH30" s="300"/>
      <c r="EI30" s="300"/>
      <c r="EJ30" s="300"/>
      <c r="EK30" s="300"/>
      <c r="EL30" s="300"/>
      <c r="EM30" s="300"/>
      <c r="EN30" s="300"/>
      <c r="EO30" s="300"/>
      <c r="EP30" s="300"/>
      <c r="EQ30" s="300"/>
      <c r="ER30" s="300"/>
      <c r="ES30" s="300"/>
      <c r="ET30" s="300"/>
      <c r="EU30" s="300"/>
      <c r="EV30" s="300"/>
      <c r="EW30" s="300"/>
      <c r="EX30" s="300"/>
      <c r="EY30" s="300"/>
      <c r="EZ30" s="300"/>
      <c r="FA30" s="300"/>
      <c r="FB30" s="300"/>
      <c r="FC30" s="300"/>
      <c r="FD30" s="300"/>
      <c r="FE30" s="300"/>
      <c r="FF30" s="300"/>
    </row>
    <row r="31" spans="1:162">
      <c r="A31" s="300"/>
      <c r="B31" s="300"/>
      <c r="C31" s="300"/>
      <c r="D31" s="300"/>
      <c r="E31" s="300"/>
      <c r="F31" s="300"/>
      <c r="G31" s="300"/>
      <c r="H31" s="300"/>
      <c r="I31" s="300"/>
      <c r="J31" s="300"/>
      <c r="K31" s="300"/>
      <c r="L31" s="300"/>
      <c r="M31" s="300"/>
      <c r="N31" s="300"/>
      <c r="O31" s="300"/>
      <c r="P31" s="300"/>
      <c r="Q31" s="300"/>
      <c r="R31" s="300"/>
      <c r="S31" s="300"/>
      <c r="T31" s="300"/>
      <c r="U31" s="300"/>
      <c r="V31" s="300"/>
      <c r="W31" s="300"/>
      <c r="X31" s="300"/>
      <c r="Y31" s="300"/>
      <c r="Z31" s="300"/>
      <c r="AA31" s="300"/>
      <c r="AB31" s="300"/>
      <c r="AC31" s="300"/>
      <c r="AD31" s="300"/>
      <c r="AE31" s="300"/>
      <c r="AF31" s="300"/>
      <c r="AG31" s="300"/>
      <c r="AH31" s="300"/>
      <c r="AI31" s="300"/>
      <c r="AJ31" s="300"/>
      <c r="AK31" s="300"/>
      <c r="AL31" s="300"/>
      <c r="AM31" s="300"/>
      <c r="AN31" s="300"/>
      <c r="AO31" s="300"/>
      <c r="AP31" s="300"/>
      <c r="AQ31" s="300"/>
      <c r="AR31" s="300"/>
      <c r="AS31" s="300"/>
      <c r="AT31" s="300"/>
      <c r="AU31" s="300"/>
      <c r="AV31" s="300"/>
      <c r="AW31" s="300"/>
      <c r="AX31" s="300"/>
      <c r="AY31" s="300"/>
      <c r="AZ31" s="300"/>
      <c r="BA31" s="300"/>
      <c r="BB31" s="300"/>
      <c r="BC31" s="300"/>
      <c r="BD31" s="300"/>
      <c r="BE31" s="300"/>
      <c r="BF31" s="300"/>
      <c r="BG31" s="300"/>
      <c r="BH31" s="300"/>
      <c r="BI31" s="300"/>
      <c r="BJ31" s="300"/>
      <c r="BK31" s="300"/>
      <c r="BL31" s="300"/>
      <c r="BM31" s="300"/>
      <c r="BN31" s="300"/>
      <c r="BO31" s="300"/>
      <c r="BP31" s="300"/>
      <c r="BQ31" s="300"/>
      <c r="BR31" s="300"/>
      <c r="BS31" s="300"/>
      <c r="BT31" s="300"/>
      <c r="BU31" s="300"/>
      <c r="BV31" s="300"/>
      <c r="BW31" s="300"/>
      <c r="BX31" s="300"/>
      <c r="BY31" s="300"/>
      <c r="BZ31" s="300"/>
      <c r="CA31" s="300"/>
      <c r="CB31" s="300"/>
      <c r="CC31" s="300"/>
      <c r="CD31" s="300"/>
      <c r="CE31" s="300"/>
      <c r="CF31" s="300"/>
      <c r="CG31" s="300"/>
      <c r="CH31" s="300"/>
      <c r="CI31" s="300"/>
      <c r="CJ31" s="300"/>
      <c r="CK31" s="300"/>
      <c r="CL31" s="300"/>
      <c r="CM31" s="300"/>
      <c r="CN31" s="300"/>
      <c r="CO31" s="300"/>
      <c r="CP31" s="300"/>
      <c r="CQ31" s="300"/>
      <c r="CR31" s="300"/>
      <c r="CS31" s="300"/>
      <c r="CT31" s="300"/>
      <c r="CU31" s="300"/>
      <c r="CV31" s="300"/>
      <c r="CW31" s="300"/>
      <c r="CX31" s="300"/>
      <c r="CY31" s="300"/>
      <c r="CZ31" s="300"/>
      <c r="DA31" s="300"/>
      <c r="DB31" s="300"/>
      <c r="DC31" s="300"/>
      <c r="DD31" s="300"/>
      <c r="DE31" s="300"/>
      <c r="DF31" s="300"/>
      <c r="DG31" s="300"/>
      <c r="DH31" s="300"/>
      <c r="DI31" s="300"/>
      <c r="DJ31" s="300"/>
      <c r="DK31" s="300"/>
      <c r="DL31" s="300"/>
      <c r="DM31" s="300"/>
      <c r="DN31" s="300"/>
      <c r="DO31" s="300"/>
      <c r="DP31" s="300"/>
      <c r="DQ31" s="300"/>
      <c r="DR31" s="300"/>
      <c r="DS31" s="300"/>
      <c r="DT31" s="300"/>
      <c r="DU31" s="300"/>
      <c r="DV31" s="300"/>
      <c r="DW31" s="300"/>
      <c r="DX31" s="300"/>
      <c r="DY31" s="300"/>
      <c r="DZ31" s="300"/>
      <c r="EA31" s="300"/>
      <c r="EB31" s="300"/>
      <c r="EC31" s="300"/>
      <c r="ED31" s="300"/>
      <c r="EE31" s="300"/>
      <c r="EF31" s="300"/>
      <c r="EG31" s="300"/>
      <c r="EH31" s="300"/>
      <c r="EI31" s="300"/>
      <c r="EJ31" s="300"/>
      <c r="EK31" s="300"/>
      <c r="EL31" s="300"/>
      <c r="EM31" s="300"/>
      <c r="EN31" s="300"/>
      <c r="EO31" s="300"/>
      <c r="EP31" s="300"/>
      <c r="EQ31" s="300"/>
      <c r="ER31" s="300"/>
      <c r="ES31" s="300"/>
      <c r="ET31" s="300"/>
      <c r="EU31" s="300"/>
      <c r="EV31" s="300"/>
      <c r="EW31" s="300"/>
      <c r="EX31" s="300"/>
      <c r="EY31" s="300"/>
      <c r="EZ31" s="300"/>
      <c r="FA31" s="300"/>
      <c r="FB31" s="300"/>
      <c r="FC31" s="300"/>
      <c r="FD31" s="300"/>
      <c r="FE31" s="300"/>
      <c r="FF31" s="300"/>
    </row>
    <row r="32" spans="1:162">
      <c r="A32" s="300"/>
      <c r="B32" s="300"/>
      <c r="C32" s="300"/>
      <c r="D32" s="300"/>
      <c r="E32" s="300"/>
      <c r="F32" s="300"/>
      <c r="G32" s="300"/>
      <c r="H32" s="300"/>
      <c r="I32" s="300"/>
      <c r="J32" s="300"/>
      <c r="K32" s="300"/>
      <c r="L32" s="300"/>
      <c r="M32" s="300"/>
      <c r="N32" s="300"/>
      <c r="O32" s="300"/>
      <c r="P32" s="300"/>
      <c r="Q32" s="300"/>
      <c r="R32" s="300"/>
      <c r="S32" s="300"/>
      <c r="T32" s="300"/>
      <c r="U32" s="300"/>
      <c r="V32" s="300"/>
      <c r="W32" s="300"/>
      <c r="X32" s="300"/>
      <c r="Y32" s="300"/>
      <c r="Z32" s="300"/>
      <c r="AA32" s="300"/>
      <c r="AB32" s="300"/>
      <c r="AC32" s="300"/>
      <c r="AD32" s="300"/>
      <c r="AE32" s="300"/>
      <c r="AF32" s="300"/>
      <c r="AG32" s="300"/>
      <c r="AH32" s="300"/>
      <c r="AI32" s="300"/>
      <c r="AJ32" s="300"/>
      <c r="AK32" s="300"/>
      <c r="AL32" s="300"/>
      <c r="AM32" s="300"/>
      <c r="AN32" s="300"/>
      <c r="AO32" s="300"/>
      <c r="AP32" s="300"/>
      <c r="AQ32" s="300"/>
      <c r="AR32" s="300"/>
      <c r="AS32" s="300"/>
      <c r="AT32" s="300"/>
      <c r="AU32" s="300"/>
      <c r="AV32" s="300"/>
      <c r="AW32" s="300"/>
      <c r="AX32" s="300"/>
      <c r="AY32" s="300"/>
      <c r="AZ32" s="300"/>
      <c r="BA32" s="300"/>
      <c r="BB32" s="300"/>
      <c r="BC32" s="300"/>
      <c r="BD32" s="300"/>
      <c r="BE32" s="300"/>
      <c r="BF32" s="300"/>
      <c r="BG32" s="300"/>
      <c r="BH32" s="300"/>
      <c r="BI32" s="300"/>
      <c r="BJ32" s="300"/>
      <c r="BK32" s="300"/>
      <c r="BL32" s="300"/>
      <c r="BM32" s="300"/>
      <c r="BN32" s="300"/>
      <c r="BO32" s="300"/>
      <c r="BP32" s="300"/>
      <c r="BQ32" s="300"/>
      <c r="BR32" s="300"/>
      <c r="BS32" s="300"/>
      <c r="BT32" s="300"/>
      <c r="BU32" s="300"/>
      <c r="BV32" s="300"/>
      <c r="BW32" s="300"/>
      <c r="BX32" s="300"/>
      <c r="BY32" s="300"/>
      <c r="BZ32" s="300"/>
      <c r="CA32" s="300"/>
      <c r="CB32" s="300"/>
      <c r="CC32" s="300"/>
      <c r="CD32" s="300"/>
      <c r="CE32" s="300"/>
      <c r="CF32" s="300"/>
      <c r="CG32" s="300"/>
      <c r="CH32" s="300"/>
      <c r="CI32" s="300"/>
      <c r="CJ32" s="300"/>
      <c r="CK32" s="300"/>
      <c r="CL32" s="300"/>
      <c r="CM32" s="300"/>
      <c r="CN32" s="300"/>
      <c r="CO32" s="300"/>
      <c r="CP32" s="300"/>
      <c r="CQ32" s="300"/>
      <c r="CR32" s="300"/>
      <c r="CS32" s="300"/>
      <c r="CT32" s="300"/>
      <c r="CU32" s="300"/>
      <c r="CV32" s="300"/>
      <c r="CW32" s="300"/>
      <c r="CX32" s="300"/>
      <c r="CY32" s="300"/>
      <c r="CZ32" s="300"/>
      <c r="DA32" s="300"/>
      <c r="DB32" s="300"/>
      <c r="DC32" s="300"/>
      <c r="DD32" s="300"/>
      <c r="DE32" s="300"/>
      <c r="DF32" s="300"/>
      <c r="DG32" s="300"/>
      <c r="DH32" s="300"/>
      <c r="DI32" s="300"/>
      <c r="DJ32" s="300"/>
      <c r="DK32" s="300"/>
      <c r="DL32" s="300"/>
      <c r="DM32" s="300"/>
      <c r="DN32" s="300"/>
      <c r="DO32" s="300"/>
      <c r="DP32" s="300"/>
      <c r="DQ32" s="300"/>
      <c r="DR32" s="300"/>
      <c r="DS32" s="300"/>
      <c r="DT32" s="300"/>
      <c r="DU32" s="300"/>
      <c r="DV32" s="300"/>
      <c r="DW32" s="300"/>
      <c r="DX32" s="300"/>
      <c r="DY32" s="300"/>
      <c r="DZ32" s="300"/>
      <c r="EA32" s="300"/>
      <c r="EB32" s="300"/>
      <c r="EC32" s="300"/>
      <c r="ED32" s="300"/>
      <c r="EE32" s="300"/>
      <c r="EF32" s="300"/>
      <c r="EG32" s="300"/>
      <c r="EH32" s="300"/>
      <c r="EI32" s="300"/>
      <c r="EJ32" s="300"/>
      <c r="EK32" s="300"/>
      <c r="EL32" s="300"/>
      <c r="EM32" s="300"/>
      <c r="EN32" s="300"/>
      <c r="EO32" s="300"/>
      <c r="EP32" s="300"/>
      <c r="EQ32" s="300"/>
      <c r="ER32" s="300"/>
      <c r="ES32" s="300"/>
      <c r="ET32" s="300"/>
      <c r="EU32" s="300"/>
      <c r="EV32" s="300"/>
      <c r="EW32" s="300"/>
      <c r="EX32" s="300"/>
      <c r="EY32" s="300"/>
      <c r="EZ32" s="300"/>
      <c r="FA32" s="300"/>
      <c r="FB32" s="300"/>
      <c r="FC32" s="300"/>
      <c r="FD32" s="300"/>
      <c r="FE32" s="300"/>
      <c r="FF32" s="300"/>
    </row>
    <row r="33" spans="1:162">
      <c r="A33" s="300"/>
      <c r="B33" s="300"/>
      <c r="C33" s="300"/>
      <c r="D33" s="300"/>
      <c r="E33" s="300"/>
      <c r="F33" s="300"/>
      <c r="G33" s="300"/>
      <c r="H33" s="300"/>
      <c r="I33" s="300"/>
      <c r="J33" s="300"/>
      <c r="K33" s="300"/>
      <c r="L33" s="300"/>
      <c r="M33" s="300"/>
      <c r="N33" s="300"/>
      <c r="O33" s="300"/>
      <c r="P33" s="300"/>
      <c r="Q33" s="300"/>
      <c r="R33" s="300"/>
      <c r="S33" s="300"/>
      <c r="T33" s="300"/>
      <c r="U33" s="300"/>
      <c r="V33" s="300"/>
      <c r="W33" s="300"/>
      <c r="X33" s="300"/>
      <c r="Y33" s="300"/>
      <c r="Z33" s="300"/>
      <c r="AA33" s="300"/>
      <c r="AB33" s="300"/>
      <c r="AC33" s="300"/>
      <c r="AD33" s="300"/>
      <c r="AE33" s="300"/>
      <c r="AF33" s="300"/>
      <c r="AG33" s="300"/>
      <c r="AH33" s="300"/>
      <c r="AI33" s="300"/>
      <c r="AJ33" s="300"/>
      <c r="AK33" s="300"/>
      <c r="AL33" s="300"/>
      <c r="AM33" s="300"/>
      <c r="AN33" s="300"/>
      <c r="AO33" s="300"/>
      <c r="AP33" s="300"/>
      <c r="AQ33" s="300"/>
      <c r="AR33" s="300"/>
      <c r="AS33" s="300"/>
      <c r="AT33" s="300"/>
      <c r="AU33" s="300"/>
      <c r="AV33" s="300"/>
      <c r="AW33" s="300"/>
      <c r="AX33" s="300"/>
      <c r="AY33" s="300"/>
      <c r="AZ33" s="300"/>
      <c r="BA33" s="300"/>
      <c r="BB33" s="300"/>
      <c r="BC33" s="300"/>
      <c r="BD33" s="300"/>
      <c r="BE33" s="300"/>
      <c r="BF33" s="300"/>
      <c r="BG33" s="300"/>
      <c r="BH33" s="300"/>
      <c r="BI33" s="300"/>
      <c r="BJ33" s="300"/>
      <c r="BK33" s="300"/>
      <c r="BL33" s="300"/>
      <c r="BM33" s="300"/>
      <c r="BN33" s="300"/>
      <c r="BO33" s="300"/>
      <c r="BP33" s="300"/>
      <c r="BQ33" s="300"/>
      <c r="BR33" s="300"/>
      <c r="BS33" s="300"/>
      <c r="BT33" s="300"/>
      <c r="BU33" s="300"/>
      <c r="BV33" s="300"/>
      <c r="BW33" s="300"/>
      <c r="BX33" s="300"/>
      <c r="BY33" s="300"/>
      <c r="BZ33" s="300"/>
      <c r="CA33" s="300"/>
      <c r="CB33" s="300"/>
      <c r="CC33" s="300"/>
      <c r="CD33" s="300"/>
      <c r="CE33" s="300"/>
      <c r="CF33" s="300"/>
      <c r="CG33" s="300"/>
      <c r="CH33" s="300"/>
      <c r="CI33" s="300"/>
      <c r="CJ33" s="300"/>
      <c r="CK33" s="300"/>
      <c r="CL33" s="300"/>
      <c r="CM33" s="300"/>
      <c r="CN33" s="300"/>
      <c r="CO33" s="300"/>
      <c r="CP33" s="300"/>
      <c r="CQ33" s="300"/>
      <c r="CR33" s="300"/>
      <c r="CS33" s="300"/>
      <c r="CT33" s="300"/>
      <c r="CU33" s="300"/>
      <c r="CV33" s="300"/>
      <c r="CW33" s="300"/>
      <c r="CX33" s="300"/>
      <c r="CY33" s="300"/>
      <c r="CZ33" s="300"/>
      <c r="DA33" s="300"/>
      <c r="DB33" s="300"/>
      <c r="DC33" s="300"/>
      <c r="DD33" s="300"/>
      <c r="DE33" s="300"/>
      <c r="DF33" s="300"/>
      <c r="DG33" s="300"/>
      <c r="DH33" s="300"/>
      <c r="DI33" s="300"/>
      <c r="DJ33" s="300"/>
      <c r="DK33" s="300"/>
      <c r="DL33" s="300"/>
      <c r="DM33" s="300"/>
      <c r="DN33" s="300"/>
      <c r="DO33" s="300"/>
      <c r="DP33" s="300"/>
      <c r="DQ33" s="300"/>
      <c r="DR33" s="300"/>
      <c r="DS33" s="300"/>
      <c r="DT33" s="300"/>
      <c r="DU33" s="300"/>
      <c r="DV33" s="300"/>
      <c r="DW33" s="300"/>
      <c r="DX33" s="300"/>
      <c r="DY33" s="300"/>
      <c r="DZ33" s="300"/>
      <c r="EA33" s="300"/>
      <c r="EB33" s="300"/>
      <c r="EC33" s="300"/>
      <c r="ED33" s="300"/>
      <c r="EE33" s="300"/>
      <c r="EF33" s="300"/>
      <c r="EG33" s="300"/>
      <c r="EH33" s="300"/>
      <c r="EI33" s="300"/>
      <c r="EJ33" s="300"/>
      <c r="EK33" s="300"/>
      <c r="EL33" s="300"/>
      <c r="EM33" s="300"/>
      <c r="EN33" s="300"/>
      <c r="EO33" s="300"/>
      <c r="EP33" s="300"/>
      <c r="EQ33" s="300"/>
      <c r="ER33" s="300"/>
      <c r="ES33" s="300"/>
      <c r="ET33" s="300"/>
      <c r="EU33" s="300"/>
      <c r="EV33" s="300"/>
      <c r="EW33" s="300"/>
      <c r="EX33" s="300"/>
      <c r="EY33" s="300"/>
      <c r="EZ33" s="300"/>
      <c r="FA33" s="300"/>
      <c r="FB33" s="300"/>
      <c r="FC33" s="300"/>
      <c r="FD33" s="300"/>
      <c r="FE33" s="300"/>
      <c r="FF33" s="300"/>
    </row>
    <row r="34" spans="1:162">
      <c r="A34" s="300"/>
      <c r="B34" s="300"/>
      <c r="C34" s="300"/>
      <c r="D34" s="300"/>
      <c r="E34" s="300"/>
      <c r="F34" s="300"/>
      <c r="G34" s="300"/>
      <c r="H34" s="300"/>
      <c r="I34" s="300"/>
      <c r="J34" s="300"/>
      <c r="K34" s="300"/>
      <c r="L34" s="300"/>
      <c r="M34" s="300"/>
      <c r="N34" s="300"/>
      <c r="O34" s="300"/>
      <c r="P34" s="300"/>
      <c r="Q34" s="300"/>
      <c r="R34" s="300"/>
      <c r="S34" s="300"/>
      <c r="T34" s="300"/>
      <c r="U34" s="300"/>
      <c r="V34" s="300"/>
      <c r="W34" s="300"/>
      <c r="X34" s="300"/>
      <c r="Y34" s="300"/>
      <c r="Z34" s="300"/>
      <c r="AA34" s="300"/>
      <c r="AB34" s="300"/>
      <c r="AC34" s="300"/>
      <c r="AD34" s="300"/>
      <c r="AE34" s="300"/>
      <c r="AF34" s="300"/>
      <c r="AG34" s="300"/>
      <c r="AH34" s="300"/>
      <c r="AI34" s="300"/>
      <c r="AJ34" s="300"/>
      <c r="AK34" s="300"/>
      <c r="AL34" s="300"/>
      <c r="AM34" s="300"/>
      <c r="AN34" s="300"/>
      <c r="AO34" s="300"/>
      <c r="AP34" s="300"/>
      <c r="AQ34" s="300"/>
      <c r="AR34" s="300"/>
      <c r="AS34" s="300"/>
      <c r="AT34" s="300"/>
      <c r="AU34" s="300"/>
      <c r="AV34" s="300"/>
      <c r="AW34" s="300"/>
      <c r="AX34" s="300"/>
      <c r="AY34" s="300"/>
      <c r="AZ34" s="300"/>
      <c r="BA34" s="300"/>
      <c r="BB34" s="300"/>
      <c r="BC34" s="300"/>
      <c r="BD34" s="300"/>
      <c r="BE34" s="300"/>
      <c r="BF34" s="300"/>
      <c r="BG34" s="300"/>
      <c r="BH34" s="300"/>
      <c r="BI34" s="300"/>
      <c r="BJ34" s="300"/>
      <c r="BK34" s="300"/>
      <c r="BL34" s="300"/>
      <c r="BM34" s="300"/>
      <c r="BN34" s="300"/>
      <c r="BO34" s="300"/>
      <c r="BP34" s="300"/>
      <c r="BQ34" s="300"/>
      <c r="BR34" s="300"/>
      <c r="BS34" s="300"/>
      <c r="BT34" s="300"/>
      <c r="BU34" s="300"/>
      <c r="BV34" s="300"/>
      <c r="BW34" s="300"/>
      <c r="BX34" s="300"/>
      <c r="BY34" s="300"/>
      <c r="BZ34" s="300"/>
      <c r="CA34" s="300"/>
      <c r="CB34" s="300"/>
      <c r="CC34" s="300"/>
      <c r="CD34" s="300"/>
      <c r="CE34" s="300"/>
      <c r="CF34" s="300"/>
      <c r="CG34" s="300"/>
      <c r="CH34" s="300"/>
      <c r="CI34" s="300"/>
      <c r="CJ34" s="300"/>
      <c r="CK34" s="300"/>
      <c r="CL34" s="300"/>
      <c r="CM34" s="300"/>
      <c r="CN34" s="300"/>
      <c r="CO34" s="300"/>
      <c r="CP34" s="300"/>
      <c r="CQ34" s="300"/>
      <c r="CR34" s="300"/>
      <c r="CS34" s="300"/>
      <c r="CT34" s="300"/>
      <c r="CU34" s="300"/>
      <c r="CV34" s="300"/>
      <c r="CW34" s="300"/>
      <c r="CX34" s="300"/>
      <c r="CY34" s="300"/>
      <c r="CZ34" s="300"/>
      <c r="DA34" s="300"/>
      <c r="DB34" s="300"/>
      <c r="DC34" s="300"/>
      <c r="DD34" s="300"/>
      <c r="DE34" s="300"/>
      <c r="DF34" s="300"/>
      <c r="DG34" s="300"/>
      <c r="DH34" s="300"/>
      <c r="DI34" s="300"/>
      <c r="DJ34" s="300"/>
      <c r="DK34" s="300"/>
      <c r="DL34" s="300"/>
      <c r="DM34" s="300"/>
      <c r="DN34" s="300"/>
      <c r="DO34" s="300"/>
      <c r="DP34" s="300"/>
      <c r="DQ34" s="300"/>
      <c r="DR34" s="300"/>
      <c r="DS34" s="300"/>
      <c r="DT34" s="300"/>
      <c r="DU34" s="300"/>
      <c r="DV34" s="300"/>
      <c r="DW34" s="300"/>
      <c r="DX34" s="300"/>
      <c r="DY34" s="300"/>
      <c r="DZ34" s="300"/>
      <c r="EA34" s="300"/>
      <c r="EB34" s="300"/>
      <c r="EC34" s="300"/>
      <c r="ED34" s="300"/>
      <c r="EE34" s="300"/>
      <c r="EF34" s="300"/>
      <c r="EG34" s="300"/>
      <c r="EH34" s="300"/>
      <c r="EI34" s="300"/>
      <c r="EJ34" s="300"/>
      <c r="EK34" s="300"/>
      <c r="EL34" s="300"/>
      <c r="EM34" s="300"/>
      <c r="EN34" s="300"/>
      <c r="EO34" s="300"/>
      <c r="EP34" s="300"/>
      <c r="EQ34" s="300"/>
      <c r="ER34" s="300"/>
      <c r="ES34" s="300"/>
      <c r="ET34" s="300"/>
      <c r="EU34" s="300"/>
      <c r="EV34" s="300"/>
      <c r="EW34" s="300"/>
      <c r="EX34" s="300"/>
      <c r="EY34" s="300"/>
      <c r="EZ34" s="300"/>
      <c r="FA34" s="300"/>
      <c r="FB34" s="300"/>
      <c r="FC34" s="300"/>
      <c r="FD34" s="300"/>
      <c r="FE34" s="300"/>
      <c r="FF34" s="300"/>
    </row>
    <row r="35" spans="1:162">
      <c r="A35" s="300"/>
      <c r="B35" s="300"/>
      <c r="C35" s="300"/>
      <c r="D35" s="300"/>
      <c r="E35" s="300"/>
      <c r="F35" s="300"/>
      <c r="G35" s="300"/>
      <c r="H35" s="300"/>
      <c r="I35" s="300"/>
      <c r="J35" s="300"/>
      <c r="K35" s="300"/>
      <c r="L35" s="300"/>
      <c r="M35" s="300"/>
      <c r="N35" s="300"/>
      <c r="O35" s="300"/>
      <c r="P35" s="300"/>
      <c r="Q35" s="300"/>
      <c r="R35" s="300"/>
      <c r="S35" s="300"/>
      <c r="T35" s="300"/>
      <c r="U35" s="300"/>
      <c r="V35" s="300"/>
      <c r="W35" s="300"/>
      <c r="X35" s="300"/>
      <c r="Y35" s="300"/>
      <c r="Z35" s="300"/>
      <c r="AA35" s="300"/>
      <c r="AB35" s="300"/>
      <c r="AC35" s="300"/>
      <c r="AD35" s="300"/>
      <c r="AE35" s="300"/>
      <c r="AF35" s="300"/>
      <c r="AG35" s="300"/>
      <c r="AH35" s="300"/>
      <c r="AI35" s="300"/>
      <c r="AJ35" s="300"/>
      <c r="AK35" s="300"/>
      <c r="AL35" s="300"/>
      <c r="AM35" s="300"/>
      <c r="AN35" s="300"/>
      <c r="AO35" s="300"/>
      <c r="AP35" s="300"/>
      <c r="AQ35" s="300"/>
      <c r="AR35" s="300"/>
      <c r="AS35" s="300"/>
      <c r="AT35" s="300"/>
      <c r="AU35" s="300"/>
      <c r="AV35" s="300"/>
      <c r="AW35" s="300"/>
      <c r="AX35" s="300"/>
      <c r="AY35" s="300"/>
      <c r="AZ35" s="300"/>
      <c r="BA35" s="300"/>
      <c r="BB35" s="300"/>
      <c r="BC35" s="300"/>
      <c r="BD35" s="300"/>
      <c r="BE35" s="300"/>
      <c r="BF35" s="300"/>
      <c r="BG35" s="300"/>
      <c r="BH35" s="300"/>
      <c r="BI35" s="300"/>
      <c r="BJ35" s="300"/>
      <c r="BK35" s="300"/>
      <c r="BL35" s="300"/>
      <c r="BM35" s="300"/>
      <c r="BN35" s="300"/>
      <c r="BO35" s="300"/>
      <c r="BP35" s="300"/>
      <c r="BQ35" s="300"/>
      <c r="BR35" s="300"/>
      <c r="BS35" s="300"/>
      <c r="BT35" s="300"/>
      <c r="BU35" s="300"/>
      <c r="BV35" s="300"/>
      <c r="BW35" s="300"/>
      <c r="BX35" s="300"/>
      <c r="BY35" s="300"/>
      <c r="BZ35" s="300"/>
      <c r="CA35" s="300"/>
      <c r="CB35" s="300"/>
      <c r="CC35" s="300"/>
      <c r="CD35" s="300"/>
      <c r="CE35" s="300"/>
      <c r="CF35" s="300"/>
      <c r="CG35" s="300"/>
      <c r="CH35" s="300"/>
      <c r="CI35" s="300"/>
      <c r="CJ35" s="300"/>
      <c r="CK35" s="300"/>
      <c r="CL35" s="300"/>
      <c r="CM35" s="300"/>
      <c r="CN35" s="300"/>
      <c r="CO35" s="300"/>
      <c r="CP35" s="300"/>
      <c r="CQ35" s="300"/>
      <c r="CR35" s="300"/>
      <c r="CS35" s="300"/>
      <c r="CT35" s="300"/>
      <c r="CU35" s="300"/>
      <c r="CV35" s="300"/>
      <c r="CW35" s="300"/>
      <c r="CX35" s="300"/>
      <c r="CY35" s="300"/>
      <c r="CZ35" s="300"/>
      <c r="DA35" s="300"/>
      <c r="DB35" s="300"/>
      <c r="DC35" s="300"/>
      <c r="DD35" s="300"/>
      <c r="DE35" s="300"/>
      <c r="DF35" s="300"/>
      <c r="DG35" s="300"/>
      <c r="DH35" s="300"/>
      <c r="DI35" s="300"/>
      <c r="DJ35" s="300"/>
      <c r="DK35" s="300"/>
      <c r="DL35" s="300"/>
      <c r="DM35" s="300"/>
      <c r="DN35" s="300"/>
      <c r="DO35" s="300"/>
      <c r="DP35" s="300"/>
      <c r="DQ35" s="300"/>
      <c r="DR35" s="300"/>
      <c r="DS35" s="300"/>
      <c r="DT35" s="300"/>
      <c r="DU35" s="300"/>
      <c r="DV35" s="300"/>
      <c r="DW35" s="300"/>
      <c r="DX35" s="300"/>
      <c r="DY35" s="300"/>
      <c r="DZ35" s="300"/>
      <c r="EA35" s="300"/>
      <c r="EB35" s="300"/>
      <c r="EC35" s="300"/>
      <c r="ED35" s="300"/>
      <c r="EE35" s="300"/>
      <c r="EF35" s="300"/>
      <c r="EG35" s="300"/>
      <c r="EH35" s="300"/>
      <c r="EI35" s="300"/>
      <c r="EJ35" s="300"/>
      <c r="EK35" s="300"/>
      <c r="EL35" s="300"/>
      <c r="EM35" s="300"/>
      <c r="EN35" s="300"/>
      <c r="EO35" s="300"/>
      <c r="EP35" s="300"/>
      <c r="EQ35" s="300"/>
      <c r="ER35" s="300"/>
      <c r="ES35" s="300"/>
      <c r="ET35" s="300"/>
      <c r="EU35" s="300"/>
      <c r="EV35" s="300"/>
      <c r="EW35" s="300"/>
      <c r="EX35" s="300"/>
      <c r="EY35" s="300"/>
      <c r="EZ35" s="300"/>
      <c r="FA35" s="300"/>
      <c r="FB35" s="300"/>
      <c r="FC35" s="300"/>
      <c r="FD35" s="300"/>
      <c r="FE35" s="300"/>
      <c r="FF35" s="300"/>
    </row>
    <row r="36" spans="1:162">
      <c r="A36" s="300"/>
      <c r="B36" s="300"/>
      <c r="C36" s="300"/>
      <c r="D36" s="300"/>
      <c r="E36" s="300"/>
      <c r="F36" s="300"/>
      <c r="G36" s="300"/>
      <c r="H36" s="300"/>
      <c r="I36" s="300"/>
      <c r="J36" s="300"/>
      <c r="K36" s="300"/>
      <c r="L36" s="300"/>
      <c r="M36" s="300"/>
      <c r="N36" s="300"/>
      <c r="O36" s="300"/>
      <c r="P36" s="300"/>
      <c r="Q36" s="300"/>
      <c r="R36" s="300"/>
      <c r="S36" s="300"/>
      <c r="T36" s="300"/>
      <c r="U36" s="300"/>
      <c r="V36" s="300"/>
      <c r="W36" s="300"/>
      <c r="X36" s="300"/>
      <c r="Y36" s="300"/>
      <c r="Z36" s="300"/>
      <c r="AA36" s="300"/>
      <c r="AB36" s="300"/>
      <c r="AC36" s="300"/>
      <c r="AD36" s="300"/>
      <c r="AE36" s="300"/>
      <c r="AF36" s="300"/>
      <c r="AG36" s="300"/>
      <c r="AH36" s="300"/>
      <c r="AI36" s="300"/>
      <c r="AJ36" s="300"/>
      <c r="AK36" s="300"/>
      <c r="AL36" s="300"/>
      <c r="AM36" s="300"/>
      <c r="AN36" s="300"/>
      <c r="AO36" s="300"/>
      <c r="AP36" s="300"/>
      <c r="AQ36" s="300"/>
      <c r="AR36" s="300"/>
      <c r="AS36" s="300"/>
      <c r="AT36" s="300"/>
      <c r="AU36" s="300"/>
      <c r="AV36" s="300"/>
      <c r="AW36" s="300"/>
      <c r="AX36" s="300"/>
      <c r="AY36" s="300"/>
      <c r="AZ36" s="300"/>
      <c r="BA36" s="300"/>
      <c r="BB36" s="300"/>
      <c r="BC36" s="300"/>
      <c r="BD36" s="300"/>
      <c r="BE36" s="300"/>
      <c r="BF36" s="300"/>
      <c r="BG36" s="300"/>
      <c r="BH36" s="300"/>
      <c r="BI36" s="300"/>
      <c r="BJ36" s="300"/>
      <c r="BK36" s="300"/>
      <c r="BL36" s="300"/>
      <c r="BM36" s="300"/>
      <c r="BN36" s="300"/>
      <c r="BO36" s="300"/>
      <c r="BP36" s="300"/>
      <c r="BQ36" s="300"/>
      <c r="BR36" s="300"/>
      <c r="BS36" s="300"/>
      <c r="BT36" s="300"/>
      <c r="BU36" s="300"/>
      <c r="BV36" s="300"/>
      <c r="BW36" s="300"/>
      <c r="BX36" s="300"/>
      <c r="BY36" s="300"/>
      <c r="BZ36" s="300"/>
      <c r="CA36" s="300"/>
      <c r="CB36" s="300"/>
      <c r="CC36" s="300"/>
      <c r="CD36" s="300"/>
      <c r="CE36" s="300"/>
      <c r="CF36" s="300"/>
      <c r="CG36" s="300"/>
      <c r="CH36" s="300"/>
      <c r="CI36" s="300"/>
      <c r="CJ36" s="300"/>
      <c r="CK36" s="300"/>
      <c r="CL36" s="300"/>
      <c r="CM36" s="300"/>
      <c r="CN36" s="300"/>
      <c r="CO36" s="300"/>
      <c r="CP36" s="300"/>
      <c r="CQ36" s="300"/>
      <c r="CR36" s="300"/>
      <c r="CS36" s="300"/>
      <c r="CT36" s="300"/>
      <c r="CU36" s="300"/>
      <c r="CV36" s="300"/>
      <c r="CW36" s="300"/>
      <c r="CX36" s="300"/>
      <c r="CY36" s="300"/>
      <c r="CZ36" s="300"/>
      <c r="DA36" s="300"/>
      <c r="DB36" s="300"/>
      <c r="DC36" s="300"/>
      <c r="DD36" s="300"/>
      <c r="DE36" s="300"/>
      <c r="DF36" s="300"/>
      <c r="DG36" s="300"/>
      <c r="DH36" s="300"/>
      <c r="DI36" s="300"/>
      <c r="DJ36" s="300"/>
      <c r="DK36" s="300"/>
      <c r="DL36" s="300"/>
      <c r="DM36" s="300"/>
      <c r="DN36" s="300"/>
      <c r="DO36" s="300"/>
      <c r="DP36" s="300"/>
      <c r="DQ36" s="300"/>
      <c r="DR36" s="300"/>
      <c r="DS36" s="300"/>
      <c r="DT36" s="300"/>
      <c r="DU36" s="300"/>
      <c r="DV36" s="300"/>
      <c r="DW36" s="300"/>
      <c r="DX36" s="300"/>
      <c r="DY36" s="300"/>
      <c r="DZ36" s="300"/>
      <c r="EA36" s="300"/>
      <c r="EB36" s="300"/>
      <c r="EC36" s="300"/>
      <c r="ED36" s="300"/>
      <c r="EE36" s="300"/>
      <c r="EF36" s="300"/>
      <c r="EG36" s="300"/>
      <c r="EH36" s="300"/>
      <c r="EI36" s="300"/>
      <c r="EJ36" s="300"/>
      <c r="EK36" s="300"/>
      <c r="EL36" s="300"/>
      <c r="EM36" s="300"/>
      <c r="EN36" s="300"/>
      <c r="EO36" s="300"/>
      <c r="EP36" s="300"/>
      <c r="EQ36" s="300"/>
      <c r="ER36" s="300"/>
      <c r="ES36" s="300"/>
      <c r="ET36" s="300"/>
      <c r="EU36" s="300"/>
      <c r="EV36" s="300"/>
      <c r="EW36" s="300"/>
      <c r="EX36" s="300"/>
      <c r="EY36" s="300"/>
      <c r="EZ36" s="300"/>
      <c r="FA36" s="300"/>
      <c r="FB36" s="300"/>
      <c r="FC36" s="300"/>
      <c r="FD36" s="300"/>
      <c r="FE36" s="300"/>
      <c r="FF36" s="300"/>
    </row>
    <row r="37" spans="1:162">
      <c r="A37" s="300"/>
      <c r="B37" s="300"/>
      <c r="C37" s="300"/>
      <c r="D37" s="300"/>
      <c r="E37" s="300"/>
      <c r="F37" s="300"/>
      <c r="G37" s="300"/>
      <c r="H37" s="300"/>
      <c r="I37" s="300"/>
      <c r="J37" s="300"/>
      <c r="K37" s="300"/>
      <c r="L37" s="300"/>
      <c r="M37" s="300"/>
      <c r="N37" s="300"/>
      <c r="O37" s="300"/>
      <c r="P37" s="300"/>
      <c r="Q37" s="300"/>
      <c r="R37" s="300"/>
      <c r="S37" s="300"/>
      <c r="T37" s="300"/>
      <c r="U37" s="300"/>
      <c r="V37" s="300"/>
      <c r="W37" s="300"/>
      <c r="X37" s="300"/>
      <c r="Y37" s="300"/>
      <c r="Z37" s="300"/>
      <c r="AA37" s="300"/>
      <c r="AB37" s="300"/>
      <c r="AC37" s="300"/>
      <c r="AD37" s="300"/>
      <c r="AE37" s="300"/>
      <c r="AF37" s="300"/>
      <c r="AG37" s="300"/>
      <c r="AH37" s="300"/>
      <c r="AI37" s="300"/>
      <c r="AJ37" s="300"/>
      <c r="AK37" s="300"/>
      <c r="AL37" s="300"/>
      <c r="AM37" s="300"/>
      <c r="AN37" s="300"/>
      <c r="AO37" s="300"/>
      <c r="AP37" s="300"/>
      <c r="AQ37" s="300"/>
      <c r="AR37" s="300"/>
      <c r="AS37" s="300"/>
      <c r="AT37" s="300"/>
      <c r="AU37" s="300"/>
      <c r="AV37" s="300"/>
      <c r="AW37" s="300"/>
      <c r="AX37" s="300"/>
      <c r="AY37" s="300"/>
      <c r="AZ37" s="300"/>
      <c r="BA37" s="300"/>
      <c r="BB37" s="300"/>
      <c r="BC37" s="300"/>
      <c r="BD37" s="300"/>
      <c r="BE37" s="300"/>
      <c r="BF37" s="300"/>
      <c r="BG37" s="300"/>
      <c r="BH37" s="300"/>
      <c r="BI37" s="300"/>
      <c r="BJ37" s="300"/>
      <c r="BK37" s="300"/>
      <c r="BL37" s="300"/>
      <c r="BM37" s="300"/>
      <c r="BN37" s="300"/>
      <c r="BO37" s="300"/>
      <c r="BP37" s="300"/>
      <c r="BQ37" s="300"/>
      <c r="BR37" s="300"/>
      <c r="BS37" s="300"/>
      <c r="BT37" s="300"/>
      <c r="BU37" s="300"/>
      <c r="BV37" s="300"/>
      <c r="BW37" s="300"/>
      <c r="BX37" s="300"/>
      <c r="BY37" s="300"/>
      <c r="BZ37" s="300"/>
      <c r="CA37" s="300"/>
      <c r="CB37" s="300"/>
      <c r="CC37" s="300"/>
      <c r="CD37" s="300"/>
      <c r="CE37" s="300"/>
      <c r="CF37" s="300"/>
      <c r="CG37" s="300"/>
      <c r="CH37" s="300"/>
      <c r="CI37" s="300"/>
      <c r="CJ37" s="300"/>
      <c r="CK37" s="300"/>
      <c r="CL37" s="300"/>
      <c r="CM37" s="300"/>
      <c r="CN37" s="300"/>
      <c r="CO37" s="300"/>
      <c r="CP37" s="300"/>
      <c r="CQ37" s="300"/>
      <c r="CR37" s="300"/>
      <c r="CS37" s="300"/>
      <c r="CT37" s="300"/>
      <c r="CU37" s="300"/>
      <c r="CV37" s="300"/>
      <c r="CW37" s="300"/>
      <c r="CX37" s="300"/>
      <c r="CY37" s="300"/>
      <c r="CZ37" s="300"/>
      <c r="DA37" s="300"/>
      <c r="DB37" s="300"/>
      <c r="DC37" s="300"/>
      <c r="DD37" s="300"/>
      <c r="DE37" s="300"/>
      <c r="DF37" s="300"/>
      <c r="DG37" s="300"/>
      <c r="DH37" s="300"/>
      <c r="DI37" s="300"/>
      <c r="DJ37" s="300"/>
      <c r="DK37" s="300"/>
      <c r="DL37" s="300"/>
      <c r="DM37" s="300"/>
      <c r="DN37" s="300"/>
      <c r="DO37" s="300"/>
      <c r="DP37" s="300"/>
      <c r="DQ37" s="300"/>
      <c r="DR37" s="300"/>
      <c r="DS37" s="300"/>
      <c r="DT37" s="300"/>
      <c r="DU37" s="300"/>
      <c r="DV37" s="300"/>
      <c r="DW37" s="300"/>
      <c r="DX37" s="300"/>
      <c r="DY37" s="300"/>
      <c r="DZ37" s="300"/>
      <c r="EA37" s="300"/>
      <c r="EB37" s="300"/>
      <c r="EC37" s="300"/>
      <c r="ED37" s="300"/>
      <c r="EE37" s="300"/>
      <c r="EF37" s="300"/>
      <c r="EG37" s="300"/>
      <c r="EH37" s="300"/>
      <c r="EI37" s="300"/>
      <c r="EJ37" s="300"/>
      <c r="EK37" s="300"/>
      <c r="EL37" s="300"/>
      <c r="EM37" s="300"/>
      <c r="EN37" s="300"/>
      <c r="EO37" s="300"/>
      <c r="EP37" s="300"/>
      <c r="EQ37" s="300"/>
      <c r="ER37" s="300"/>
      <c r="ES37" s="300"/>
      <c r="ET37" s="300"/>
      <c r="EU37" s="300"/>
      <c r="EV37" s="300"/>
      <c r="EW37" s="300"/>
      <c r="EX37" s="300"/>
      <c r="EY37" s="300"/>
      <c r="EZ37" s="300"/>
      <c r="FA37" s="300"/>
      <c r="FB37" s="300"/>
      <c r="FC37" s="300"/>
      <c r="FD37" s="300"/>
      <c r="FE37" s="300"/>
      <c r="FF37" s="300"/>
    </row>
    <row r="38" spans="1:162">
      <c r="A38" s="300"/>
      <c r="B38" s="300"/>
      <c r="C38" s="300"/>
      <c r="D38" s="300"/>
      <c r="E38" s="300"/>
      <c r="F38" s="300"/>
      <c r="G38" s="300"/>
      <c r="H38" s="300"/>
      <c r="I38" s="300"/>
      <c r="J38" s="300"/>
      <c r="K38" s="300"/>
      <c r="L38" s="300"/>
      <c r="M38" s="300"/>
      <c r="N38" s="300"/>
      <c r="O38" s="300"/>
      <c r="P38" s="300"/>
      <c r="Q38" s="300"/>
      <c r="R38" s="300"/>
      <c r="S38" s="300"/>
      <c r="T38" s="300"/>
      <c r="U38" s="300"/>
      <c r="V38" s="300"/>
      <c r="W38" s="300"/>
      <c r="X38" s="300"/>
      <c r="Y38" s="300"/>
      <c r="Z38" s="300"/>
      <c r="AA38" s="300"/>
      <c r="AB38" s="300"/>
      <c r="AC38" s="300"/>
      <c r="AD38" s="300"/>
      <c r="AE38" s="300"/>
      <c r="AF38" s="300"/>
      <c r="AG38" s="300"/>
      <c r="AH38" s="300"/>
      <c r="AI38" s="300"/>
      <c r="AJ38" s="300"/>
      <c r="AK38" s="300"/>
      <c r="AL38" s="300"/>
      <c r="AM38" s="300"/>
      <c r="AN38" s="300"/>
      <c r="AO38" s="300"/>
      <c r="AP38" s="300"/>
      <c r="AQ38" s="300"/>
      <c r="AR38" s="300"/>
      <c r="AS38" s="300"/>
      <c r="AT38" s="300"/>
      <c r="AU38" s="300"/>
      <c r="AV38" s="300"/>
      <c r="AW38" s="300"/>
      <c r="AX38" s="300"/>
      <c r="AY38" s="300"/>
      <c r="AZ38" s="300"/>
      <c r="BA38" s="300"/>
      <c r="BB38" s="300"/>
      <c r="BC38" s="300"/>
      <c r="BD38" s="300"/>
      <c r="BE38" s="300"/>
      <c r="BF38" s="300"/>
      <c r="BG38" s="300"/>
      <c r="BH38" s="300"/>
      <c r="BI38" s="300"/>
      <c r="BJ38" s="300"/>
      <c r="BK38" s="300"/>
      <c r="BL38" s="300"/>
      <c r="BM38" s="300"/>
      <c r="BN38" s="300"/>
      <c r="BO38" s="300"/>
      <c r="BP38" s="300"/>
      <c r="BQ38" s="300"/>
      <c r="BR38" s="300"/>
      <c r="BS38" s="300"/>
      <c r="BT38" s="300"/>
      <c r="BU38" s="300"/>
      <c r="BV38" s="300"/>
      <c r="BW38" s="300"/>
      <c r="BX38" s="300"/>
      <c r="BY38" s="300"/>
      <c r="BZ38" s="300"/>
      <c r="CA38" s="300"/>
      <c r="CB38" s="300"/>
      <c r="CC38" s="300"/>
      <c r="CD38" s="300"/>
      <c r="CE38" s="300"/>
      <c r="CF38" s="300"/>
      <c r="CG38" s="300"/>
      <c r="CH38" s="300"/>
      <c r="CI38" s="300"/>
      <c r="CJ38" s="300"/>
      <c r="CK38" s="300"/>
      <c r="CL38" s="300"/>
      <c r="CM38" s="300"/>
      <c r="CN38" s="300"/>
      <c r="CO38" s="300"/>
      <c r="CP38" s="300"/>
      <c r="CQ38" s="300"/>
      <c r="CR38" s="300"/>
      <c r="CS38" s="300"/>
      <c r="CT38" s="300"/>
      <c r="CU38" s="300"/>
      <c r="CV38" s="300"/>
      <c r="CW38" s="300"/>
      <c r="CX38" s="300"/>
      <c r="CY38" s="300"/>
      <c r="CZ38" s="300"/>
      <c r="DA38" s="300"/>
      <c r="DB38" s="300"/>
      <c r="DC38" s="300"/>
      <c r="DD38" s="300"/>
      <c r="DE38" s="300"/>
      <c r="DF38" s="300"/>
      <c r="DG38" s="300"/>
      <c r="DH38" s="300"/>
      <c r="DI38" s="300"/>
      <c r="DJ38" s="300"/>
      <c r="DK38" s="300"/>
      <c r="DL38" s="300"/>
      <c r="DM38" s="300"/>
      <c r="DN38" s="300"/>
      <c r="DO38" s="300"/>
      <c r="DP38" s="300"/>
      <c r="DQ38" s="300"/>
      <c r="DR38" s="300"/>
      <c r="DS38" s="300"/>
      <c r="DT38" s="300"/>
      <c r="DU38" s="300"/>
      <c r="DV38" s="300"/>
      <c r="DW38" s="300"/>
      <c r="DX38" s="300"/>
      <c r="DY38" s="300"/>
      <c r="DZ38" s="300"/>
      <c r="EA38" s="300"/>
      <c r="EB38" s="300"/>
      <c r="EC38" s="300"/>
      <c r="ED38" s="300"/>
      <c r="EE38" s="300"/>
      <c r="EF38" s="300"/>
      <c r="EG38" s="300"/>
      <c r="EH38" s="300"/>
      <c r="EI38" s="300"/>
      <c r="EJ38" s="300"/>
      <c r="EK38" s="300"/>
      <c r="EL38" s="300"/>
      <c r="EM38" s="300"/>
      <c r="EN38" s="300"/>
      <c r="EO38" s="300"/>
      <c r="EP38" s="300"/>
      <c r="EQ38" s="300"/>
      <c r="ER38" s="300"/>
      <c r="ES38" s="300"/>
      <c r="ET38" s="300"/>
      <c r="EU38" s="300"/>
      <c r="EV38" s="300"/>
      <c r="EW38" s="300"/>
      <c r="EX38" s="300"/>
      <c r="EY38" s="300"/>
      <c r="EZ38" s="300"/>
      <c r="FA38" s="300"/>
      <c r="FB38" s="300"/>
      <c r="FC38" s="300"/>
      <c r="FD38" s="300"/>
      <c r="FE38" s="300"/>
      <c r="FF38" s="300"/>
    </row>
    <row r="39" spans="1:162">
      <c r="A39" s="300"/>
      <c r="B39" s="300"/>
      <c r="C39" s="300"/>
      <c r="D39" s="300"/>
      <c r="E39" s="300"/>
      <c r="F39" s="300"/>
      <c r="G39" s="300"/>
      <c r="H39" s="300"/>
      <c r="I39" s="300"/>
      <c r="J39" s="300"/>
      <c r="K39" s="300"/>
      <c r="L39" s="300"/>
      <c r="M39" s="300"/>
      <c r="N39" s="300"/>
      <c r="O39" s="300"/>
      <c r="P39" s="300"/>
      <c r="Q39" s="300"/>
      <c r="R39" s="300"/>
      <c r="S39" s="300"/>
      <c r="T39" s="300"/>
      <c r="U39" s="300"/>
      <c r="V39" s="300"/>
      <c r="W39" s="300"/>
      <c r="X39" s="300"/>
      <c r="Y39" s="300"/>
      <c r="Z39" s="300"/>
      <c r="AA39" s="300"/>
      <c r="AB39" s="300"/>
      <c r="AC39" s="300"/>
      <c r="AD39" s="300"/>
      <c r="AE39" s="300"/>
      <c r="AF39" s="300"/>
      <c r="AG39" s="300"/>
      <c r="AH39" s="300"/>
      <c r="AI39" s="300"/>
      <c r="AJ39" s="300"/>
      <c r="AK39" s="300"/>
      <c r="AL39" s="300"/>
      <c r="AM39" s="300"/>
      <c r="AN39" s="300"/>
      <c r="AO39" s="300"/>
      <c r="AP39" s="300"/>
      <c r="AQ39" s="300"/>
      <c r="AR39" s="300"/>
      <c r="AS39" s="300"/>
      <c r="AT39" s="300"/>
      <c r="AU39" s="300"/>
      <c r="AV39" s="300"/>
      <c r="AW39" s="300"/>
      <c r="AX39" s="300"/>
      <c r="AY39" s="300"/>
      <c r="AZ39" s="300"/>
      <c r="BA39" s="300"/>
      <c r="BB39" s="300"/>
      <c r="BC39" s="300"/>
      <c r="BD39" s="300"/>
      <c r="BE39" s="300"/>
      <c r="BF39" s="300"/>
      <c r="BG39" s="300"/>
      <c r="BH39" s="300"/>
      <c r="BI39" s="300"/>
      <c r="BJ39" s="300"/>
      <c r="BK39" s="300"/>
      <c r="BL39" s="300"/>
      <c r="BM39" s="300"/>
      <c r="BN39" s="300"/>
      <c r="BO39" s="300"/>
      <c r="BP39" s="300"/>
      <c r="BQ39" s="300"/>
      <c r="BR39" s="300"/>
      <c r="BS39" s="300"/>
      <c r="BT39" s="300"/>
      <c r="BU39" s="300"/>
      <c r="BV39" s="300"/>
      <c r="BW39" s="300"/>
      <c r="BX39" s="300"/>
      <c r="BY39" s="300"/>
      <c r="BZ39" s="300"/>
      <c r="CA39" s="300"/>
      <c r="CB39" s="300"/>
      <c r="CC39" s="300"/>
      <c r="CD39" s="300"/>
      <c r="CE39" s="300"/>
      <c r="CF39" s="300"/>
      <c r="CG39" s="300"/>
      <c r="CH39" s="300"/>
      <c r="CI39" s="300"/>
      <c r="CJ39" s="300"/>
      <c r="CK39" s="300"/>
      <c r="CL39" s="300"/>
      <c r="CM39" s="300"/>
      <c r="CN39" s="300"/>
      <c r="CO39" s="300"/>
      <c r="CP39" s="300"/>
      <c r="CQ39" s="300"/>
      <c r="CR39" s="300"/>
      <c r="CS39" s="300"/>
      <c r="CT39" s="300"/>
      <c r="CU39" s="300"/>
      <c r="CV39" s="300"/>
      <c r="CW39" s="300"/>
      <c r="CX39" s="300"/>
      <c r="CY39" s="300"/>
      <c r="CZ39" s="300"/>
      <c r="DA39" s="300"/>
      <c r="DB39" s="300"/>
      <c r="DC39" s="300"/>
      <c r="DD39" s="300"/>
      <c r="DE39" s="300"/>
      <c r="DF39" s="300"/>
      <c r="DG39" s="300"/>
      <c r="DH39" s="300"/>
      <c r="DI39" s="300"/>
      <c r="DJ39" s="300"/>
      <c r="DK39" s="300"/>
      <c r="DL39" s="300"/>
      <c r="DM39" s="300"/>
      <c r="DN39" s="300"/>
      <c r="DO39" s="300"/>
      <c r="DP39" s="300"/>
      <c r="DQ39" s="300"/>
      <c r="DR39" s="300"/>
      <c r="DS39" s="300"/>
      <c r="DT39" s="300"/>
      <c r="DU39" s="300"/>
      <c r="DV39" s="300"/>
      <c r="DW39" s="300"/>
      <c r="DX39" s="300"/>
      <c r="DY39" s="300"/>
      <c r="DZ39" s="300"/>
      <c r="EA39" s="300"/>
      <c r="EB39" s="300"/>
      <c r="EC39" s="300"/>
      <c r="ED39" s="300"/>
      <c r="EE39" s="300"/>
      <c r="EF39" s="300"/>
      <c r="EG39" s="300"/>
      <c r="EH39" s="300"/>
      <c r="EI39" s="300"/>
      <c r="EJ39" s="300"/>
      <c r="EK39" s="300"/>
      <c r="EL39" s="300"/>
      <c r="EM39" s="300"/>
      <c r="EN39" s="300"/>
      <c r="EO39" s="300"/>
      <c r="EP39" s="300"/>
      <c r="EQ39" s="300"/>
      <c r="ER39" s="300"/>
      <c r="ES39" s="300"/>
      <c r="ET39" s="300"/>
      <c r="EU39" s="300"/>
      <c r="EV39" s="300"/>
      <c r="EW39" s="300"/>
      <c r="EX39" s="300"/>
      <c r="EY39" s="300"/>
      <c r="EZ39" s="300"/>
      <c r="FA39" s="300"/>
      <c r="FB39" s="300"/>
      <c r="FC39" s="300"/>
      <c r="FD39" s="300"/>
      <c r="FE39" s="300"/>
      <c r="FF39" s="300"/>
    </row>
    <row r="40" spans="1:162">
      <c r="A40" s="300"/>
      <c r="B40" s="300"/>
      <c r="C40" s="300"/>
      <c r="D40" s="300"/>
      <c r="E40" s="300"/>
      <c r="F40" s="300"/>
      <c r="G40" s="300"/>
      <c r="H40" s="300"/>
      <c r="I40" s="300"/>
      <c r="J40" s="300"/>
      <c r="K40" s="300"/>
      <c r="L40" s="300"/>
      <c r="M40" s="300"/>
      <c r="N40" s="300"/>
      <c r="O40" s="300"/>
      <c r="P40" s="300"/>
      <c r="Q40" s="300"/>
      <c r="R40" s="300"/>
      <c r="S40" s="300"/>
      <c r="T40" s="300"/>
      <c r="U40" s="300"/>
      <c r="V40" s="300"/>
      <c r="W40" s="300"/>
      <c r="X40" s="300"/>
      <c r="Y40" s="300"/>
      <c r="Z40" s="300"/>
      <c r="AA40" s="300"/>
      <c r="AB40" s="300"/>
      <c r="AC40" s="300"/>
      <c r="AD40" s="300"/>
      <c r="AE40" s="300"/>
      <c r="AF40" s="300"/>
      <c r="AG40" s="300"/>
      <c r="AH40" s="300"/>
      <c r="AI40" s="300"/>
      <c r="AJ40" s="300"/>
      <c r="AK40" s="300"/>
      <c r="AL40" s="300"/>
      <c r="AM40" s="300"/>
      <c r="AN40" s="300"/>
      <c r="AO40" s="300"/>
      <c r="AP40" s="300"/>
      <c r="AQ40" s="300"/>
      <c r="AR40" s="300"/>
      <c r="AS40" s="300"/>
      <c r="AT40" s="300"/>
      <c r="AU40" s="300"/>
      <c r="AV40" s="300"/>
      <c r="AW40" s="300"/>
      <c r="AX40" s="300"/>
      <c r="AY40" s="300"/>
      <c r="AZ40" s="300"/>
      <c r="BA40" s="300"/>
      <c r="BB40" s="300"/>
      <c r="BC40" s="300"/>
      <c r="BD40" s="300"/>
      <c r="BE40" s="300"/>
      <c r="BF40" s="300"/>
      <c r="BG40" s="300"/>
      <c r="BH40" s="300"/>
      <c r="BI40" s="300"/>
      <c r="BJ40" s="300"/>
      <c r="BK40" s="300"/>
      <c r="BL40" s="300"/>
      <c r="BM40" s="300"/>
      <c r="BN40" s="300"/>
      <c r="BO40" s="300"/>
      <c r="BP40" s="300"/>
      <c r="BQ40" s="300"/>
      <c r="BR40" s="300"/>
      <c r="BS40" s="300"/>
      <c r="BT40" s="300"/>
      <c r="BU40" s="300"/>
      <c r="BV40" s="300"/>
      <c r="BW40" s="300"/>
      <c r="BX40" s="300"/>
      <c r="BY40" s="300"/>
      <c r="BZ40" s="300"/>
      <c r="CA40" s="300"/>
      <c r="CB40" s="300"/>
      <c r="CC40" s="300"/>
      <c r="CD40" s="300"/>
      <c r="CE40" s="300"/>
      <c r="CF40" s="300"/>
      <c r="CG40" s="300"/>
      <c r="CH40" s="300"/>
      <c r="CI40" s="300"/>
      <c r="CJ40" s="300"/>
      <c r="CK40" s="300"/>
      <c r="CL40" s="300"/>
      <c r="CM40" s="300"/>
      <c r="CN40" s="300"/>
      <c r="CO40" s="300"/>
      <c r="CP40" s="300"/>
      <c r="CQ40" s="300"/>
      <c r="CR40" s="300"/>
      <c r="CS40" s="300"/>
      <c r="CT40" s="300"/>
      <c r="CU40" s="300"/>
      <c r="CV40" s="300"/>
      <c r="CW40" s="300"/>
      <c r="CX40" s="300"/>
      <c r="CY40" s="300"/>
      <c r="CZ40" s="300"/>
      <c r="DA40" s="300"/>
      <c r="DB40" s="300"/>
      <c r="DC40" s="300"/>
      <c r="DD40" s="300"/>
      <c r="DE40" s="300"/>
      <c r="DF40" s="300"/>
      <c r="DG40" s="300"/>
      <c r="DH40" s="300"/>
      <c r="DI40" s="300"/>
      <c r="DJ40" s="300"/>
      <c r="DK40" s="300"/>
      <c r="DL40" s="300"/>
      <c r="DM40" s="300"/>
      <c r="DN40" s="300"/>
      <c r="DO40" s="300"/>
      <c r="DP40" s="300"/>
      <c r="DQ40" s="300"/>
      <c r="DR40" s="300"/>
      <c r="DS40" s="300"/>
      <c r="DT40" s="300"/>
      <c r="DU40" s="300"/>
      <c r="DV40" s="300"/>
      <c r="DW40" s="300"/>
      <c r="DX40" s="300"/>
      <c r="DY40" s="300"/>
      <c r="DZ40" s="300"/>
      <c r="EA40" s="300"/>
      <c r="EB40" s="300"/>
      <c r="EC40" s="300"/>
      <c r="ED40" s="300"/>
      <c r="EE40" s="300"/>
      <c r="EF40" s="300"/>
      <c r="EG40" s="300"/>
      <c r="EH40" s="300"/>
      <c r="EI40" s="300"/>
      <c r="EJ40" s="300"/>
      <c r="EK40" s="300"/>
      <c r="EL40" s="300"/>
      <c r="EM40" s="300"/>
      <c r="EN40" s="300"/>
      <c r="EO40" s="300"/>
      <c r="EP40" s="300"/>
      <c r="EQ40" s="300"/>
      <c r="ER40" s="300"/>
      <c r="ES40" s="300"/>
      <c r="ET40" s="300"/>
      <c r="EU40" s="300"/>
      <c r="EV40" s="300"/>
      <c r="EW40" s="300"/>
      <c r="EX40" s="300"/>
      <c r="EY40" s="300"/>
      <c r="EZ40" s="300"/>
      <c r="FA40" s="300"/>
      <c r="FB40" s="300"/>
      <c r="FC40" s="300"/>
      <c r="FD40" s="300"/>
      <c r="FE40" s="300"/>
      <c r="FF40" s="300"/>
    </row>
    <row r="41" spans="1:162">
      <c r="A41" s="300"/>
      <c r="B41" s="300"/>
      <c r="C41" s="300"/>
      <c r="D41" s="300"/>
      <c r="E41" s="300"/>
      <c r="F41" s="300"/>
      <c r="G41" s="300"/>
      <c r="H41" s="300"/>
      <c r="I41" s="300"/>
      <c r="J41" s="300"/>
      <c r="K41" s="300"/>
      <c r="L41" s="300"/>
      <c r="M41" s="300"/>
      <c r="N41" s="300"/>
      <c r="O41" s="300"/>
      <c r="P41" s="300"/>
      <c r="Q41" s="300"/>
      <c r="R41" s="300"/>
      <c r="S41" s="300"/>
      <c r="T41" s="300"/>
      <c r="U41" s="300"/>
      <c r="V41" s="300"/>
      <c r="W41" s="300"/>
      <c r="X41" s="300"/>
      <c r="Y41" s="300"/>
      <c r="Z41" s="300"/>
      <c r="AA41" s="300"/>
      <c r="AB41" s="300"/>
      <c r="AC41" s="300"/>
      <c r="AD41" s="300"/>
      <c r="AE41" s="300"/>
      <c r="AF41" s="300"/>
      <c r="AG41" s="300"/>
      <c r="AH41" s="300"/>
      <c r="AI41" s="300"/>
      <c r="AJ41" s="300"/>
      <c r="AK41" s="300"/>
      <c r="AL41" s="300"/>
      <c r="AM41" s="300"/>
      <c r="AN41" s="300"/>
      <c r="AO41" s="300"/>
      <c r="AP41" s="300"/>
      <c r="AQ41" s="300"/>
      <c r="AR41" s="300"/>
      <c r="AS41" s="300"/>
      <c r="AT41" s="300"/>
      <c r="AU41" s="300"/>
      <c r="AV41" s="300"/>
      <c r="AW41" s="300"/>
      <c r="AX41" s="300"/>
      <c r="AY41" s="300"/>
      <c r="AZ41" s="300"/>
      <c r="BA41" s="300"/>
      <c r="BB41" s="300"/>
      <c r="BC41" s="300"/>
      <c r="BD41" s="300"/>
      <c r="BE41" s="300"/>
      <c r="BF41" s="300"/>
      <c r="BG41" s="300"/>
      <c r="BH41" s="300"/>
      <c r="BI41" s="300"/>
      <c r="BJ41" s="300"/>
      <c r="BK41" s="300"/>
      <c r="BL41" s="300"/>
      <c r="BM41" s="300"/>
      <c r="BN41" s="300"/>
      <c r="BO41" s="300"/>
      <c r="BP41" s="300"/>
      <c r="BQ41" s="300"/>
      <c r="BR41" s="300"/>
      <c r="BS41" s="300"/>
      <c r="BT41" s="300"/>
      <c r="BU41" s="300"/>
      <c r="BV41" s="300"/>
      <c r="BW41" s="300"/>
      <c r="BX41" s="300"/>
      <c r="BY41" s="300"/>
      <c r="BZ41" s="300"/>
      <c r="CA41" s="300"/>
      <c r="CB41" s="300"/>
      <c r="CC41" s="300"/>
      <c r="CD41" s="300"/>
      <c r="CE41" s="300"/>
      <c r="CF41" s="300"/>
      <c r="CG41" s="300"/>
      <c r="CH41" s="300"/>
      <c r="CI41" s="300"/>
      <c r="CJ41" s="300"/>
      <c r="CK41" s="300"/>
      <c r="CL41" s="300"/>
      <c r="CM41" s="300"/>
      <c r="CN41" s="300"/>
      <c r="CO41" s="300"/>
      <c r="CP41" s="300"/>
      <c r="CQ41" s="300"/>
      <c r="CR41" s="300"/>
      <c r="CS41" s="300"/>
      <c r="CT41" s="300"/>
      <c r="CU41" s="300"/>
      <c r="CV41" s="300"/>
      <c r="CW41" s="300"/>
      <c r="CX41" s="300"/>
      <c r="CY41" s="300"/>
      <c r="CZ41" s="300"/>
      <c r="DA41" s="300"/>
      <c r="DB41" s="300"/>
      <c r="DC41" s="300"/>
      <c r="DD41" s="300"/>
      <c r="DE41" s="300"/>
      <c r="DF41" s="300"/>
      <c r="DG41" s="300"/>
      <c r="DH41" s="300"/>
      <c r="DI41" s="300"/>
      <c r="DJ41" s="300"/>
      <c r="DK41" s="300"/>
      <c r="DL41" s="300"/>
      <c r="DM41" s="300"/>
      <c r="DN41" s="300"/>
      <c r="DO41" s="300"/>
      <c r="DP41" s="300"/>
      <c r="DQ41" s="300"/>
      <c r="DR41" s="300"/>
      <c r="DS41" s="300"/>
      <c r="DT41" s="300"/>
      <c r="DU41" s="300"/>
      <c r="DV41" s="300"/>
      <c r="DW41" s="300"/>
      <c r="DX41" s="300"/>
      <c r="DY41" s="300"/>
      <c r="DZ41" s="300"/>
      <c r="EA41" s="300"/>
      <c r="EB41" s="300"/>
      <c r="EC41" s="300"/>
      <c r="ED41" s="300"/>
      <c r="EE41" s="300"/>
      <c r="EF41" s="300"/>
      <c r="EG41" s="300"/>
      <c r="EH41" s="300"/>
      <c r="EI41" s="300"/>
      <c r="EJ41" s="300"/>
      <c r="EK41" s="300"/>
      <c r="EL41" s="300"/>
      <c r="EM41" s="300"/>
      <c r="EN41" s="300"/>
      <c r="EO41" s="300"/>
      <c r="EP41" s="300"/>
      <c r="EQ41" s="300"/>
      <c r="ER41" s="300"/>
      <c r="ES41" s="300"/>
      <c r="ET41" s="300"/>
      <c r="EU41" s="300"/>
      <c r="EV41" s="300"/>
      <c r="EW41" s="300"/>
      <c r="EX41" s="300"/>
      <c r="EY41" s="300"/>
      <c r="EZ41" s="300"/>
      <c r="FA41" s="300"/>
      <c r="FB41" s="300"/>
      <c r="FC41" s="300"/>
      <c r="FD41" s="300"/>
      <c r="FE41" s="300"/>
      <c r="FF41" s="300"/>
    </row>
    <row r="42" spans="1:162">
      <c r="A42" s="300"/>
      <c r="B42" s="300"/>
      <c r="C42" s="300"/>
      <c r="D42" s="300"/>
      <c r="E42" s="300"/>
      <c r="F42" s="300"/>
      <c r="G42" s="300"/>
      <c r="H42" s="300"/>
      <c r="I42" s="300"/>
      <c r="J42" s="300"/>
      <c r="K42" s="300"/>
      <c r="L42" s="300"/>
      <c r="M42" s="300"/>
      <c r="N42" s="300"/>
      <c r="O42" s="300"/>
      <c r="P42" s="300"/>
      <c r="Q42" s="300"/>
      <c r="R42" s="300"/>
      <c r="S42" s="300"/>
      <c r="T42" s="300"/>
      <c r="U42" s="300"/>
      <c r="V42" s="300"/>
      <c r="W42" s="300"/>
      <c r="X42" s="300"/>
      <c r="Y42" s="300"/>
      <c r="Z42" s="300"/>
      <c r="AA42" s="300"/>
      <c r="AB42" s="300"/>
      <c r="AC42" s="300"/>
      <c r="AD42" s="300"/>
      <c r="AE42" s="300"/>
      <c r="AF42" s="300"/>
      <c r="AG42" s="300"/>
      <c r="AH42" s="300"/>
      <c r="AI42" s="300"/>
      <c r="AJ42" s="300"/>
      <c r="AK42" s="300"/>
      <c r="AL42" s="300"/>
      <c r="AM42" s="300"/>
      <c r="AN42" s="300"/>
      <c r="AO42" s="300"/>
      <c r="AP42" s="300"/>
      <c r="AQ42" s="300"/>
      <c r="AR42" s="300"/>
      <c r="AS42" s="300"/>
      <c r="AT42" s="300"/>
      <c r="AU42" s="300"/>
      <c r="AV42" s="300"/>
      <c r="AW42" s="300"/>
      <c r="AX42" s="300"/>
      <c r="AY42" s="300"/>
      <c r="AZ42" s="300"/>
      <c r="BA42" s="300"/>
      <c r="BB42" s="300"/>
      <c r="BC42" s="300"/>
      <c r="BD42" s="300"/>
      <c r="BE42" s="300"/>
      <c r="BF42" s="300"/>
      <c r="BG42" s="300"/>
      <c r="BH42" s="300"/>
      <c r="BI42" s="300"/>
      <c r="BJ42" s="300"/>
      <c r="BK42" s="300"/>
      <c r="BL42" s="300"/>
      <c r="BM42" s="300"/>
      <c r="BN42" s="300"/>
      <c r="BO42" s="300"/>
      <c r="BP42" s="300"/>
      <c r="BQ42" s="300"/>
      <c r="BR42" s="300"/>
      <c r="BS42" s="300"/>
      <c r="BT42" s="300"/>
      <c r="BU42" s="300"/>
      <c r="BV42" s="300"/>
      <c r="BW42" s="300"/>
      <c r="BX42" s="300"/>
      <c r="BY42" s="300"/>
      <c r="BZ42" s="300"/>
      <c r="CA42" s="300"/>
      <c r="CB42" s="300"/>
      <c r="CC42" s="300"/>
      <c r="CD42" s="300"/>
      <c r="CE42" s="300"/>
      <c r="CF42" s="300"/>
      <c r="CG42" s="300"/>
      <c r="CH42" s="300"/>
      <c r="CI42" s="300"/>
      <c r="CJ42" s="300"/>
      <c r="CK42" s="300"/>
      <c r="CL42" s="300"/>
      <c r="CM42" s="300"/>
      <c r="CN42" s="300"/>
      <c r="CO42" s="300"/>
      <c r="CP42" s="300"/>
      <c r="CQ42" s="300"/>
      <c r="CR42" s="300"/>
      <c r="CS42" s="300"/>
      <c r="CT42" s="300"/>
      <c r="CU42" s="300"/>
      <c r="CV42" s="300"/>
      <c r="CW42" s="300"/>
      <c r="CX42" s="300"/>
      <c r="CY42" s="300"/>
      <c r="CZ42" s="300"/>
      <c r="DA42" s="300"/>
      <c r="DB42" s="300"/>
      <c r="DC42" s="300"/>
      <c r="DD42" s="300"/>
      <c r="DE42" s="300"/>
      <c r="DF42" s="300"/>
      <c r="DG42" s="300"/>
      <c r="DH42" s="300"/>
      <c r="DI42" s="300"/>
      <c r="DJ42" s="300"/>
      <c r="DK42" s="300"/>
      <c r="DL42" s="300"/>
      <c r="DM42" s="300"/>
      <c r="DN42" s="300"/>
      <c r="DO42" s="300"/>
      <c r="DP42" s="300"/>
      <c r="DQ42" s="300"/>
      <c r="DR42" s="300"/>
      <c r="DS42" s="300"/>
      <c r="DT42" s="300"/>
      <c r="DU42" s="300"/>
      <c r="DV42" s="300"/>
      <c r="DW42" s="300"/>
      <c r="DX42" s="300"/>
      <c r="DY42" s="300"/>
      <c r="DZ42" s="300"/>
      <c r="EA42" s="300"/>
      <c r="EB42" s="300"/>
      <c r="EC42" s="300"/>
      <c r="ED42" s="300"/>
      <c r="EE42" s="300"/>
      <c r="EF42" s="300"/>
      <c r="EG42" s="300"/>
      <c r="EH42" s="300"/>
      <c r="EI42" s="300"/>
      <c r="EJ42" s="300"/>
      <c r="EK42" s="300"/>
      <c r="EL42" s="300"/>
      <c r="EM42" s="300"/>
      <c r="EN42" s="300"/>
      <c r="EO42" s="300"/>
      <c r="EP42" s="300"/>
      <c r="EQ42" s="300"/>
      <c r="ER42" s="300"/>
      <c r="ES42" s="300"/>
      <c r="ET42" s="300"/>
      <c r="EU42" s="300"/>
      <c r="EV42" s="300"/>
      <c r="EW42" s="300"/>
      <c r="EX42" s="300"/>
      <c r="EY42" s="300"/>
      <c r="EZ42" s="300"/>
      <c r="FA42" s="300"/>
      <c r="FB42" s="300"/>
      <c r="FC42" s="300"/>
      <c r="FD42" s="300"/>
      <c r="FE42" s="300"/>
      <c r="FF42" s="300"/>
    </row>
    <row r="43" spans="1:162">
      <c r="A43" s="300"/>
      <c r="B43" s="300"/>
      <c r="C43" s="300"/>
      <c r="D43" s="300"/>
      <c r="E43" s="300"/>
      <c r="F43" s="300"/>
      <c r="G43" s="300"/>
      <c r="H43" s="300"/>
      <c r="I43" s="300"/>
      <c r="J43" s="300"/>
      <c r="K43" s="300"/>
      <c r="L43" s="300"/>
      <c r="M43" s="300"/>
      <c r="N43" s="300"/>
      <c r="O43" s="300"/>
      <c r="P43" s="300"/>
      <c r="Q43" s="300"/>
      <c r="R43" s="300"/>
      <c r="S43" s="300"/>
      <c r="T43" s="300"/>
      <c r="U43" s="300"/>
      <c r="V43" s="300"/>
      <c r="W43" s="300"/>
      <c r="X43" s="300"/>
      <c r="Y43" s="300"/>
      <c r="Z43" s="300"/>
      <c r="AA43" s="300"/>
      <c r="AB43" s="300"/>
      <c r="AC43" s="300"/>
      <c r="AD43" s="300"/>
      <c r="AE43" s="300"/>
      <c r="AF43" s="300"/>
      <c r="AG43" s="300"/>
      <c r="AH43" s="300"/>
      <c r="AI43" s="300"/>
      <c r="AJ43" s="300"/>
      <c r="AK43" s="300"/>
      <c r="AL43" s="300"/>
      <c r="AM43" s="300"/>
      <c r="AN43" s="300"/>
      <c r="AO43" s="300"/>
      <c r="AP43" s="300"/>
      <c r="AQ43" s="300"/>
      <c r="AR43" s="300"/>
      <c r="AS43" s="300"/>
      <c r="AT43" s="300"/>
      <c r="AU43" s="300"/>
      <c r="AV43" s="300"/>
      <c r="AW43" s="300"/>
      <c r="AX43" s="300"/>
      <c r="AY43" s="300"/>
      <c r="AZ43" s="300"/>
      <c r="BA43" s="300"/>
      <c r="BB43" s="300"/>
      <c r="BC43" s="300"/>
      <c r="BD43" s="300"/>
      <c r="BE43" s="300"/>
      <c r="BF43" s="300"/>
      <c r="BG43" s="300"/>
      <c r="BH43" s="300"/>
      <c r="BI43" s="300"/>
      <c r="BJ43" s="300"/>
      <c r="BK43" s="300"/>
      <c r="BL43" s="300"/>
      <c r="BM43" s="300"/>
      <c r="BN43" s="300"/>
      <c r="BO43" s="300"/>
      <c r="BP43" s="300"/>
      <c r="BQ43" s="300"/>
      <c r="BR43" s="300"/>
      <c r="BS43" s="300"/>
      <c r="BT43" s="300"/>
      <c r="BU43" s="300"/>
      <c r="BV43" s="300"/>
      <c r="BW43" s="300"/>
      <c r="BX43" s="300"/>
      <c r="BY43" s="300"/>
      <c r="BZ43" s="300"/>
      <c r="CA43" s="300"/>
      <c r="CB43" s="300"/>
      <c r="CC43" s="300"/>
      <c r="CD43" s="300"/>
      <c r="CE43" s="300"/>
      <c r="CF43" s="300"/>
      <c r="CG43" s="300"/>
      <c r="CH43" s="300"/>
      <c r="CI43" s="300"/>
      <c r="CJ43" s="300"/>
      <c r="CK43" s="300"/>
      <c r="CL43" s="300"/>
      <c r="CM43" s="300"/>
      <c r="CN43" s="300"/>
      <c r="CO43" s="300"/>
      <c r="CP43" s="300"/>
      <c r="CQ43" s="300"/>
      <c r="CR43" s="300"/>
      <c r="CS43" s="300"/>
      <c r="CT43" s="300"/>
      <c r="CU43" s="300"/>
      <c r="CV43" s="300"/>
      <c r="CW43" s="300"/>
      <c r="CX43" s="300"/>
      <c r="CY43" s="300"/>
      <c r="CZ43" s="300"/>
      <c r="DA43" s="300"/>
      <c r="DB43" s="300"/>
      <c r="DC43" s="300"/>
      <c r="DD43" s="300"/>
      <c r="DE43" s="300"/>
      <c r="DF43" s="300"/>
      <c r="DG43" s="300"/>
      <c r="DH43" s="300"/>
      <c r="DI43" s="300"/>
      <c r="DJ43" s="300"/>
      <c r="DK43" s="300"/>
      <c r="DL43" s="300"/>
      <c r="DM43" s="300"/>
      <c r="DN43" s="300"/>
      <c r="DO43" s="300"/>
      <c r="DP43" s="300"/>
      <c r="DQ43" s="300"/>
      <c r="DR43" s="300"/>
      <c r="DS43" s="300"/>
      <c r="DT43" s="300"/>
      <c r="DU43" s="300"/>
      <c r="DV43" s="300"/>
      <c r="DW43" s="300"/>
      <c r="DX43" s="300"/>
      <c r="DY43" s="300"/>
      <c r="DZ43" s="300"/>
      <c r="EA43" s="300"/>
      <c r="EB43" s="300"/>
      <c r="EC43" s="300"/>
      <c r="ED43" s="300"/>
      <c r="EE43" s="300"/>
      <c r="EF43" s="300"/>
      <c r="EG43" s="300"/>
      <c r="EH43" s="300"/>
      <c r="EI43" s="300"/>
      <c r="EJ43" s="300"/>
      <c r="EK43" s="300"/>
      <c r="EL43" s="300"/>
      <c r="EM43" s="300"/>
      <c r="EN43" s="300"/>
      <c r="EO43" s="300"/>
      <c r="EP43" s="300"/>
      <c r="EQ43" s="300"/>
      <c r="ER43" s="300"/>
      <c r="ES43" s="300"/>
      <c r="ET43" s="300"/>
      <c r="EU43" s="300"/>
      <c r="EV43" s="300"/>
      <c r="EW43" s="300"/>
      <c r="EX43" s="300"/>
      <c r="EY43" s="300"/>
      <c r="EZ43" s="300"/>
      <c r="FA43" s="300"/>
      <c r="FB43" s="300"/>
      <c r="FC43" s="300"/>
      <c r="FD43" s="300"/>
      <c r="FE43" s="300"/>
      <c r="FF43" s="300"/>
    </row>
    <row r="44" spans="1:162">
      <c r="A44" s="300"/>
      <c r="B44" s="300"/>
      <c r="C44" s="300"/>
      <c r="D44" s="300"/>
      <c r="E44" s="300"/>
      <c r="F44" s="300"/>
      <c r="G44" s="300"/>
      <c r="H44" s="300"/>
      <c r="I44" s="300"/>
      <c r="J44" s="300"/>
      <c r="K44" s="300"/>
      <c r="L44" s="300"/>
      <c r="M44" s="300"/>
      <c r="N44" s="300"/>
      <c r="O44" s="300"/>
      <c r="P44" s="300"/>
      <c r="Q44" s="300"/>
      <c r="R44" s="300"/>
      <c r="S44" s="300"/>
      <c r="T44" s="300"/>
      <c r="U44" s="300"/>
      <c r="V44" s="300"/>
      <c r="W44" s="300"/>
      <c r="X44" s="300"/>
      <c r="Y44" s="300"/>
      <c r="Z44" s="300"/>
      <c r="AA44" s="300"/>
      <c r="AB44" s="300"/>
      <c r="AC44" s="300"/>
      <c r="AD44" s="300"/>
      <c r="AE44" s="300"/>
      <c r="AF44" s="300"/>
      <c r="AG44" s="300"/>
      <c r="AH44" s="300"/>
      <c r="AI44" s="300"/>
      <c r="AJ44" s="300"/>
      <c r="AK44" s="300"/>
      <c r="AL44" s="300"/>
      <c r="AM44" s="300"/>
      <c r="AN44" s="300"/>
      <c r="AO44" s="300"/>
      <c r="AP44" s="300"/>
      <c r="AQ44" s="300"/>
      <c r="AR44" s="300"/>
      <c r="AS44" s="300"/>
      <c r="AT44" s="300"/>
      <c r="AU44" s="300"/>
      <c r="AV44" s="300"/>
      <c r="AW44" s="300"/>
      <c r="AX44" s="300"/>
      <c r="AY44" s="300"/>
      <c r="AZ44" s="300"/>
      <c r="BA44" s="300"/>
      <c r="BB44" s="300"/>
      <c r="BC44" s="300"/>
      <c r="BD44" s="300"/>
      <c r="BE44" s="300"/>
      <c r="BF44" s="300"/>
      <c r="BG44" s="300"/>
      <c r="BH44" s="300"/>
      <c r="BI44" s="300"/>
      <c r="BJ44" s="300"/>
      <c r="BK44" s="300"/>
      <c r="BL44" s="300"/>
      <c r="BM44" s="300"/>
      <c r="BN44" s="300"/>
      <c r="BO44" s="300"/>
      <c r="BP44" s="300"/>
      <c r="BQ44" s="300"/>
      <c r="BR44" s="300"/>
      <c r="BS44" s="300"/>
      <c r="BT44" s="300"/>
      <c r="BU44" s="300"/>
      <c r="BV44" s="300"/>
      <c r="BW44" s="300"/>
      <c r="BX44" s="300"/>
      <c r="BY44" s="300"/>
      <c r="BZ44" s="300"/>
      <c r="CA44" s="300"/>
      <c r="CB44" s="300"/>
      <c r="CC44" s="300"/>
      <c r="CD44" s="300"/>
      <c r="CE44" s="300"/>
      <c r="CF44" s="300"/>
      <c r="CG44" s="300"/>
      <c r="CH44" s="300"/>
      <c r="CI44" s="300"/>
      <c r="CJ44" s="300"/>
      <c r="CK44" s="300"/>
      <c r="CL44" s="300"/>
      <c r="CM44" s="300"/>
      <c r="CN44" s="300"/>
      <c r="CO44" s="300"/>
      <c r="CP44" s="300"/>
      <c r="CQ44" s="300"/>
      <c r="CR44" s="300"/>
      <c r="CS44" s="300"/>
      <c r="CT44" s="300"/>
      <c r="CU44" s="300"/>
      <c r="CV44" s="300"/>
      <c r="CW44" s="300"/>
      <c r="CX44" s="300"/>
      <c r="CY44" s="300"/>
      <c r="CZ44" s="300"/>
      <c r="DA44" s="300"/>
      <c r="DB44" s="300"/>
      <c r="DC44" s="300"/>
      <c r="DD44" s="300"/>
      <c r="DE44" s="300"/>
      <c r="DF44" s="300"/>
      <c r="DG44" s="300"/>
      <c r="DH44" s="300"/>
      <c r="DI44" s="300"/>
      <c r="DJ44" s="300"/>
      <c r="DK44" s="300"/>
      <c r="DL44" s="300"/>
      <c r="DM44" s="300"/>
      <c r="DN44" s="300"/>
      <c r="DO44" s="300"/>
      <c r="DP44" s="300"/>
      <c r="DQ44" s="300"/>
      <c r="DR44" s="300"/>
      <c r="DS44" s="300"/>
      <c r="DT44" s="300"/>
      <c r="DU44" s="300"/>
      <c r="DV44" s="300"/>
      <c r="DW44" s="300"/>
      <c r="DX44" s="300"/>
      <c r="DY44" s="300"/>
      <c r="DZ44" s="300"/>
      <c r="EA44" s="300"/>
      <c r="EB44" s="300"/>
      <c r="EC44" s="300"/>
      <c r="ED44" s="300"/>
      <c r="EE44" s="300"/>
      <c r="EF44" s="300"/>
      <c r="EG44" s="300"/>
      <c r="EH44" s="300"/>
      <c r="EI44" s="300"/>
      <c r="EJ44" s="300"/>
      <c r="EK44" s="300"/>
      <c r="EL44" s="300"/>
      <c r="EM44" s="300"/>
      <c r="EN44" s="300"/>
      <c r="EO44" s="300"/>
      <c r="EP44" s="300"/>
      <c r="EQ44" s="300"/>
      <c r="ER44" s="300"/>
      <c r="ES44" s="300"/>
      <c r="ET44" s="300"/>
      <c r="EU44" s="300"/>
      <c r="EV44" s="300"/>
      <c r="EW44" s="300"/>
      <c r="EX44" s="300"/>
      <c r="EY44" s="300"/>
      <c r="EZ44" s="300"/>
      <c r="FA44" s="300"/>
      <c r="FB44" s="300"/>
      <c r="FC44" s="300"/>
      <c r="FD44" s="300"/>
      <c r="FE44" s="300"/>
      <c r="FF44" s="300"/>
    </row>
    <row r="45" spans="1:162">
      <c r="A45" s="300"/>
      <c r="B45" s="300"/>
      <c r="C45" s="300"/>
      <c r="D45" s="300"/>
      <c r="E45" s="300"/>
      <c r="F45" s="300"/>
      <c r="G45" s="300"/>
      <c r="H45" s="300"/>
      <c r="I45" s="300"/>
      <c r="J45" s="300"/>
      <c r="K45" s="300"/>
      <c r="L45" s="300"/>
      <c r="M45" s="300"/>
      <c r="N45" s="300"/>
      <c r="O45" s="300"/>
      <c r="P45" s="300"/>
      <c r="Q45" s="300"/>
      <c r="R45" s="300"/>
      <c r="S45" s="300"/>
      <c r="T45" s="300"/>
      <c r="U45" s="300"/>
      <c r="V45" s="300"/>
      <c r="W45" s="300"/>
      <c r="X45" s="300"/>
      <c r="Y45" s="300"/>
      <c r="Z45" s="300"/>
      <c r="AA45" s="300"/>
      <c r="AB45" s="300"/>
      <c r="AC45" s="300"/>
      <c r="AD45" s="300"/>
      <c r="AE45" s="300"/>
      <c r="AF45" s="300"/>
      <c r="AG45" s="300"/>
      <c r="AH45" s="300"/>
      <c r="AI45" s="300"/>
      <c r="AJ45" s="300"/>
      <c r="AK45" s="300"/>
      <c r="AL45" s="300"/>
      <c r="AM45" s="300"/>
      <c r="AN45" s="300"/>
      <c r="AO45" s="300"/>
      <c r="AP45" s="300"/>
      <c r="AQ45" s="300"/>
      <c r="AR45" s="300"/>
      <c r="AS45" s="300"/>
      <c r="AT45" s="300"/>
      <c r="AU45" s="300"/>
      <c r="AV45" s="300"/>
      <c r="AW45" s="300"/>
      <c r="AX45" s="300"/>
      <c r="AY45" s="300"/>
      <c r="AZ45" s="300"/>
      <c r="BA45" s="300"/>
      <c r="BB45" s="300"/>
      <c r="BC45" s="300"/>
      <c r="BD45" s="300"/>
      <c r="BE45" s="300"/>
      <c r="BF45" s="300"/>
      <c r="BG45" s="300"/>
      <c r="BH45" s="300"/>
      <c r="BI45" s="300"/>
      <c r="BJ45" s="300"/>
      <c r="BK45" s="300"/>
      <c r="BL45" s="300"/>
      <c r="BM45" s="300"/>
      <c r="BN45" s="300"/>
      <c r="BO45" s="300"/>
      <c r="BP45" s="300"/>
      <c r="BQ45" s="300"/>
      <c r="BR45" s="300"/>
      <c r="BS45" s="300"/>
      <c r="BT45" s="300"/>
      <c r="BU45" s="300"/>
      <c r="BV45" s="300"/>
      <c r="BW45" s="300"/>
      <c r="BX45" s="300"/>
      <c r="BY45" s="300"/>
      <c r="BZ45" s="300"/>
      <c r="CA45" s="300"/>
      <c r="CB45" s="300"/>
      <c r="CC45" s="300"/>
      <c r="CD45" s="300"/>
      <c r="CE45" s="300"/>
      <c r="CF45" s="300"/>
      <c r="CG45" s="300"/>
      <c r="CH45" s="300"/>
      <c r="CI45" s="300"/>
      <c r="CJ45" s="300"/>
      <c r="CK45" s="300"/>
      <c r="CL45" s="300"/>
      <c r="CM45" s="300"/>
      <c r="CN45" s="300"/>
      <c r="CO45" s="300"/>
      <c r="CP45" s="300"/>
      <c r="CQ45" s="300"/>
      <c r="CR45" s="300"/>
      <c r="CS45" s="300"/>
      <c r="CT45" s="300"/>
      <c r="CU45" s="300"/>
      <c r="CV45" s="300"/>
      <c r="CW45" s="300"/>
      <c r="CX45" s="300"/>
      <c r="CY45" s="300"/>
      <c r="CZ45" s="300"/>
      <c r="DA45" s="300"/>
      <c r="DB45" s="300"/>
      <c r="DC45" s="300"/>
      <c r="DD45" s="300"/>
      <c r="DE45" s="300"/>
      <c r="DF45" s="300"/>
      <c r="DG45" s="300"/>
      <c r="DH45" s="300"/>
      <c r="DI45" s="300"/>
      <c r="DJ45" s="300"/>
      <c r="DK45" s="300"/>
      <c r="DL45" s="300"/>
      <c r="DM45" s="300"/>
      <c r="DN45" s="300"/>
      <c r="DO45" s="300"/>
      <c r="DP45" s="300"/>
      <c r="DQ45" s="300"/>
      <c r="DR45" s="300"/>
      <c r="DS45" s="300"/>
      <c r="DT45" s="300"/>
      <c r="DU45" s="300"/>
      <c r="DV45" s="300"/>
      <c r="DW45" s="300"/>
      <c r="DX45" s="300"/>
      <c r="DY45" s="300"/>
      <c r="DZ45" s="300"/>
      <c r="EA45" s="300"/>
      <c r="EB45" s="300"/>
      <c r="EC45" s="300"/>
      <c r="ED45" s="300"/>
      <c r="EE45" s="300"/>
      <c r="EF45" s="300"/>
      <c r="EG45" s="300"/>
      <c r="EH45" s="300"/>
      <c r="EI45" s="300"/>
      <c r="EJ45" s="300"/>
      <c r="EK45" s="300"/>
      <c r="EL45" s="300"/>
      <c r="EM45" s="300"/>
      <c r="EN45" s="300"/>
      <c r="EO45" s="300"/>
      <c r="EP45" s="300"/>
      <c r="EQ45" s="300"/>
      <c r="ER45" s="300"/>
      <c r="ES45" s="300"/>
      <c r="ET45" s="300"/>
      <c r="EU45" s="300"/>
      <c r="EV45" s="300"/>
      <c r="EW45" s="300"/>
      <c r="EX45" s="300"/>
      <c r="EY45" s="300"/>
      <c r="EZ45" s="300"/>
      <c r="FA45" s="300"/>
      <c r="FB45" s="300"/>
      <c r="FC45" s="300"/>
      <c r="FD45" s="300"/>
      <c r="FE45" s="300"/>
      <c r="FF45" s="300"/>
    </row>
    <row r="46" spans="1:162">
      <c r="A46" s="300"/>
      <c r="B46" s="300"/>
      <c r="C46" s="300"/>
      <c r="D46" s="300"/>
      <c r="E46" s="300"/>
      <c r="F46" s="300"/>
      <c r="G46" s="300"/>
      <c r="H46" s="300"/>
      <c r="I46" s="300"/>
      <c r="J46" s="300"/>
      <c r="K46" s="300"/>
      <c r="L46" s="300"/>
      <c r="M46" s="300"/>
      <c r="N46" s="300"/>
      <c r="O46" s="300"/>
      <c r="P46" s="300"/>
      <c r="Q46" s="300"/>
      <c r="R46" s="300"/>
      <c r="S46" s="300"/>
      <c r="T46" s="300"/>
      <c r="U46" s="300"/>
      <c r="V46" s="300"/>
      <c r="W46" s="300"/>
      <c r="X46" s="300"/>
      <c r="Y46" s="300"/>
      <c r="Z46" s="300"/>
      <c r="AA46" s="300"/>
      <c r="AB46" s="300"/>
      <c r="AC46" s="300"/>
      <c r="AD46" s="300"/>
      <c r="AE46" s="300"/>
      <c r="AF46" s="300"/>
      <c r="AG46" s="300"/>
      <c r="AH46" s="300"/>
      <c r="AI46" s="300"/>
      <c r="AJ46" s="300"/>
      <c r="AK46" s="300"/>
      <c r="AL46" s="300"/>
      <c r="AM46" s="300"/>
      <c r="AN46" s="300"/>
      <c r="AO46" s="300"/>
      <c r="AP46" s="300"/>
      <c r="AQ46" s="300"/>
      <c r="AR46" s="300"/>
      <c r="AS46" s="300"/>
      <c r="AT46" s="300"/>
      <c r="AU46" s="300"/>
      <c r="AV46" s="300"/>
      <c r="AW46" s="300"/>
      <c r="AX46" s="300"/>
      <c r="AY46" s="300"/>
      <c r="AZ46" s="300"/>
      <c r="BA46" s="300"/>
      <c r="BB46" s="300"/>
      <c r="BC46" s="300"/>
      <c r="BD46" s="300"/>
      <c r="BE46" s="300"/>
      <c r="BF46" s="300"/>
      <c r="BG46" s="300"/>
      <c r="BH46" s="300"/>
      <c r="BI46" s="300"/>
      <c r="BJ46" s="300"/>
      <c r="BK46" s="300"/>
      <c r="BL46" s="300"/>
      <c r="BM46" s="300"/>
      <c r="BN46" s="300"/>
      <c r="BO46" s="300"/>
      <c r="BP46" s="300"/>
      <c r="BQ46" s="300"/>
      <c r="BR46" s="300"/>
      <c r="BS46" s="300"/>
      <c r="BT46" s="300"/>
      <c r="BU46" s="300"/>
      <c r="BV46" s="300"/>
      <c r="BW46" s="300"/>
      <c r="BX46" s="300"/>
      <c r="BY46" s="300"/>
      <c r="BZ46" s="300"/>
      <c r="CA46" s="300"/>
      <c r="CB46" s="300"/>
      <c r="CC46" s="300"/>
      <c r="CD46" s="300"/>
      <c r="CE46" s="300"/>
      <c r="CF46" s="300"/>
      <c r="CG46" s="300"/>
      <c r="CH46" s="300"/>
      <c r="CI46" s="300"/>
      <c r="CJ46" s="300"/>
      <c r="CK46" s="300"/>
      <c r="CL46" s="300"/>
      <c r="CM46" s="300"/>
      <c r="CN46" s="300"/>
      <c r="CO46" s="300"/>
      <c r="CP46" s="300"/>
      <c r="CQ46" s="300"/>
      <c r="CR46" s="300"/>
      <c r="CS46" s="300"/>
      <c r="CT46" s="300"/>
      <c r="CU46" s="300"/>
      <c r="CV46" s="300"/>
      <c r="CW46" s="300"/>
      <c r="CX46" s="300"/>
      <c r="CY46" s="300"/>
      <c r="CZ46" s="300"/>
      <c r="DA46" s="300"/>
      <c r="DB46" s="300"/>
      <c r="DC46" s="300"/>
      <c r="DD46" s="300"/>
      <c r="DE46" s="300"/>
      <c r="DF46" s="300"/>
      <c r="DG46" s="300"/>
      <c r="DH46" s="300"/>
      <c r="DI46" s="300"/>
      <c r="DJ46" s="300"/>
      <c r="DK46" s="300"/>
      <c r="DL46" s="300"/>
      <c r="DM46" s="300"/>
      <c r="DN46" s="300"/>
      <c r="DO46" s="300"/>
      <c r="DP46" s="300"/>
      <c r="DQ46" s="300"/>
      <c r="DR46" s="300"/>
      <c r="DS46" s="300"/>
      <c r="DT46" s="300"/>
      <c r="DU46" s="300"/>
      <c r="DV46" s="300"/>
      <c r="DW46" s="300"/>
      <c r="DX46" s="300"/>
      <c r="DY46" s="300"/>
      <c r="DZ46" s="300"/>
      <c r="EA46" s="300"/>
      <c r="EB46" s="300"/>
      <c r="EC46" s="300"/>
      <c r="ED46" s="300"/>
      <c r="EE46" s="300"/>
      <c r="EF46" s="300"/>
      <c r="EG46" s="300"/>
      <c r="EH46" s="300"/>
      <c r="EI46" s="300"/>
      <c r="EJ46" s="300"/>
      <c r="EK46" s="300"/>
      <c r="EL46" s="300"/>
      <c r="EM46" s="300"/>
      <c r="EN46" s="300"/>
      <c r="EO46" s="300"/>
      <c r="EP46" s="300"/>
      <c r="EQ46" s="300"/>
      <c r="ER46" s="300"/>
      <c r="ES46" s="300"/>
      <c r="ET46" s="300"/>
      <c r="EU46" s="300"/>
      <c r="EV46" s="300"/>
      <c r="EW46" s="300"/>
      <c r="EX46" s="300"/>
      <c r="EY46" s="300"/>
      <c r="EZ46" s="300"/>
      <c r="FA46" s="300"/>
      <c r="FB46" s="300"/>
      <c r="FC46" s="300"/>
      <c r="FD46" s="300"/>
      <c r="FE46" s="300"/>
      <c r="FF46" s="300"/>
    </row>
    <row r="47" spans="1:162">
      <c r="A47" s="300"/>
      <c r="B47" s="300"/>
      <c r="C47" s="300"/>
      <c r="D47" s="300"/>
      <c r="E47" s="300"/>
      <c r="F47" s="300"/>
      <c r="G47" s="300"/>
      <c r="H47" s="300"/>
      <c r="I47" s="300"/>
      <c r="J47" s="300"/>
      <c r="K47" s="300"/>
      <c r="L47" s="300"/>
      <c r="M47" s="300"/>
      <c r="N47" s="300"/>
      <c r="O47" s="300"/>
      <c r="P47" s="300"/>
      <c r="Q47" s="300"/>
      <c r="R47" s="300"/>
      <c r="S47" s="300"/>
      <c r="T47" s="300"/>
      <c r="U47" s="300"/>
      <c r="V47" s="300"/>
      <c r="W47" s="300"/>
      <c r="X47" s="300"/>
      <c r="Y47" s="300"/>
      <c r="Z47" s="300"/>
      <c r="AA47" s="300"/>
      <c r="AB47" s="300"/>
      <c r="AC47" s="300"/>
      <c r="AD47" s="300"/>
      <c r="AE47" s="300"/>
      <c r="AF47" s="300"/>
      <c r="AG47" s="300"/>
      <c r="AH47" s="300"/>
      <c r="AI47" s="300"/>
      <c r="AJ47" s="300"/>
      <c r="AK47" s="300"/>
      <c r="AL47" s="300"/>
      <c r="AM47" s="300"/>
      <c r="AN47" s="300"/>
      <c r="AO47" s="300"/>
      <c r="AP47" s="300"/>
      <c r="AQ47" s="300"/>
      <c r="AR47" s="300"/>
      <c r="AS47" s="300"/>
      <c r="AT47" s="300"/>
      <c r="AU47" s="300"/>
      <c r="AV47" s="300"/>
      <c r="AW47" s="300"/>
      <c r="AX47" s="300"/>
      <c r="AY47" s="300"/>
      <c r="AZ47" s="300"/>
      <c r="BA47" s="300"/>
      <c r="BB47" s="300"/>
      <c r="BC47" s="300"/>
      <c r="BD47" s="300"/>
      <c r="BE47" s="300"/>
      <c r="BF47" s="300"/>
      <c r="BG47" s="300"/>
      <c r="BH47" s="300"/>
      <c r="BI47" s="300"/>
      <c r="BJ47" s="300"/>
      <c r="BK47" s="300"/>
      <c r="BL47" s="300"/>
      <c r="BM47" s="300"/>
      <c r="BN47" s="300"/>
      <c r="BO47" s="300"/>
      <c r="BP47" s="300"/>
      <c r="BQ47" s="300"/>
      <c r="BR47" s="300"/>
      <c r="BS47" s="300"/>
      <c r="BT47" s="300"/>
      <c r="BU47" s="300"/>
      <c r="BV47" s="300"/>
      <c r="BW47" s="300"/>
      <c r="BX47" s="300"/>
      <c r="BY47" s="300"/>
      <c r="BZ47" s="300"/>
      <c r="CA47" s="300"/>
      <c r="CB47" s="300"/>
      <c r="CC47" s="300"/>
      <c r="CD47" s="300"/>
      <c r="CE47" s="300"/>
      <c r="CF47" s="300"/>
      <c r="CG47" s="300"/>
      <c r="CH47" s="300"/>
      <c r="CI47" s="300"/>
      <c r="CJ47" s="300"/>
      <c r="CK47" s="300"/>
      <c r="CL47" s="300"/>
      <c r="CM47" s="300"/>
      <c r="CN47" s="300"/>
      <c r="CO47" s="300"/>
      <c r="CP47" s="300"/>
      <c r="CQ47" s="300"/>
      <c r="CR47" s="300"/>
      <c r="CS47" s="300"/>
      <c r="CT47" s="300"/>
      <c r="CU47" s="300"/>
      <c r="CV47" s="300"/>
      <c r="CW47" s="300"/>
      <c r="CX47" s="300"/>
      <c r="CY47" s="300"/>
      <c r="CZ47" s="300"/>
      <c r="DA47" s="300"/>
      <c r="DB47" s="300"/>
      <c r="DC47" s="300"/>
      <c r="DD47" s="300"/>
      <c r="DE47" s="300"/>
      <c r="DF47" s="300"/>
      <c r="DG47" s="300"/>
      <c r="DH47" s="300"/>
      <c r="DI47" s="300"/>
      <c r="DJ47" s="300"/>
      <c r="DK47" s="300"/>
      <c r="DL47" s="300"/>
      <c r="DM47" s="300"/>
      <c r="DN47" s="300"/>
      <c r="DO47" s="300"/>
      <c r="DP47" s="300"/>
      <c r="DQ47" s="300"/>
      <c r="DR47" s="300"/>
      <c r="DS47" s="300"/>
      <c r="DT47" s="300"/>
      <c r="DU47" s="300"/>
      <c r="DV47" s="300"/>
      <c r="DW47" s="300"/>
      <c r="DX47" s="300"/>
      <c r="DY47" s="300"/>
      <c r="DZ47" s="300"/>
      <c r="EA47" s="300"/>
      <c r="EB47" s="300"/>
      <c r="EC47" s="300"/>
      <c r="ED47" s="300"/>
      <c r="EE47" s="300"/>
      <c r="EF47" s="300"/>
      <c r="EG47" s="300"/>
      <c r="EH47" s="300"/>
      <c r="EI47" s="300"/>
      <c r="EJ47" s="300"/>
      <c r="EK47" s="300"/>
      <c r="EL47" s="300"/>
      <c r="EM47" s="300"/>
      <c r="EN47" s="300"/>
      <c r="EO47" s="300"/>
      <c r="EP47" s="300"/>
      <c r="EQ47" s="300"/>
      <c r="ER47" s="300"/>
      <c r="ES47" s="300"/>
      <c r="ET47" s="300"/>
      <c r="EU47" s="300"/>
      <c r="EV47" s="300"/>
      <c r="EW47" s="300"/>
      <c r="EX47" s="300"/>
      <c r="EY47" s="300"/>
      <c r="EZ47" s="300"/>
      <c r="FA47" s="300"/>
      <c r="FB47" s="300"/>
      <c r="FC47" s="300"/>
      <c r="FD47" s="300"/>
      <c r="FE47" s="300"/>
      <c r="FF47" s="300"/>
    </row>
    <row r="48" spans="1:162">
      <c r="A48" s="300"/>
      <c r="B48" s="300"/>
      <c r="C48" s="300"/>
      <c r="D48" s="300"/>
      <c r="E48" s="300"/>
      <c r="F48" s="300"/>
      <c r="G48" s="300"/>
      <c r="H48" s="300"/>
      <c r="I48" s="300"/>
      <c r="J48" s="300"/>
      <c r="K48" s="300"/>
      <c r="L48" s="300"/>
      <c r="M48" s="300"/>
      <c r="N48" s="300"/>
      <c r="O48" s="300"/>
      <c r="P48" s="300"/>
      <c r="Q48" s="300"/>
      <c r="R48" s="300"/>
      <c r="S48" s="300"/>
      <c r="T48" s="300"/>
      <c r="U48" s="300"/>
      <c r="V48" s="300"/>
      <c r="W48" s="300"/>
      <c r="X48" s="300"/>
      <c r="Y48" s="300"/>
      <c r="Z48" s="300"/>
      <c r="AA48" s="300"/>
      <c r="AB48" s="300"/>
      <c r="AC48" s="300"/>
      <c r="AD48" s="300"/>
      <c r="AE48" s="300"/>
      <c r="AF48" s="300"/>
      <c r="AG48" s="300"/>
      <c r="AH48" s="300"/>
      <c r="AI48" s="300"/>
      <c r="AJ48" s="300"/>
      <c r="AK48" s="300"/>
      <c r="AL48" s="300"/>
      <c r="AM48" s="300"/>
      <c r="AN48" s="300"/>
      <c r="AO48" s="300"/>
      <c r="AP48" s="300"/>
      <c r="AQ48" s="300"/>
      <c r="AR48" s="300"/>
      <c r="AS48" s="300"/>
      <c r="AT48" s="300"/>
      <c r="AU48" s="300"/>
      <c r="AV48" s="300"/>
      <c r="AW48" s="300"/>
      <c r="AX48" s="300"/>
      <c r="AY48" s="300"/>
      <c r="AZ48" s="300"/>
      <c r="BA48" s="300"/>
      <c r="BB48" s="300"/>
      <c r="BC48" s="300"/>
      <c r="BD48" s="300"/>
      <c r="BE48" s="300"/>
      <c r="BF48" s="300"/>
      <c r="BG48" s="300"/>
      <c r="BH48" s="300"/>
      <c r="BI48" s="300"/>
      <c r="BJ48" s="300"/>
      <c r="BK48" s="300"/>
      <c r="BL48" s="300"/>
      <c r="BM48" s="300"/>
      <c r="BN48" s="300"/>
      <c r="BO48" s="300"/>
      <c r="BP48" s="300"/>
      <c r="BQ48" s="300"/>
      <c r="BR48" s="300"/>
      <c r="BS48" s="300"/>
      <c r="BT48" s="300"/>
      <c r="BU48" s="300"/>
      <c r="BV48" s="300"/>
      <c r="BW48" s="300"/>
      <c r="BX48" s="300"/>
      <c r="BY48" s="300"/>
      <c r="BZ48" s="300"/>
      <c r="CA48" s="300"/>
      <c r="CB48" s="300"/>
      <c r="CC48" s="300"/>
      <c r="CD48" s="300"/>
      <c r="CE48" s="300"/>
      <c r="CF48" s="300"/>
      <c r="CG48" s="300"/>
      <c r="CH48" s="300"/>
      <c r="CI48" s="300"/>
      <c r="CJ48" s="300"/>
      <c r="CK48" s="300"/>
      <c r="CL48" s="300"/>
      <c r="CM48" s="300"/>
      <c r="CN48" s="300"/>
      <c r="CO48" s="300"/>
      <c r="CP48" s="300"/>
      <c r="CQ48" s="300"/>
      <c r="CR48" s="300"/>
      <c r="CS48" s="300"/>
      <c r="CT48" s="300"/>
      <c r="CU48" s="300"/>
      <c r="CV48" s="300"/>
      <c r="CW48" s="300"/>
      <c r="CX48" s="300"/>
      <c r="CY48" s="300"/>
      <c r="CZ48" s="300"/>
      <c r="DA48" s="300"/>
      <c r="DB48" s="300"/>
      <c r="DC48" s="300"/>
      <c r="DD48" s="300"/>
      <c r="DE48" s="300"/>
      <c r="DF48" s="300"/>
      <c r="DG48" s="300"/>
      <c r="DH48" s="300"/>
      <c r="DI48" s="300"/>
      <c r="DJ48" s="300"/>
      <c r="DK48" s="300"/>
      <c r="DL48" s="300"/>
      <c r="DM48" s="300"/>
      <c r="DN48" s="300"/>
      <c r="DO48" s="300"/>
      <c r="DP48" s="300"/>
      <c r="DQ48" s="300"/>
      <c r="DR48" s="300"/>
      <c r="DS48" s="300"/>
      <c r="DT48" s="300"/>
      <c r="DU48" s="300"/>
      <c r="DV48" s="300"/>
      <c r="DW48" s="300"/>
      <c r="DX48" s="300"/>
      <c r="DY48" s="300"/>
      <c r="DZ48" s="300"/>
      <c r="EA48" s="300"/>
      <c r="EB48" s="300"/>
      <c r="EC48" s="300"/>
      <c r="ED48" s="300"/>
      <c r="EE48" s="300"/>
      <c r="EF48" s="300"/>
      <c r="EG48" s="300"/>
      <c r="EH48" s="300"/>
      <c r="EI48" s="300"/>
      <c r="EJ48" s="300"/>
      <c r="EK48" s="300"/>
      <c r="EL48" s="300"/>
      <c r="EM48" s="300"/>
      <c r="EN48" s="300"/>
      <c r="EO48" s="300"/>
      <c r="EP48" s="300"/>
      <c r="EQ48" s="300"/>
      <c r="ER48" s="300"/>
      <c r="ES48" s="300"/>
      <c r="ET48" s="300"/>
      <c r="EU48" s="300"/>
      <c r="EV48" s="300"/>
      <c r="EW48" s="300"/>
      <c r="EX48" s="300"/>
      <c r="EY48" s="300"/>
      <c r="EZ48" s="300"/>
      <c r="FA48" s="300"/>
      <c r="FB48" s="300"/>
      <c r="FC48" s="300"/>
      <c r="FD48" s="300"/>
      <c r="FE48" s="300"/>
      <c r="FF48" s="300"/>
    </row>
    <row r="49" spans="1:162">
      <c r="A49" s="300"/>
      <c r="B49" s="300"/>
      <c r="C49" s="300"/>
      <c r="D49" s="300"/>
      <c r="E49" s="300"/>
      <c r="F49" s="300"/>
      <c r="G49" s="300"/>
      <c r="H49" s="300"/>
      <c r="I49" s="300"/>
      <c r="J49" s="300"/>
      <c r="K49" s="300"/>
      <c r="L49" s="300"/>
      <c r="M49" s="300"/>
      <c r="N49" s="300"/>
      <c r="O49" s="300"/>
      <c r="P49" s="300"/>
      <c r="Q49" s="300"/>
      <c r="R49" s="300"/>
      <c r="S49" s="300"/>
      <c r="T49" s="300"/>
      <c r="U49" s="300"/>
      <c r="V49" s="300"/>
      <c r="W49" s="300"/>
      <c r="X49" s="300"/>
      <c r="Y49" s="300"/>
      <c r="Z49" s="300"/>
      <c r="AA49" s="300"/>
      <c r="AB49" s="300"/>
      <c r="AC49" s="300"/>
      <c r="AD49" s="300"/>
      <c r="AE49" s="300"/>
      <c r="AF49" s="300"/>
      <c r="AG49" s="300"/>
      <c r="AH49" s="300"/>
      <c r="AI49" s="300"/>
      <c r="AJ49" s="300"/>
      <c r="AK49" s="300"/>
      <c r="AL49" s="300"/>
      <c r="AM49" s="300"/>
      <c r="AN49" s="300"/>
      <c r="AO49" s="300"/>
      <c r="AP49" s="300"/>
      <c r="AQ49" s="300"/>
      <c r="AR49" s="300"/>
      <c r="AS49" s="300"/>
      <c r="AT49" s="300"/>
      <c r="AU49" s="300"/>
      <c r="AV49" s="300"/>
      <c r="AW49" s="300"/>
      <c r="AX49" s="300"/>
      <c r="AY49" s="300"/>
      <c r="AZ49" s="300"/>
      <c r="BA49" s="300"/>
      <c r="BB49" s="300"/>
      <c r="BC49" s="300"/>
      <c r="BD49" s="300"/>
      <c r="BE49" s="300"/>
      <c r="BF49" s="300"/>
      <c r="BG49" s="300"/>
      <c r="BH49" s="300"/>
      <c r="BI49" s="300"/>
      <c r="BJ49" s="300"/>
      <c r="BK49" s="300"/>
      <c r="BL49" s="300"/>
      <c r="BM49" s="300"/>
      <c r="BN49" s="300"/>
      <c r="BO49" s="300"/>
      <c r="BP49" s="300"/>
      <c r="BQ49" s="300"/>
      <c r="BR49" s="300"/>
      <c r="BS49" s="300"/>
      <c r="BT49" s="300"/>
      <c r="BU49" s="300"/>
      <c r="BV49" s="300"/>
      <c r="BW49" s="300"/>
      <c r="BX49" s="300"/>
      <c r="BY49" s="300"/>
      <c r="BZ49" s="300"/>
      <c r="CA49" s="300"/>
      <c r="CB49" s="300"/>
      <c r="CC49" s="300"/>
      <c r="CD49" s="300"/>
      <c r="CE49" s="300"/>
      <c r="CF49" s="300"/>
      <c r="CG49" s="300"/>
      <c r="CH49" s="300"/>
      <c r="CI49" s="300"/>
      <c r="CJ49" s="300"/>
      <c r="CK49" s="300"/>
      <c r="CL49" s="300"/>
      <c r="CM49" s="300"/>
      <c r="CN49" s="300"/>
      <c r="CO49" s="300"/>
      <c r="CP49" s="300"/>
      <c r="CQ49" s="300"/>
      <c r="CR49" s="300"/>
      <c r="CS49" s="300"/>
      <c r="CT49" s="300"/>
      <c r="CU49" s="300"/>
      <c r="CV49" s="300"/>
      <c r="CW49" s="300"/>
      <c r="CX49" s="300"/>
      <c r="CY49" s="300"/>
      <c r="CZ49" s="300"/>
      <c r="DA49" s="300"/>
      <c r="DB49" s="300"/>
      <c r="DC49" s="300"/>
      <c r="DD49" s="300"/>
      <c r="DE49" s="300"/>
      <c r="DF49" s="300"/>
      <c r="DG49" s="300"/>
      <c r="DH49" s="300"/>
      <c r="DI49" s="300"/>
      <c r="DJ49" s="300"/>
      <c r="DK49" s="300"/>
      <c r="DL49" s="300"/>
      <c r="DM49" s="300"/>
      <c r="DN49" s="300"/>
      <c r="DO49" s="300"/>
      <c r="DP49" s="300"/>
      <c r="DQ49" s="300"/>
      <c r="DR49" s="300"/>
      <c r="DS49" s="300"/>
      <c r="DT49" s="300"/>
      <c r="DU49" s="300"/>
      <c r="DV49" s="300"/>
      <c r="DW49" s="300"/>
      <c r="DX49" s="300"/>
      <c r="DY49" s="300"/>
      <c r="DZ49" s="300"/>
      <c r="EA49" s="300"/>
      <c r="EB49" s="300"/>
      <c r="EC49" s="300"/>
      <c r="ED49" s="300"/>
      <c r="EE49" s="300"/>
      <c r="EF49" s="300"/>
      <c r="EG49" s="300"/>
      <c r="EH49" s="300"/>
      <c r="EI49" s="300"/>
      <c r="EJ49" s="300"/>
      <c r="EK49" s="300"/>
      <c r="EL49" s="300"/>
      <c r="EM49" s="300"/>
      <c r="EN49" s="300"/>
      <c r="EO49" s="300"/>
      <c r="EP49" s="300"/>
      <c r="EQ49" s="300"/>
      <c r="ER49" s="300"/>
      <c r="ES49" s="300"/>
      <c r="ET49" s="300"/>
      <c r="EU49" s="300"/>
      <c r="EV49" s="300"/>
      <c r="EW49" s="300"/>
      <c r="EX49" s="300"/>
      <c r="EY49" s="300"/>
      <c r="EZ49" s="300"/>
      <c r="FA49" s="300"/>
      <c r="FB49" s="300"/>
      <c r="FC49" s="300"/>
      <c r="FD49" s="300"/>
      <c r="FE49" s="300"/>
      <c r="FF49" s="300"/>
    </row>
    <row r="50" spans="1:162">
      <c r="A50" s="300"/>
      <c r="B50" s="300"/>
      <c r="C50" s="300"/>
      <c r="D50" s="300"/>
      <c r="E50" s="300"/>
      <c r="F50" s="300"/>
      <c r="G50" s="300"/>
      <c r="H50" s="300"/>
      <c r="I50" s="300"/>
      <c r="J50" s="300"/>
      <c r="K50" s="300"/>
      <c r="L50" s="300"/>
      <c r="M50" s="300"/>
      <c r="N50" s="300"/>
      <c r="O50" s="300"/>
      <c r="P50" s="300"/>
      <c r="Q50" s="300"/>
      <c r="R50" s="300"/>
      <c r="S50" s="300"/>
      <c r="T50" s="300"/>
      <c r="U50" s="300"/>
      <c r="V50" s="300"/>
      <c r="W50" s="300"/>
      <c r="X50" s="300"/>
      <c r="Y50" s="300"/>
      <c r="Z50" s="300"/>
      <c r="AA50" s="300"/>
      <c r="AB50" s="300"/>
      <c r="AC50" s="300"/>
      <c r="AD50" s="300"/>
      <c r="AE50" s="300"/>
      <c r="AF50" s="300"/>
      <c r="AG50" s="300"/>
      <c r="AH50" s="300"/>
      <c r="AI50" s="300"/>
      <c r="AJ50" s="300"/>
      <c r="AK50" s="300"/>
      <c r="AL50" s="300"/>
      <c r="AM50" s="300"/>
      <c r="AN50" s="300"/>
      <c r="AO50" s="300"/>
      <c r="AP50" s="300"/>
      <c r="AQ50" s="300"/>
      <c r="AR50" s="300"/>
      <c r="AS50" s="300"/>
      <c r="AT50" s="300"/>
      <c r="AU50" s="300"/>
      <c r="AV50" s="300"/>
      <c r="AW50" s="300"/>
      <c r="AX50" s="300"/>
      <c r="AY50" s="300"/>
      <c r="AZ50" s="300"/>
      <c r="BA50" s="300"/>
      <c r="BB50" s="300"/>
      <c r="BC50" s="300"/>
      <c r="BD50" s="300"/>
      <c r="BE50" s="300"/>
      <c r="BF50" s="300"/>
      <c r="BG50" s="300"/>
      <c r="BH50" s="300"/>
      <c r="BI50" s="300"/>
      <c r="BJ50" s="300"/>
      <c r="BK50" s="300"/>
      <c r="BL50" s="300"/>
      <c r="BM50" s="300"/>
      <c r="BN50" s="300"/>
      <c r="BO50" s="300"/>
      <c r="BP50" s="300"/>
      <c r="BQ50" s="300"/>
      <c r="BR50" s="300"/>
      <c r="BS50" s="300"/>
      <c r="BT50" s="300"/>
      <c r="BU50" s="300"/>
      <c r="BV50" s="300"/>
      <c r="BW50" s="300"/>
      <c r="BX50" s="300"/>
      <c r="BY50" s="300"/>
      <c r="BZ50" s="300"/>
      <c r="CA50" s="300"/>
      <c r="CB50" s="300"/>
      <c r="CC50" s="300"/>
      <c r="CD50" s="300"/>
      <c r="CE50" s="300"/>
      <c r="CF50" s="300"/>
      <c r="CG50" s="300"/>
      <c r="CH50" s="300"/>
      <c r="CI50" s="300"/>
      <c r="CJ50" s="300"/>
      <c r="CK50" s="300"/>
      <c r="CL50" s="300"/>
      <c r="CM50" s="300"/>
      <c r="CN50" s="300"/>
      <c r="CO50" s="300"/>
      <c r="CP50" s="300"/>
      <c r="CQ50" s="300"/>
      <c r="CR50" s="300"/>
      <c r="CS50" s="300"/>
      <c r="CT50" s="300"/>
      <c r="CU50" s="300"/>
      <c r="CV50" s="300"/>
      <c r="CW50" s="300"/>
      <c r="CX50" s="300"/>
      <c r="CY50" s="300"/>
      <c r="CZ50" s="300"/>
      <c r="DA50" s="300"/>
      <c r="DB50" s="300"/>
      <c r="DC50" s="300"/>
      <c r="DD50" s="300"/>
      <c r="DE50" s="300"/>
      <c r="DF50" s="300"/>
      <c r="DG50" s="300"/>
      <c r="DH50" s="300"/>
      <c r="DI50" s="300"/>
      <c r="DJ50" s="300"/>
      <c r="DK50" s="300"/>
      <c r="DL50" s="300"/>
      <c r="DM50" s="300"/>
      <c r="DN50" s="300"/>
      <c r="DO50" s="300"/>
      <c r="DP50" s="300"/>
      <c r="DQ50" s="300"/>
      <c r="DR50" s="300"/>
      <c r="DS50" s="300"/>
      <c r="DT50" s="300"/>
      <c r="DU50" s="300"/>
      <c r="DV50" s="300"/>
      <c r="DW50" s="300"/>
      <c r="DX50" s="300"/>
      <c r="DY50" s="300"/>
      <c r="DZ50" s="300"/>
      <c r="EA50" s="300"/>
      <c r="EB50" s="300"/>
      <c r="EC50" s="300"/>
      <c r="ED50" s="300"/>
      <c r="EE50" s="300"/>
      <c r="EF50" s="300"/>
      <c r="EG50" s="300"/>
      <c r="EH50" s="300"/>
      <c r="EI50" s="300"/>
      <c r="EJ50" s="300"/>
      <c r="EK50" s="300"/>
      <c r="EL50" s="300"/>
      <c r="EM50" s="300"/>
      <c r="EN50" s="300"/>
      <c r="EO50" s="300"/>
      <c r="EP50" s="300"/>
      <c r="EQ50" s="300"/>
      <c r="ER50" s="300"/>
      <c r="ES50" s="300"/>
      <c r="ET50" s="300"/>
      <c r="EU50" s="300"/>
      <c r="EV50" s="300"/>
      <c r="EW50" s="300"/>
      <c r="EX50" s="300"/>
      <c r="EY50" s="300"/>
      <c r="EZ50" s="300"/>
      <c r="FA50" s="300"/>
      <c r="FB50" s="300"/>
      <c r="FC50" s="300"/>
      <c r="FD50" s="300"/>
      <c r="FE50" s="300"/>
      <c r="FF50" s="300"/>
    </row>
    <row r="51" spans="1:162">
      <c r="A51" s="300"/>
      <c r="B51" s="300"/>
      <c r="C51" s="300"/>
      <c r="D51" s="300"/>
      <c r="E51" s="300"/>
      <c r="F51" s="300"/>
      <c r="G51" s="300"/>
      <c r="H51" s="300"/>
      <c r="I51" s="300"/>
      <c r="J51" s="300"/>
      <c r="K51" s="300"/>
      <c r="L51" s="300"/>
      <c r="M51" s="300"/>
      <c r="N51" s="300"/>
      <c r="O51" s="300"/>
      <c r="P51" s="300"/>
      <c r="Q51" s="300"/>
      <c r="R51" s="300"/>
      <c r="S51" s="300"/>
      <c r="T51" s="300"/>
      <c r="U51" s="300"/>
      <c r="V51" s="300"/>
      <c r="W51" s="300"/>
      <c r="X51" s="300"/>
      <c r="Y51" s="300"/>
      <c r="Z51" s="300"/>
      <c r="AA51" s="300"/>
      <c r="AB51" s="300"/>
      <c r="AC51" s="300"/>
      <c r="AD51" s="300"/>
      <c r="AE51" s="300"/>
      <c r="AF51" s="300"/>
      <c r="AG51" s="300"/>
      <c r="AH51" s="300"/>
      <c r="AI51" s="300"/>
      <c r="AJ51" s="300"/>
      <c r="AK51" s="300"/>
      <c r="AL51" s="300"/>
      <c r="AM51" s="300"/>
      <c r="AN51" s="300"/>
      <c r="AO51" s="300"/>
      <c r="AP51" s="300"/>
      <c r="AQ51" s="300"/>
      <c r="AR51" s="300"/>
      <c r="AS51" s="300"/>
      <c r="AT51" s="300"/>
      <c r="AU51" s="300"/>
      <c r="AV51" s="300"/>
      <c r="AW51" s="300"/>
      <c r="AX51" s="300"/>
      <c r="AY51" s="300"/>
      <c r="AZ51" s="300"/>
      <c r="BA51" s="300"/>
      <c r="BB51" s="300"/>
      <c r="BC51" s="300"/>
      <c r="BD51" s="300"/>
      <c r="BE51" s="300"/>
      <c r="BF51" s="300"/>
      <c r="BG51" s="300"/>
      <c r="BH51" s="300"/>
      <c r="BI51" s="300"/>
      <c r="BJ51" s="300"/>
      <c r="BK51" s="300"/>
      <c r="BL51" s="300"/>
      <c r="BM51" s="300"/>
      <c r="BN51" s="300"/>
      <c r="BO51" s="300"/>
      <c r="BP51" s="300"/>
      <c r="BQ51" s="300"/>
      <c r="BR51" s="300"/>
      <c r="BS51" s="300"/>
      <c r="BT51" s="300"/>
      <c r="BU51" s="300"/>
      <c r="BV51" s="300"/>
      <c r="BW51" s="300"/>
      <c r="BX51" s="300"/>
      <c r="BY51" s="300"/>
      <c r="BZ51" s="300"/>
      <c r="CA51" s="300"/>
      <c r="CB51" s="300"/>
      <c r="CC51" s="300"/>
      <c r="CD51" s="300"/>
      <c r="CE51" s="300"/>
      <c r="CF51" s="300"/>
      <c r="CG51" s="300"/>
      <c r="CH51" s="300"/>
      <c r="CI51" s="300"/>
      <c r="CJ51" s="300"/>
      <c r="CK51" s="300"/>
      <c r="CL51" s="300"/>
      <c r="CM51" s="300"/>
      <c r="CN51" s="300"/>
      <c r="CO51" s="300"/>
      <c r="CP51" s="300"/>
      <c r="CQ51" s="300"/>
      <c r="CR51" s="300"/>
      <c r="CS51" s="300"/>
      <c r="CT51" s="300"/>
      <c r="CU51" s="300"/>
      <c r="CV51" s="300"/>
      <c r="CW51" s="300"/>
      <c r="CX51" s="300"/>
      <c r="CY51" s="300"/>
      <c r="CZ51" s="300"/>
      <c r="DA51" s="300"/>
      <c r="DB51" s="300"/>
      <c r="DC51" s="300"/>
      <c r="DD51" s="300"/>
      <c r="DE51" s="300"/>
      <c r="DF51" s="300"/>
      <c r="DG51" s="300"/>
      <c r="DH51" s="300"/>
      <c r="DI51" s="300"/>
      <c r="DJ51" s="300"/>
      <c r="DK51" s="300"/>
      <c r="DL51" s="300"/>
      <c r="DM51" s="300"/>
      <c r="DN51" s="300"/>
      <c r="DO51" s="300"/>
      <c r="DP51" s="300"/>
      <c r="DQ51" s="300"/>
      <c r="DR51" s="300"/>
      <c r="DS51" s="300"/>
      <c r="DT51" s="300"/>
      <c r="DU51" s="300"/>
      <c r="DV51" s="300"/>
      <c r="DW51" s="300"/>
      <c r="DX51" s="300"/>
      <c r="DY51" s="300"/>
      <c r="DZ51" s="300"/>
      <c r="EA51" s="300"/>
      <c r="EB51" s="300"/>
      <c r="EC51" s="300"/>
      <c r="ED51" s="300"/>
      <c r="EE51" s="300"/>
      <c r="EF51" s="300"/>
      <c r="EG51" s="300"/>
      <c r="EH51" s="300"/>
      <c r="EI51" s="300"/>
      <c r="EJ51" s="300"/>
      <c r="EK51" s="300"/>
      <c r="EL51" s="300"/>
      <c r="EM51" s="300"/>
      <c r="EN51" s="300"/>
      <c r="EO51" s="300"/>
      <c r="EP51" s="300"/>
      <c r="EQ51" s="300"/>
      <c r="ER51" s="300"/>
      <c r="ES51" s="300"/>
      <c r="ET51" s="300"/>
      <c r="EU51" s="300"/>
      <c r="EV51" s="300"/>
      <c r="EW51" s="300"/>
      <c r="EX51" s="300"/>
      <c r="EY51" s="300"/>
      <c r="EZ51" s="300"/>
      <c r="FA51" s="300"/>
      <c r="FB51" s="300"/>
      <c r="FC51" s="300"/>
      <c r="FD51" s="300"/>
      <c r="FE51" s="300"/>
      <c r="FF51" s="300"/>
    </row>
    <row r="52" spans="1:162">
      <c r="A52" s="300"/>
      <c r="B52" s="300"/>
      <c r="C52" s="300"/>
      <c r="D52" s="300"/>
      <c r="E52" s="300"/>
      <c r="F52" s="300"/>
      <c r="G52" s="300"/>
      <c r="H52" s="300"/>
      <c r="I52" s="300"/>
      <c r="J52" s="300"/>
      <c r="K52" s="300"/>
      <c r="L52" s="300"/>
      <c r="M52" s="300"/>
      <c r="N52" s="300"/>
      <c r="O52" s="300"/>
      <c r="P52" s="300"/>
      <c r="Q52" s="300"/>
      <c r="R52" s="300"/>
      <c r="S52" s="300"/>
      <c r="T52" s="300"/>
      <c r="U52" s="300"/>
      <c r="V52" s="300"/>
      <c r="W52" s="300"/>
      <c r="X52" s="300"/>
      <c r="Y52" s="300"/>
      <c r="Z52" s="300"/>
      <c r="AA52" s="300"/>
      <c r="AB52" s="300"/>
      <c r="AC52" s="300"/>
      <c r="AD52" s="300"/>
      <c r="AE52" s="300"/>
      <c r="AF52" s="300"/>
      <c r="AG52" s="300"/>
      <c r="AH52" s="300"/>
      <c r="AI52" s="300"/>
      <c r="AJ52" s="300"/>
      <c r="AK52" s="300"/>
      <c r="AL52" s="300"/>
      <c r="AM52" s="300"/>
      <c r="AN52" s="300"/>
      <c r="AO52" s="300"/>
      <c r="AP52" s="300"/>
      <c r="AQ52" s="300"/>
      <c r="AR52" s="300"/>
      <c r="AS52" s="300"/>
      <c r="AT52" s="300"/>
      <c r="AU52" s="300"/>
      <c r="AV52" s="300"/>
      <c r="AW52" s="300"/>
      <c r="AX52" s="300"/>
      <c r="AY52" s="300"/>
      <c r="AZ52" s="300"/>
      <c r="BA52" s="300"/>
      <c r="BB52" s="300"/>
      <c r="BC52" s="300"/>
      <c r="BD52" s="300"/>
      <c r="BE52" s="300"/>
      <c r="BF52" s="300"/>
      <c r="BG52" s="300"/>
      <c r="BH52" s="300"/>
      <c r="BI52" s="300"/>
      <c r="BJ52" s="300"/>
      <c r="BK52" s="300"/>
      <c r="BL52" s="300"/>
      <c r="BM52" s="300"/>
      <c r="BN52" s="300"/>
      <c r="BO52" s="300"/>
      <c r="BP52" s="300"/>
      <c r="BQ52" s="300"/>
      <c r="BR52" s="300"/>
      <c r="BS52" s="300"/>
      <c r="BT52" s="300"/>
      <c r="BU52" s="300"/>
      <c r="BV52" s="300"/>
      <c r="BW52" s="300"/>
      <c r="BX52" s="300"/>
      <c r="BY52" s="300"/>
      <c r="BZ52" s="300"/>
      <c r="CA52" s="300"/>
      <c r="CB52" s="300"/>
      <c r="CC52" s="300"/>
      <c r="CD52" s="300"/>
      <c r="CE52" s="300"/>
      <c r="CF52" s="300"/>
      <c r="CG52" s="300"/>
      <c r="CH52" s="300"/>
      <c r="CI52" s="300"/>
      <c r="CJ52" s="300"/>
      <c r="CK52" s="300"/>
      <c r="CL52" s="300"/>
      <c r="CM52" s="300"/>
      <c r="CN52" s="300"/>
      <c r="CO52" s="300"/>
      <c r="CP52" s="300"/>
      <c r="CQ52" s="300"/>
      <c r="CR52" s="300"/>
      <c r="CS52" s="300"/>
      <c r="CT52" s="300"/>
      <c r="CU52" s="300"/>
      <c r="CV52" s="300"/>
      <c r="CW52" s="300"/>
      <c r="CX52" s="300"/>
      <c r="CY52" s="300"/>
      <c r="CZ52" s="300"/>
      <c r="DA52" s="300"/>
      <c r="DB52" s="300"/>
      <c r="DC52" s="300"/>
      <c r="DD52" s="300"/>
      <c r="DE52" s="300"/>
      <c r="DF52" s="300"/>
      <c r="DG52" s="300"/>
      <c r="DH52" s="300"/>
      <c r="DI52" s="300"/>
      <c r="DJ52" s="300"/>
      <c r="DK52" s="300"/>
      <c r="DL52" s="300"/>
      <c r="DM52" s="300"/>
      <c r="DN52" s="300"/>
      <c r="DO52" s="300"/>
      <c r="DP52" s="300"/>
      <c r="DQ52" s="300"/>
      <c r="DR52" s="300"/>
      <c r="DS52" s="300"/>
      <c r="DT52" s="300"/>
      <c r="DU52" s="300"/>
      <c r="DV52" s="300"/>
      <c r="DW52" s="300"/>
      <c r="DX52" s="300"/>
      <c r="DY52" s="300"/>
      <c r="DZ52" s="300"/>
      <c r="EA52" s="300"/>
      <c r="EB52" s="300"/>
      <c r="EC52" s="300"/>
      <c r="ED52" s="300"/>
      <c r="EE52" s="300"/>
      <c r="EF52" s="300"/>
      <c r="EG52" s="300"/>
      <c r="EH52" s="300"/>
      <c r="EI52" s="300"/>
      <c r="EJ52" s="300"/>
      <c r="EK52" s="300"/>
      <c r="EL52" s="300"/>
      <c r="EM52" s="300"/>
      <c r="EN52" s="300"/>
      <c r="EO52" s="300"/>
      <c r="EP52" s="300"/>
      <c r="EQ52" s="300"/>
      <c r="ER52" s="300"/>
      <c r="ES52" s="300"/>
      <c r="ET52" s="300"/>
      <c r="EU52" s="300"/>
      <c r="EV52" s="300"/>
      <c r="EW52" s="300"/>
      <c r="EX52" s="300"/>
      <c r="EY52" s="300"/>
      <c r="EZ52" s="300"/>
      <c r="FA52" s="300"/>
      <c r="FB52" s="300"/>
      <c r="FC52" s="300"/>
      <c r="FD52" s="300"/>
      <c r="FE52" s="300"/>
      <c r="FF52" s="300"/>
    </row>
    <row r="53" spans="1:162">
      <c r="A53" s="300"/>
      <c r="B53" s="300"/>
      <c r="C53" s="300"/>
      <c r="D53" s="300"/>
      <c r="E53" s="300"/>
      <c r="F53" s="300"/>
      <c r="G53" s="300"/>
      <c r="H53" s="300"/>
      <c r="I53" s="300"/>
      <c r="J53" s="300"/>
      <c r="K53" s="300"/>
      <c r="L53" s="300"/>
      <c r="M53" s="300"/>
      <c r="N53" s="300"/>
      <c r="O53" s="300"/>
      <c r="P53" s="300"/>
      <c r="Q53" s="300"/>
      <c r="R53" s="300"/>
      <c r="S53" s="300"/>
      <c r="T53" s="300"/>
      <c r="U53" s="300"/>
      <c r="V53" s="300"/>
      <c r="W53" s="300"/>
      <c r="X53" s="300"/>
      <c r="Y53" s="300"/>
      <c r="Z53" s="300"/>
      <c r="AA53" s="300"/>
      <c r="AB53" s="300"/>
      <c r="AC53" s="300"/>
      <c r="AD53" s="300"/>
      <c r="AE53" s="300"/>
      <c r="AF53" s="300"/>
      <c r="AG53" s="300"/>
      <c r="AH53" s="300"/>
      <c r="AI53" s="300"/>
      <c r="AJ53" s="300"/>
      <c r="AK53" s="300"/>
      <c r="AL53" s="300"/>
      <c r="AM53" s="300"/>
      <c r="AN53" s="300"/>
      <c r="AO53" s="300"/>
      <c r="AP53" s="300"/>
      <c r="AQ53" s="300"/>
      <c r="AR53" s="300"/>
      <c r="AS53" s="300"/>
      <c r="AT53" s="300"/>
      <c r="AU53" s="300"/>
      <c r="AV53" s="300"/>
      <c r="AW53" s="300"/>
      <c r="AX53" s="300"/>
      <c r="AY53" s="300"/>
      <c r="AZ53" s="300"/>
      <c r="BA53" s="300"/>
      <c r="BB53" s="300"/>
      <c r="BC53" s="300"/>
      <c r="BD53" s="300"/>
      <c r="BE53" s="300"/>
      <c r="BF53" s="300"/>
      <c r="BG53" s="300"/>
      <c r="BH53" s="300"/>
      <c r="BI53" s="300"/>
      <c r="BJ53" s="300"/>
      <c r="BK53" s="300"/>
      <c r="BL53" s="300"/>
      <c r="BM53" s="300"/>
      <c r="BN53" s="300"/>
      <c r="BO53" s="300"/>
      <c r="BP53" s="300"/>
      <c r="BQ53" s="300"/>
      <c r="BR53" s="300"/>
      <c r="BS53" s="300"/>
      <c r="BT53" s="300"/>
      <c r="BU53" s="300"/>
      <c r="BV53" s="300"/>
      <c r="BW53" s="300"/>
      <c r="BX53" s="300"/>
      <c r="BY53" s="300"/>
      <c r="BZ53" s="300"/>
      <c r="CA53" s="300"/>
      <c r="CB53" s="300"/>
      <c r="CC53" s="300"/>
      <c r="CD53" s="300"/>
      <c r="CE53" s="300"/>
      <c r="CF53" s="300"/>
      <c r="CG53" s="300"/>
      <c r="CH53" s="300"/>
      <c r="CI53" s="300"/>
      <c r="CJ53" s="300"/>
      <c r="CK53" s="300"/>
      <c r="CL53" s="300"/>
      <c r="CM53" s="300"/>
      <c r="CN53" s="300"/>
      <c r="CO53" s="300"/>
      <c r="CP53" s="300"/>
      <c r="CQ53" s="300"/>
      <c r="CR53" s="300"/>
      <c r="CS53" s="300"/>
      <c r="CT53" s="300"/>
      <c r="CU53" s="300"/>
      <c r="CV53" s="300"/>
      <c r="CW53" s="300"/>
      <c r="CX53" s="300"/>
      <c r="CY53" s="300"/>
      <c r="CZ53" s="300"/>
      <c r="DA53" s="300"/>
      <c r="DB53" s="300"/>
      <c r="DC53" s="300"/>
      <c r="DD53" s="300"/>
      <c r="DE53" s="300"/>
      <c r="DF53" s="300"/>
      <c r="DG53" s="300"/>
      <c r="DH53" s="300"/>
      <c r="DI53" s="300"/>
      <c r="DJ53" s="300"/>
      <c r="DK53" s="300"/>
      <c r="DL53" s="300"/>
      <c r="DM53" s="300"/>
      <c r="DN53" s="300"/>
      <c r="DO53" s="300"/>
      <c r="DP53" s="300"/>
      <c r="DQ53" s="300"/>
      <c r="DR53" s="300"/>
      <c r="DS53" s="300"/>
      <c r="DT53" s="300"/>
      <c r="DU53" s="300"/>
      <c r="DV53" s="300"/>
      <c r="DW53" s="300"/>
      <c r="DX53" s="300"/>
      <c r="DY53" s="300"/>
      <c r="DZ53" s="300"/>
      <c r="EA53" s="300"/>
      <c r="EB53" s="300"/>
      <c r="EC53" s="300"/>
      <c r="ED53" s="300"/>
      <c r="EE53" s="300"/>
      <c r="EF53" s="300"/>
      <c r="EG53" s="300"/>
      <c r="EH53" s="300"/>
      <c r="EI53" s="300"/>
      <c r="EJ53" s="300"/>
      <c r="EK53" s="300"/>
      <c r="EL53" s="300"/>
      <c r="EM53" s="300"/>
      <c r="EN53" s="300"/>
      <c r="EO53" s="300"/>
      <c r="EP53" s="300"/>
      <c r="EQ53" s="300"/>
      <c r="ER53" s="300"/>
      <c r="ES53" s="300"/>
      <c r="ET53" s="300"/>
      <c r="EU53" s="300"/>
      <c r="EV53" s="300"/>
      <c r="EW53" s="300"/>
      <c r="EX53" s="300"/>
      <c r="EY53" s="300"/>
      <c r="EZ53" s="300"/>
      <c r="FA53" s="300"/>
      <c r="FB53" s="300"/>
      <c r="FC53" s="300"/>
      <c r="FD53" s="300"/>
      <c r="FE53" s="300"/>
      <c r="FF53" s="300"/>
    </row>
    <row r="54" spans="1:162">
      <c r="A54" s="300"/>
      <c r="B54" s="300"/>
      <c r="C54" s="300"/>
      <c r="D54" s="300"/>
      <c r="E54" s="300"/>
      <c r="F54" s="300"/>
      <c r="G54" s="300"/>
      <c r="H54" s="300"/>
      <c r="I54" s="300"/>
      <c r="J54" s="300"/>
      <c r="K54" s="300"/>
      <c r="L54" s="300"/>
      <c r="M54" s="300"/>
      <c r="N54" s="300"/>
      <c r="O54" s="300"/>
      <c r="P54" s="300"/>
      <c r="Q54" s="300"/>
      <c r="R54" s="300"/>
      <c r="S54" s="300"/>
      <c r="T54" s="300"/>
      <c r="U54" s="300"/>
      <c r="V54" s="300"/>
      <c r="W54" s="300"/>
      <c r="X54" s="300"/>
      <c r="Y54" s="300"/>
      <c r="Z54" s="300"/>
      <c r="AA54" s="300"/>
      <c r="AB54" s="300"/>
      <c r="AC54" s="300"/>
      <c r="AD54" s="300"/>
      <c r="AE54" s="300"/>
      <c r="AF54" s="300"/>
      <c r="AG54" s="300"/>
      <c r="AH54" s="300"/>
      <c r="AI54" s="300"/>
      <c r="AJ54" s="300"/>
      <c r="AK54" s="300"/>
      <c r="AL54" s="300"/>
      <c r="AM54" s="300"/>
      <c r="AN54" s="300"/>
      <c r="AO54" s="300"/>
      <c r="AP54" s="300"/>
      <c r="AQ54" s="300"/>
      <c r="AR54" s="300"/>
      <c r="AS54" s="300"/>
      <c r="AT54" s="300"/>
      <c r="AU54" s="300"/>
      <c r="AV54" s="300"/>
      <c r="AW54" s="300"/>
      <c r="AX54" s="300"/>
      <c r="AY54" s="300"/>
      <c r="AZ54" s="300"/>
      <c r="BA54" s="300"/>
      <c r="BB54" s="300"/>
      <c r="BC54" s="300"/>
      <c r="BD54" s="300"/>
      <c r="BE54" s="300"/>
      <c r="BF54" s="300"/>
      <c r="BG54" s="300"/>
      <c r="BH54" s="300"/>
      <c r="BI54" s="300"/>
      <c r="BJ54" s="300"/>
      <c r="BK54" s="300"/>
      <c r="BL54" s="300"/>
      <c r="BM54" s="300"/>
      <c r="BN54" s="300"/>
      <c r="BO54" s="300"/>
      <c r="BP54" s="300"/>
      <c r="BQ54" s="300"/>
      <c r="BR54" s="300"/>
      <c r="BS54" s="300"/>
      <c r="BT54" s="300"/>
      <c r="BU54" s="300"/>
      <c r="BV54" s="300"/>
      <c r="BW54" s="300"/>
      <c r="BX54" s="300"/>
      <c r="BY54" s="300"/>
      <c r="BZ54" s="300"/>
      <c r="CA54" s="300"/>
      <c r="CB54" s="300"/>
      <c r="CC54" s="300"/>
      <c r="CD54" s="300"/>
      <c r="CE54" s="300"/>
      <c r="CF54" s="300"/>
      <c r="CG54" s="300"/>
      <c r="CH54" s="300"/>
      <c r="CI54" s="300"/>
      <c r="CJ54" s="300"/>
      <c r="CK54" s="300"/>
      <c r="CL54" s="300"/>
      <c r="CM54" s="300"/>
      <c r="CN54" s="300"/>
      <c r="CO54" s="300"/>
      <c r="CP54" s="300"/>
      <c r="CQ54" s="300"/>
      <c r="CR54" s="300"/>
      <c r="CS54" s="300"/>
      <c r="CT54" s="300"/>
      <c r="CU54" s="300"/>
      <c r="CV54" s="300"/>
      <c r="CW54" s="300"/>
      <c r="CX54" s="300"/>
      <c r="CY54" s="300"/>
      <c r="CZ54" s="300"/>
      <c r="DA54" s="300"/>
      <c r="DB54" s="300"/>
      <c r="DC54" s="300"/>
      <c r="DD54" s="300"/>
      <c r="DE54" s="300"/>
      <c r="DF54" s="300"/>
      <c r="DG54" s="300"/>
      <c r="DH54" s="300"/>
      <c r="DI54" s="300"/>
      <c r="DJ54" s="300"/>
      <c r="DK54" s="300"/>
      <c r="DL54" s="300"/>
      <c r="DM54" s="300"/>
      <c r="DN54" s="300"/>
      <c r="DO54" s="300"/>
      <c r="DP54" s="300"/>
      <c r="DQ54" s="300"/>
      <c r="DR54" s="300"/>
      <c r="DS54" s="300"/>
      <c r="DT54" s="300"/>
      <c r="DU54" s="300"/>
      <c r="DV54" s="300"/>
      <c r="DW54" s="300"/>
      <c r="DX54" s="300"/>
      <c r="DY54" s="300"/>
      <c r="DZ54" s="300"/>
      <c r="EA54" s="300"/>
      <c r="EB54" s="300"/>
      <c r="EC54" s="300"/>
      <c r="ED54" s="300"/>
      <c r="EE54" s="300"/>
      <c r="EF54" s="300"/>
      <c r="EG54" s="300"/>
      <c r="EH54" s="300"/>
      <c r="EI54" s="300"/>
      <c r="EJ54" s="300"/>
      <c r="EK54" s="300"/>
      <c r="EL54" s="300"/>
      <c r="EM54" s="300"/>
      <c r="EN54" s="300"/>
      <c r="EO54" s="300"/>
      <c r="EP54" s="300"/>
      <c r="EQ54" s="300"/>
      <c r="ER54" s="300"/>
      <c r="ES54" s="300"/>
      <c r="ET54" s="300"/>
      <c r="EU54" s="300"/>
      <c r="EV54" s="300"/>
      <c r="EW54" s="300"/>
      <c r="EX54" s="300"/>
      <c r="EY54" s="300"/>
      <c r="EZ54" s="300"/>
      <c r="FA54" s="300"/>
      <c r="FB54" s="300"/>
      <c r="FC54" s="300"/>
      <c r="FD54" s="300"/>
      <c r="FE54" s="300"/>
      <c r="FF54" s="300"/>
    </row>
    <row r="55" spans="1:162">
      <c r="A55" s="300"/>
      <c r="B55" s="300"/>
      <c r="C55" s="300"/>
      <c r="D55" s="300"/>
      <c r="E55" s="300"/>
      <c r="F55" s="300"/>
      <c r="G55" s="300"/>
      <c r="H55" s="300"/>
      <c r="I55" s="300"/>
      <c r="J55" s="300"/>
      <c r="K55" s="300"/>
      <c r="L55" s="300"/>
      <c r="M55" s="300"/>
      <c r="N55" s="300"/>
      <c r="O55" s="300"/>
      <c r="P55" s="300"/>
      <c r="Q55" s="300"/>
      <c r="R55" s="300"/>
      <c r="S55" s="300"/>
      <c r="T55" s="300"/>
      <c r="U55" s="300"/>
      <c r="V55" s="300"/>
      <c r="W55" s="300"/>
      <c r="X55" s="300"/>
      <c r="Y55" s="300"/>
      <c r="Z55" s="300"/>
      <c r="AA55" s="300"/>
      <c r="AB55" s="300"/>
      <c r="AC55" s="300"/>
      <c r="AD55" s="300"/>
      <c r="AE55" s="300"/>
      <c r="AF55" s="300"/>
      <c r="AG55" s="300"/>
      <c r="AH55" s="300"/>
      <c r="AI55" s="300"/>
      <c r="AJ55" s="300"/>
      <c r="AK55" s="300"/>
      <c r="AL55" s="300"/>
      <c r="AM55" s="300"/>
      <c r="AN55" s="300"/>
      <c r="AO55" s="300"/>
      <c r="AP55" s="300"/>
      <c r="AQ55" s="300"/>
      <c r="AR55" s="300"/>
      <c r="AS55" s="300"/>
      <c r="AT55" s="300"/>
      <c r="AU55" s="300"/>
      <c r="AV55" s="300"/>
      <c r="AW55" s="300"/>
      <c r="AX55" s="300"/>
      <c r="AY55" s="300"/>
      <c r="AZ55" s="300"/>
      <c r="BA55" s="300"/>
      <c r="BB55" s="300"/>
      <c r="BC55" s="300"/>
      <c r="BD55" s="300"/>
      <c r="BE55" s="300"/>
      <c r="BF55" s="300"/>
      <c r="BG55" s="300"/>
      <c r="BH55" s="300"/>
      <c r="BI55" s="300"/>
      <c r="BJ55" s="300"/>
      <c r="BK55" s="300"/>
      <c r="BL55" s="300"/>
      <c r="BM55" s="300"/>
      <c r="BN55" s="300"/>
      <c r="BO55" s="300"/>
      <c r="BP55" s="300"/>
      <c r="BQ55" s="300"/>
      <c r="BR55" s="300"/>
      <c r="BS55" s="300"/>
      <c r="BT55" s="300"/>
      <c r="BU55" s="300"/>
      <c r="BV55" s="300"/>
      <c r="BW55" s="300"/>
      <c r="BX55" s="300"/>
      <c r="BY55" s="300"/>
      <c r="BZ55" s="300"/>
      <c r="CA55" s="300"/>
      <c r="CB55" s="300"/>
      <c r="CC55" s="300"/>
      <c r="CD55" s="300"/>
      <c r="CE55" s="300"/>
      <c r="CF55" s="300"/>
      <c r="CG55" s="300"/>
      <c r="CH55" s="300"/>
      <c r="CI55" s="300"/>
      <c r="CJ55" s="300"/>
      <c r="CK55" s="300"/>
      <c r="CL55" s="300"/>
      <c r="CM55" s="300"/>
      <c r="CN55" s="300"/>
      <c r="CO55" s="300"/>
      <c r="CP55" s="300"/>
      <c r="CQ55" s="300"/>
      <c r="CR55" s="300"/>
      <c r="CS55" s="300"/>
      <c r="CT55" s="300"/>
      <c r="CU55" s="300"/>
      <c r="CV55" s="300"/>
      <c r="CW55" s="300"/>
      <c r="CX55" s="300"/>
      <c r="CY55" s="300"/>
      <c r="CZ55" s="300"/>
      <c r="DA55" s="300"/>
      <c r="DB55" s="300"/>
      <c r="DC55" s="300"/>
      <c r="DD55" s="300"/>
      <c r="DE55" s="300"/>
      <c r="DF55" s="300"/>
      <c r="DG55" s="300"/>
      <c r="DH55" s="300"/>
      <c r="DI55" s="300"/>
      <c r="DJ55" s="300"/>
      <c r="DK55" s="300"/>
      <c r="DL55" s="300"/>
      <c r="DM55" s="300"/>
      <c r="DN55" s="300"/>
      <c r="DO55" s="300"/>
      <c r="DP55" s="300"/>
      <c r="DQ55" s="300"/>
      <c r="DR55" s="300"/>
      <c r="DS55" s="300"/>
      <c r="DT55" s="300"/>
      <c r="DU55" s="300"/>
      <c r="DV55" s="300"/>
      <c r="DW55" s="300"/>
      <c r="DX55" s="300"/>
      <c r="DY55" s="300"/>
      <c r="DZ55" s="300"/>
      <c r="EA55" s="300"/>
      <c r="EB55" s="300"/>
      <c r="EC55" s="300"/>
      <c r="ED55" s="300"/>
      <c r="EE55" s="300"/>
      <c r="EF55" s="300"/>
      <c r="EG55" s="300"/>
      <c r="EH55" s="300"/>
      <c r="EI55" s="300"/>
      <c r="EJ55" s="300"/>
      <c r="EK55" s="300"/>
      <c r="EL55" s="300"/>
      <c r="EM55" s="300"/>
      <c r="EN55" s="300"/>
      <c r="EO55" s="300"/>
      <c r="EP55" s="300"/>
      <c r="EQ55" s="300"/>
      <c r="ER55" s="300"/>
      <c r="ES55" s="300"/>
      <c r="ET55" s="300"/>
      <c r="EU55" s="300"/>
      <c r="EV55" s="300"/>
      <c r="EW55" s="300"/>
      <c r="EX55" s="300"/>
      <c r="EY55" s="300"/>
      <c r="EZ55" s="300"/>
      <c r="FA55" s="300"/>
      <c r="FB55" s="300"/>
      <c r="FC55" s="300"/>
      <c r="FD55" s="300"/>
      <c r="FE55" s="300"/>
      <c r="FF55" s="300"/>
    </row>
    <row r="56" spans="1:162">
      <c r="A56" s="300"/>
      <c r="B56" s="300"/>
      <c r="C56" s="300"/>
      <c r="D56" s="300"/>
      <c r="E56" s="300"/>
      <c r="F56" s="300"/>
      <c r="G56" s="300"/>
      <c r="H56" s="300"/>
      <c r="I56" s="300"/>
      <c r="J56" s="300"/>
      <c r="K56" s="300"/>
      <c r="L56" s="300"/>
      <c r="M56" s="300"/>
      <c r="N56" s="300"/>
      <c r="O56" s="300"/>
      <c r="P56" s="300"/>
      <c r="Q56" s="300"/>
      <c r="R56" s="300"/>
      <c r="S56" s="300"/>
      <c r="T56" s="300"/>
      <c r="U56" s="300"/>
      <c r="V56" s="300"/>
      <c r="W56" s="300"/>
      <c r="X56" s="300"/>
      <c r="Y56" s="300"/>
      <c r="Z56" s="300"/>
      <c r="AA56" s="300"/>
      <c r="AB56" s="300"/>
      <c r="AC56" s="300"/>
      <c r="AD56" s="300"/>
      <c r="AE56" s="300"/>
      <c r="AF56" s="300"/>
      <c r="AG56" s="300"/>
      <c r="AH56" s="300"/>
      <c r="AI56" s="300"/>
      <c r="AJ56" s="300"/>
      <c r="AK56" s="300"/>
      <c r="AL56" s="300"/>
      <c r="AM56" s="300"/>
      <c r="AN56" s="300"/>
      <c r="AO56" s="300"/>
      <c r="AP56" s="300"/>
      <c r="AQ56" s="300"/>
      <c r="AR56" s="300"/>
      <c r="AS56" s="300"/>
      <c r="AT56" s="300"/>
      <c r="AU56" s="300"/>
      <c r="AV56" s="300"/>
      <c r="AW56" s="300"/>
      <c r="AX56" s="300"/>
      <c r="AY56" s="300"/>
      <c r="AZ56" s="300"/>
      <c r="BA56" s="300"/>
      <c r="BB56" s="300"/>
      <c r="BC56" s="300"/>
      <c r="BD56" s="300"/>
      <c r="BE56" s="300"/>
      <c r="BF56" s="300"/>
      <c r="BG56" s="300"/>
      <c r="BH56" s="300"/>
      <c r="BI56" s="300"/>
      <c r="BJ56" s="300"/>
      <c r="BK56" s="300"/>
      <c r="BL56" s="300"/>
      <c r="BM56" s="300"/>
      <c r="BN56" s="300"/>
      <c r="BO56" s="300"/>
      <c r="BP56" s="300"/>
      <c r="BQ56" s="300"/>
      <c r="BR56" s="300"/>
      <c r="BS56" s="300"/>
      <c r="BT56" s="300"/>
      <c r="BU56" s="300"/>
      <c r="BV56" s="300"/>
      <c r="BW56" s="300"/>
      <c r="BX56" s="300"/>
      <c r="BY56" s="300"/>
      <c r="BZ56" s="300"/>
      <c r="CA56" s="300"/>
      <c r="CB56" s="300"/>
      <c r="CC56" s="300"/>
      <c r="CD56" s="300"/>
      <c r="CE56" s="300"/>
      <c r="CF56" s="300"/>
      <c r="CG56" s="300"/>
      <c r="CH56" s="300"/>
      <c r="CI56" s="300"/>
      <c r="CJ56" s="300"/>
      <c r="CK56" s="300"/>
      <c r="CL56" s="300"/>
      <c r="CM56" s="300"/>
      <c r="CN56" s="300"/>
      <c r="CO56" s="300"/>
      <c r="CP56" s="300"/>
      <c r="CQ56" s="300"/>
      <c r="CR56" s="300"/>
      <c r="CS56" s="300"/>
      <c r="CT56" s="300"/>
      <c r="CU56" s="300"/>
      <c r="CV56" s="300"/>
      <c r="CW56" s="300"/>
      <c r="CX56" s="300"/>
      <c r="CY56" s="300"/>
      <c r="CZ56" s="300"/>
      <c r="DA56" s="300"/>
      <c r="DB56" s="300"/>
      <c r="DC56" s="300"/>
      <c r="DD56" s="300"/>
      <c r="DE56" s="300"/>
      <c r="DF56" s="300"/>
      <c r="DG56" s="300"/>
      <c r="DH56" s="300"/>
      <c r="DI56" s="300"/>
      <c r="DJ56" s="300"/>
      <c r="DK56" s="300"/>
      <c r="DL56" s="300"/>
      <c r="DM56" s="300"/>
      <c r="DN56" s="300"/>
      <c r="DO56" s="300"/>
      <c r="DP56" s="300"/>
      <c r="DQ56" s="300"/>
      <c r="DR56" s="300"/>
      <c r="DS56" s="300"/>
      <c r="DT56" s="300"/>
      <c r="DU56" s="300"/>
      <c r="DV56" s="300"/>
      <c r="DW56" s="300"/>
      <c r="DX56" s="300"/>
      <c r="DY56" s="300"/>
      <c r="DZ56" s="300"/>
      <c r="EA56" s="300"/>
      <c r="EB56" s="300"/>
      <c r="EC56" s="300"/>
      <c r="ED56" s="300"/>
      <c r="EE56" s="300"/>
      <c r="EF56" s="300"/>
      <c r="EG56" s="300"/>
      <c r="EH56" s="300"/>
      <c r="EI56" s="300"/>
      <c r="EJ56" s="300"/>
      <c r="EK56" s="300"/>
      <c r="EL56" s="300"/>
      <c r="EM56" s="300"/>
      <c r="EN56" s="300"/>
      <c r="EO56" s="300"/>
      <c r="EP56" s="300"/>
      <c r="EQ56" s="300"/>
      <c r="ER56" s="300"/>
      <c r="ES56" s="300"/>
      <c r="ET56" s="300"/>
      <c r="EU56" s="300"/>
      <c r="EV56" s="300"/>
      <c r="EW56" s="300"/>
      <c r="EX56" s="300"/>
      <c r="EY56" s="300"/>
      <c r="EZ56" s="300"/>
      <c r="FA56" s="300"/>
      <c r="FB56" s="300"/>
      <c r="FC56" s="300"/>
      <c r="FD56" s="300"/>
      <c r="FE56" s="300"/>
      <c r="FF56" s="300"/>
    </row>
    <row r="57" spans="1:162">
      <c r="A57" s="300"/>
      <c r="B57" s="300"/>
      <c r="C57" s="300"/>
      <c r="D57" s="300"/>
      <c r="E57" s="300"/>
      <c r="F57" s="300"/>
      <c r="G57" s="300"/>
      <c r="H57" s="300"/>
      <c r="I57" s="300"/>
      <c r="J57" s="300"/>
      <c r="K57" s="300"/>
      <c r="L57" s="300"/>
      <c r="M57" s="300"/>
      <c r="N57" s="300"/>
      <c r="O57" s="300"/>
      <c r="P57" s="300"/>
      <c r="Q57" s="300"/>
      <c r="R57" s="300"/>
      <c r="S57" s="300"/>
      <c r="T57" s="300"/>
      <c r="U57" s="300"/>
      <c r="V57" s="300"/>
      <c r="W57" s="300"/>
      <c r="X57" s="300"/>
      <c r="Y57" s="300"/>
      <c r="Z57" s="300"/>
      <c r="AA57" s="300"/>
      <c r="AB57" s="300"/>
      <c r="AC57" s="300"/>
      <c r="AD57" s="300"/>
      <c r="AE57" s="300"/>
      <c r="AF57" s="300"/>
      <c r="AG57" s="300"/>
      <c r="AH57" s="300"/>
      <c r="AI57" s="300"/>
      <c r="AJ57" s="300"/>
      <c r="AK57" s="300"/>
      <c r="AL57" s="300"/>
      <c r="AM57" s="300"/>
      <c r="AN57" s="300"/>
      <c r="AO57" s="300"/>
      <c r="AP57" s="300"/>
      <c r="AQ57" s="300"/>
      <c r="AR57" s="300"/>
      <c r="AS57" s="300"/>
      <c r="AT57" s="300"/>
      <c r="AU57" s="300"/>
      <c r="AV57" s="300"/>
      <c r="AW57" s="300"/>
      <c r="AX57" s="300"/>
      <c r="AY57" s="300"/>
      <c r="AZ57" s="300"/>
      <c r="BA57" s="300"/>
      <c r="BB57" s="300"/>
      <c r="BC57" s="300"/>
      <c r="BD57" s="300"/>
      <c r="BE57" s="300"/>
      <c r="BF57" s="300"/>
      <c r="BG57" s="300"/>
      <c r="BH57" s="300"/>
      <c r="BI57" s="300"/>
      <c r="BJ57" s="300"/>
      <c r="BK57" s="300"/>
      <c r="BL57" s="300"/>
      <c r="BM57" s="300"/>
      <c r="BN57" s="300"/>
      <c r="BO57" s="300"/>
      <c r="BP57" s="300"/>
      <c r="BQ57" s="300"/>
      <c r="BR57" s="300"/>
      <c r="BS57" s="300"/>
      <c r="BT57" s="300"/>
      <c r="BU57" s="300"/>
      <c r="BV57" s="300"/>
      <c r="BW57" s="300"/>
      <c r="BX57" s="300"/>
      <c r="BY57" s="300"/>
      <c r="BZ57" s="300"/>
      <c r="CA57" s="300"/>
      <c r="CB57" s="300"/>
      <c r="CC57" s="300"/>
      <c r="CD57" s="300"/>
      <c r="CE57" s="300"/>
      <c r="CF57" s="300"/>
      <c r="CG57" s="300"/>
      <c r="CH57" s="300"/>
      <c r="CI57" s="300"/>
      <c r="CJ57" s="300"/>
      <c r="CK57" s="300"/>
      <c r="CL57" s="300"/>
      <c r="CM57" s="300"/>
      <c r="CN57" s="300"/>
      <c r="CO57" s="300"/>
      <c r="CP57" s="300"/>
      <c r="CQ57" s="300"/>
      <c r="CR57" s="300"/>
      <c r="CS57" s="300"/>
      <c r="CT57" s="300"/>
      <c r="CU57" s="300"/>
      <c r="CV57" s="300"/>
      <c r="CW57" s="300"/>
      <c r="CX57" s="300"/>
      <c r="CY57" s="300"/>
      <c r="CZ57" s="300"/>
      <c r="DA57" s="300"/>
      <c r="DB57" s="300"/>
      <c r="DC57" s="300"/>
      <c r="DD57" s="300"/>
      <c r="DE57" s="300"/>
      <c r="DF57" s="300"/>
      <c r="DG57" s="300"/>
      <c r="DH57" s="300"/>
      <c r="DI57" s="300"/>
      <c r="DJ57" s="300"/>
      <c r="DK57" s="300"/>
      <c r="DL57" s="300"/>
      <c r="DM57" s="300"/>
      <c r="DN57" s="300"/>
      <c r="DO57" s="300"/>
      <c r="DP57" s="300"/>
      <c r="DQ57" s="300"/>
      <c r="DR57" s="300"/>
      <c r="DS57" s="300"/>
      <c r="DT57" s="300"/>
      <c r="DU57" s="300"/>
      <c r="DV57" s="300"/>
      <c r="DW57" s="300"/>
      <c r="DX57" s="300"/>
      <c r="DY57" s="300"/>
      <c r="DZ57" s="300"/>
      <c r="EA57" s="300"/>
      <c r="EB57" s="300"/>
      <c r="EC57" s="300"/>
      <c r="ED57" s="300"/>
      <c r="EE57" s="300"/>
      <c r="EF57" s="300"/>
      <c r="EG57" s="300"/>
      <c r="EH57" s="300"/>
      <c r="EI57" s="300"/>
      <c r="EJ57" s="300"/>
      <c r="EK57" s="300"/>
      <c r="EL57" s="300"/>
      <c r="EM57" s="300"/>
      <c r="EN57" s="300"/>
      <c r="EO57" s="300"/>
      <c r="EP57" s="300"/>
      <c r="EQ57" s="300"/>
      <c r="ER57" s="300"/>
      <c r="ES57" s="300"/>
      <c r="ET57" s="300"/>
      <c r="EU57" s="300"/>
      <c r="EV57" s="300"/>
      <c r="EW57" s="300"/>
      <c r="EX57" s="300"/>
      <c r="EY57" s="300"/>
      <c r="EZ57" s="300"/>
      <c r="FA57" s="300"/>
      <c r="FB57" s="300"/>
      <c r="FC57" s="300"/>
      <c r="FD57" s="300"/>
      <c r="FE57" s="300"/>
      <c r="FF57" s="300"/>
    </row>
    <row r="58" spans="1:162">
      <c r="A58" s="300"/>
      <c r="B58" s="300"/>
      <c r="C58" s="300"/>
      <c r="D58" s="300"/>
      <c r="E58" s="300"/>
      <c r="F58" s="300"/>
      <c r="G58" s="300"/>
      <c r="H58" s="300"/>
      <c r="I58" s="300"/>
      <c r="J58" s="300"/>
      <c r="K58" s="300"/>
      <c r="L58" s="300"/>
      <c r="M58" s="300"/>
      <c r="N58" s="300"/>
      <c r="O58" s="300"/>
      <c r="P58" s="300"/>
      <c r="Q58" s="300"/>
      <c r="R58" s="300"/>
      <c r="S58" s="300"/>
      <c r="T58" s="300"/>
      <c r="U58" s="300"/>
      <c r="V58" s="300"/>
      <c r="W58" s="300"/>
      <c r="X58" s="300"/>
      <c r="Y58" s="300"/>
      <c r="Z58" s="300"/>
      <c r="AA58" s="300"/>
      <c r="AB58" s="300"/>
      <c r="AC58" s="300"/>
      <c r="AD58" s="300"/>
      <c r="AE58" s="300"/>
      <c r="AF58" s="300"/>
      <c r="AG58" s="300"/>
      <c r="AH58" s="300"/>
      <c r="AI58" s="300"/>
      <c r="AJ58" s="300"/>
      <c r="AK58" s="300"/>
      <c r="AL58" s="300"/>
      <c r="AM58" s="300"/>
      <c r="AN58" s="300"/>
      <c r="AO58" s="300"/>
      <c r="AP58" s="300"/>
      <c r="AQ58" s="300"/>
      <c r="AR58" s="300"/>
      <c r="AS58" s="300"/>
      <c r="AT58" s="300"/>
      <c r="AU58" s="300"/>
      <c r="AV58" s="300"/>
      <c r="AW58" s="300"/>
      <c r="AX58" s="300"/>
      <c r="AY58" s="300"/>
      <c r="AZ58" s="300"/>
      <c r="BA58" s="300"/>
      <c r="BB58" s="300"/>
      <c r="BC58" s="300"/>
      <c r="BD58" s="300"/>
      <c r="BE58" s="300"/>
      <c r="BF58" s="300"/>
      <c r="BG58" s="300"/>
      <c r="BH58" s="300"/>
      <c r="BI58" s="300"/>
      <c r="BJ58" s="300"/>
      <c r="BK58" s="300"/>
      <c r="BL58" s="300"/>
      <c r="BM58" s="300"/>
      <c r="BN58" s="300"/>
      <c r="BO58" s="300"/>
      <c r="BP58" s="300"/>
      <c r="BQ58" s="300"/>
      <c r="BR58" s="300"/>
      <c r="BS58" s="300"/>
      <c r="BT58" s="300"/>
      <c r="BU58" s="300"/>
      <c r="BV58" s="300"/>
      <c r="BW58" s="300"/>
      <c r="BX58" s="300"/>
      <c r="BY58" s="300"/>
      <c r="BZ58" s="300"/>
      <c r="CA58" s="300"/>
      <c r="CB58" s="300"/>
      <c r="CC58" s="300"/>
      <c r="CD58" s="300"/>
      <c r="CE58" s="300"/>
      <c r="CF58" s="300"/>
      <c r="CG58" s="300"/>
      <c r="CH58" s="300"/>
      <c r="CI58" s="300"/>
      <c r="CJ58" s="300"/>
      <c r="CK58" s="300"/>
      <c r="CL58" s="300"/>
      <c r="CM58" s="300"/>
      <c r="CN58" s="300"/>
      <c r="CO58" s="300"/>
      <c r="CP58" s="300"/>
      <c r="CQ58" s="300"/>
      <c r="CR58" s="300"/>
      <c r="CS58" s="300"/>
      <c r="CT58" s="300"/>
      <c r="CU58" s="300"/>
      <c r="CV58" s="300"/>
      <c r="CW58" s="300"/>
      <c r="CX58" s="300"/>
      <c r="CY58" s="300"/>
      <c r="CZ58" s="300"/>
      <c r="DA58" s="300"/>
      <c r="DB58" s="300"/>
      <c r="DC58" s="300"/>
      <c r="DD58" s="300"/>
      <c r="DE58" s="300"/>
      <c r="DF58" s="300"/>
      <c r="DG58" s="300"/>
      <c r="DH58" s="300"/>
      <c r="DI58" s="300"/>
      <c r="DJ58" s="300"/>
      <c r="DK58" s="300"/>
      <c r="DL58" s="300"/>
      <c r="DM58" s="300"/>
      <c r="DN58" s="300"/>
      <c r="DO58" s="300"/>
      <c r="DP58" s="300"/>
      <c r="DQ58" s="300"/>
      <c r="DR58" s="300"/>
      <c r="DS58" s="300"/>
      <c r="DT58" s="300"/>
      <c r="DU58" s="300"/>
      <c r="DV58" s="300"/>
      <c r="DW58" s="300"/>
      <c r="DX58" s="300"/>
      <c r="DY58" s="300"/>
      <c r="DZ58" s="300"/>
      <c r="EA58" s="300"/>
      <c r="EB58" s="300"/>
      <c r="EC58" s="300"/>
      <c r="ED58" s="300"/>
      <c r="EE58" s="300"/>
      <c r="EF58" s="300"/>
      <c r="EG58" s="300"/>
      <c r="EH58" s="300"/>
      <c r="EI58" s="300"/>
      <c r="EJ58" s="300"/>
      <c r="EK58" s="300"/>
      <c r="EL58" s="300"/>
      <c r="EM58" s="300"/>
      <c r="EN58" s="300"/>
      <c r="EO58" s="300"/>
      <c r="EP58" s="300"/>
      <c r="EQ58" s="300"/>
      <c r="ER58" s="300"/>
      <c r="ES58" s="300"/>
      <c r="ET58" s="300"/>
      <c r="EU58" s="300"/>
      <c r="EV58" s="300"/>
      <c r="EW58" s="300"/>
      <c r="EX58" s="300"/>
      <c r="EY58" s="300"/>
      <c r="EZ58" s="300"/>
      <c r="FA58" s="300"/>
      <c r="FB58" s="300"/>
      <c r="FC58" s="300"/>
      <c r="FD58" s="300"/>
      <c r="FE58" s="300"/>
      <c r="FF58" s="300"/>
    </row>
    <row r="59" spans="1:162">
      <c r="A59" s="300"/>
      <c r="B59" s="300"/>
      <c r="C59" s="300"/>
      <c r="D59" s="300"/>
      <c r="E59" s="300"/>
      <c r="F59" s="300"/>
      <c r="G59" s="300"/>
      <c r="H59" s="300"/>
      <c r="I59" s="300"/>
      <c r="J59" s="300"/>
      <c r="K59" s="300"/>
      <c r="L59" s="300"/>
      <c r="M59" s="300"/>
      <c r="N59" s="300"/>
      <c r="O59" s="300"/>
      <c r="P59" s="300"/>
      <c r="Q59" s="300"/>
      <c r="R59" s="300"/>
      <c r="S59" s="300"/>
      <c r="T59" s="300"/>
      <c r="U59" s="300"/>
      <c r="V59" s="300"/>
      <c r="W59" s="300"/>
      <c r="X59" s="300"/>
      <c r="Y59" s="300"/>
      <c r="Z59" s="300"/>
      <c r="AA59" s="300"/>
      <c r="AB59" s="300"/>
      <c r="AC59" s="300"/>
      <c r="AD59" s="300"/>
      <c r="AE59" s="300"/>
      <c r="AF59" s="300"/>
      <c r="AG59" s="300"/>
      <c r="AH59" s="300"/>
      <c r="AI59" s="300"/>
      <c r="AJ59" s="300"/>
      <c r="AK59" s="300"/>
      <c r="AL59" s="300"/>
      <c r="AM59" s="300"/>
      <c r="AN59" s="300"/>
      <c r="AO59" s="300"/>
      <c r="AP59" s="300"/>
      <c r="AQ59" s="300"/>
      <c r="AR59" s="300"/>
      <c r="AS59" s="300"/>
      <c r="AT59" s="300"/>
      <c r="AU59" s="300"/>
      <c r="AV59" s="300"/>
      <c r="AW59" s="300"/>
      <c r="AX59" s="300"/>
      <c r="AY59" s="300"/>
      <c r="AZ59" s="300"/>
      <c r="BA59" s="300"/>
      <c r="BB59" s="300"/>
      <c r="BC59" s="300"/>
      <c r="BD59" s="300"/>
      <c r="BE59" s="300"/>
      <c r="BF59" s="300"/>
      <c r="BG59" s="300"/>
      <c r="BH59" s="300"/>
      <c r="BI59" s="300"/>
      <c r="BJ59" s="300"/>
      <c r="BK59" s="300"/>
      <c r="BL59" s="300"/>
      <c r="BM59" s="300"/>
      <c r="BN59" s="300"/>
      <c r="BO59" s="300"/>
      <c r="BP59" s="300"/>
      <c r="BQ59" s="300"/>
      <c r="BR59" s="300"/>
      <c r="BS59" s="300"/>
      <c r="BT59" s="300"/>
      <c r="BU59" s="300"/>
      <c r="BV59" s="300"/>
      <c r="BW59" s="300"/>
      <c r="BX59" s="300"/>
      <c r="BY59" s="300"/>
      <c r="BZ59" s="300"/>
      <c r="CA59" s="300"/>
      <c r="CB59" s="300"/>
      <c r="CC59" s="300"/>
      <c r="CD59" s="300"/>
      <c r="CE59" s="300"/>
      <c r="CF59" s="300"/>
      <c r="CG59" s="300"/>
      <c r="CH59" s="300"/>
      <c r="CI59" s="300"/>
      <c r="CJ59" s="300"/>
      <c r="CK59" s="300"/>
      <c r="CL59" s="300"/>
      <c r="CM59" s="300"/>
      <c r="CN59" s="300"/>
      <c r="CO59" s="300"/>
      <c r="CP59" s="300"/>
      <c r="CQ59" s="300"/>
      <c r="CR59" s="300"/>
      <c r="CS59" s="300"/>
      <c r="CT59" s="300"/>
      <c r="CU59" s="300"/>
      <c r="CV59" s="300"/>
      <c r="CW59" s="300"/>
      <c r="CX59" s="300"/>
      <c r="CY59" s="300"/>
      <c r="CZ59" s="300"/>
      <c r="DA59" s="300"/>
      <c r="DB59" s="300"/>
      <c r="DC59" s="300"/>
      <c r="DD59" s="300"/>
      <c r="DE59" s="300"/>
      <c r="DF59" s="300"/>
      <c r="DG59" s="300"/>
      <c r="DH59" s="300"/>
      <c r="DI59" s="300"/>
      <c r="DJ59" s="300"/>
      <c r="DK59" s="300"/>
      <c r="DL59" s="300"/>
      <c r="DM59" s="300"/>
      <c r="DN59" s="300"/>
      <c r="DO59" s="300"/>
      <c r="DP59" s="300"/>
      <c r="DQ59" s="300"/>
      <c r="DR59" s="300"/>
      <c r="DS59" s="300"/>
      <c r="DT59" s="300"/>
      <c r="DU59" s="300"/>
      <c r="DV59" s="300"/>
      <c r="DW59" s="300"/>
      <c r="DX59" s="300"/>
      <c r="DY59" s="300"/>
      <c r="DZ59" s="300"/>
      <c r="EA59" s="300"/>
      <c r="EB59" s="300"/>
      <c r="EC59" s="300"/>
      <c r="ED59" s="300"/>
      <c r="EE59" s="300"/>
      <c r="EF59" s="300"/>
      <c r="EG59" s="300"/>
      <c r="EH59" s="300"/>
      <c r="EI59" s="300"/>
      <c r="EJ59" s="300"/>
      <c r="EK59" s="300"/>
      <c r="EL59" s="300"/>
      <c r="EM59" s="300"/>
      <c r="EN59" s="300"/>
      <c r="EO59" s="300"/>
      <c r="EP59" s="300"/>
      <c r="EQ59" s="300"/>
      <c r="ER59" s="300"/>
      <c r="ES59" s="300"/>
      <c r="ET59" s="300"/>
      <c r="EU59" s="300"/>
      <c r="EV59" s="300"/>
      <c r="EW59" s="300"/>
      <c r="EX59" s="300"/>
      <c r="EY59" s="300"/>
      <c r="EZ59" s="300"/>
      <c r="FA59" s="300"/>
      <c r="FB59" s="300"/>
      <c r="FC59" s="300"/>
      <c r="FD59" s="300"/>
      <c r="FE59" s="300"/>
      <c r="FF59" s="300"/>
    </row>
    <row r="60" spans="1:162">
      <c r="A60" s="300"/>
      <c r="B60" s="300"/>
      <c r="C60" s="300"/>
      <c r="D60" s="300"/>
      <c r="E60" s="300"/>
      <c r="F60" s="300"/>
      <c r="G60" s="300"/>
      <c r="H60" s="300"/>
      <c r="I60" s="300"/>
      <c r="J60" s="300"/>
      <c r="K60" s="300"/>
      <c r="L60" s="300"/>
      <c r="M60" s="300"/>
      <c r="N60" s="300"/>
      <c r="O60" s="300"/>
      <c r="P60" s="300"/>
      <c r="Q60" s="300"/>
      <c r="R60" s="300"/>
      <c r="S60" s="300"/>
      <c r="T60" s="300"/>
      <c r="U60" s="300"/>
      <c r="V60" s="300"/>
      <c r="W60" s="300"/>
      <c r="X60" s="300"/>
      <c r="Y60" s="300"/>
      <c r="Z60" s="300"/>
      <c r="AA60" s="300"/>
      <c r="AB60" s="300"/>
      <c r="AC60" s="300"/>
      <c r="AD60" s="300"/>
      <c r="AE60" s="300"/>
      <c r="AF60" s="300"/>
      <c r="AG60" s="300"/>
      <c r="AH60" s="300"/>
      <c r="AI60" s="300"/>
      <c r="AJ60" s="300"/>
      <c r="AK60" s="300"/>
      <c r="AL60" s="300"/>
      <c r="AM60" s="300"/>
      <c r="AN60" s="300"/>
      <c r="AO60" s="300"/>
      <c r="AP60" s="300"/>
      <c r="AQ60" s="300"/>
      <c r="AR60" s="300"/>
      <c r="AS60" s="300"/>
      <c r="AT60" s="300"/>
      <c r="AU60" s="300"/>
      <c r="AV60" s="300"/>
      <c r="AW60" s="300"/>
      <c r="AX60" s="300"/>
      <c r="AY60" s="300"/>
      <c r="AZ60" s="300"/>
      <c r="BA60" s="300"/>
      <c r="BB60" s="300"/>
      <c r="BC60" s="300"/>
      <c r="BD60" s="300"/>
      <c r="BE60" s="300"/>
      <c r="BF60" s="300"/>
      <c r="BG60" s="300"/>
      <c r="BH60" s="300"/>
      <c r="BI60" s="300"/>
      <c r="BJ60" s="300"/>
      <c r="BK60" s="300"/>
      <c r="BL60" s="300"/>
      <c r="BM60" s="300"/>
      <c r="BN60" s="300"/>
      <c r="BO60" s="300"/>
      <c r="BP60" s="300"/>
      <c r="BQ60" s="300"/>
      <c r="BR60" s="300"/>
      <c r="BS60" s="300"/>
      <c r="BT60" s="300"/>
      <c r="BU60" s="300"/>
      <c r="BV60" s="300"/>
      <c r="BW60" s="300"/>
      <c r="BX60" s="300"/>
      <c r="BY60" s="300"/>
      <c r="BZ60" s="300"/>
      <c r="CA60" s="300"/>
      <c r="CB60" s="300"/>
      <c r="CC60" s="300"/>
      <c r="CD60" s="300"/>
      <c r="CE60" s="300"/>
      <c r="CF60" s="300"/>
      <c r="CG60" s="300"/>
      <c r="CH60" s="300"/>
      <c r="CI60" s="300"/>
      <c r="CJ60" s="300"/>
      <c r="CK60" s="300"/>
      <c r="CL60" s="300"/>
      <c r="CM60" s="300"/>
      <c r="CN60" s="300"/>
      <c r="CO60" s="300"/>
      <c r="CP60" s="300"/>
      <c r="CQ60" s="300"/>
      <c r="CR60" s="300"/>
      <c r="CS60" s="300"/>
      <c r="CT60" s="300"/>
      <c r="CU60" s="300"/>
      <c r="CV60" s="300"/>
      <c r="CW60" s="300"/>
      <c r="CX60" s="300"/>
      <c r="CY60" s="300"/>
      <c r="CZ60" s="300"/>
      <c r="DA60" s="300"/>
      <c r="DB60" s="300"/>
      <c r="DC60" s="300"/>
      <c r="DD60" s="300"/>
      <c r="DE60" s="300"/>
      <c r="DF60" s="300"/>
      <c r="DG60" s="300"/>
      <c r="DH60" s="300"/>
      <c r="DI60" s="300"/>
      <c r="DJ60" s="300"/>
      <c r="DK60" s="300"/>
      <c r="DL60" s="300"/>
      <c r="DM60" s="300"/>
      <c r="DN60" s="300"/>
      <c r="DO60" s="300"/>
      <c r="DP60" s="300"/>
      <c r="DQ60" s="300"/>
      <c r="DR60" s="300"/>
      <c r="DS60" s="300"/>
      <c r="DT60" s="300"/>
      <c r="DU60" s="300"/>
      <c r="DV60" s="300"/>
      <c r="DW60" s="300"/>
      <c r="DX60" s="300"/>
      <c r="DY60" s="300"/>
      <c r="DZ60" s="300"/>
      <c r="EA60" s="300"/>
      <c r="EB60" s="300"/>
      <c r="EC60" s="300"/>
      <c r="ED60" s="300"/>
      <c r="EE60" s="300"/>
      <c r="EF60" s="300"/>
      <c r="EG60" s="300"/>
      <c r="EH60" s="300"/>
      <c r="EI60" s="300"/>
      <c r="EJ60" s="300"/>
      <c r="EK60" s="300"/>
      <c r="EL60" s="300"/>
      <c r="EM60" s="300"/>
      <c r="EN60" s="300"/>
      <c r="EO60" s="300"/>
      <c r="EP60" s="300"/>
      <c r="EQ60" s="300"/>
      <c r="ER60" s="300"/>
      <c r="ES60" s="300"/>
      <c r="ET60" s="300"/>
      <c r="EU60" s="300"/>
      <c r="EV60" s="300"/>
      <c r="EW60" s="300"/>
      <c r="EX60" s="300"/>
      <c r="EY60" s="300"/>
      <c r="EZ60" s="300"/>
      <c r="FA60" s="300"/>
      <c r="FB60" s="300"/>
      <c r="FC60" s="300"/>
      <c r="FD60" s="300"/>
      <c r="FE60" s="300"/>
      <c r="FF60" s="300"/>
    </row>
    <row r="61" spans="1:162">
      <c r="A61" s="300"/>
      <c r="B61" s="300"/>
      <c r="C61" s="300"/>
      <c r="D61" s="300"/>
      <c r="E61" s="300"/>
      <c r="F61" s="300"/>
      <c r="G61" s="300"/>
      <c r="H61" s="300"/>
      <c r="I61" s="300"/>
      <c r="J61" s="300"/>
      <c r="K61" s="300"/>
      <c r="L61" s="300"/>
      <c r="M61" s="300"/>
      <c r="N61" s="300"/>
      <c r="O61" s="300"/>
      <c r="P61" s="300"/>
      <c r="Q61" s="300"/>
      <c r="R61" s="300"/>
      <c r="S61" s="300"/>
      <c r="T61" s="300"/>
      <c r="U61" s="300"/>
      <c r="V61" s="300"/>
      <c r="W61" s="300"/>
      <c r="X61" s="300"/>
      <c r="Y61" s="300"/>
      <c r="Z61" s="300"/>
      <c r="AA61" s="300"/>
      <c r="AB61" s="300"/>
      <c r="AC61" s="300"/>
      <c r="AD61" s="300"/>
      <c r="AE61" s="300"/>
      <c r="AF61" s="300"/>
      <c r="AG61" s="300"/>
      <c r="AH61" s="300"/>
      <c r="AI61" s="300"/>
      <c r="AJ61" s="300"/>
      <c r="AK61" s="300"/>
      <c r="AL61" s="300"/>
      <c r="AM61" s="300"/>
      <c r="AN61" s="300"/>
      <c r="AO61" s="300"/>
      <c r="AP61" s="300"/>
      <c r="AQ61" s="300"/>
      <c r="AR61" s="300"/>
      <c r="AS61" s="300"/>
      <c r="AT61" s="300"/>
      <c r="AU61" s="300"/>
      <c r="AV61" s="300"/>
      <c r="AW61" s="300"/>
      <c r="AX61" s="300"/>
      <c r="AY61" s="300"/>
      <c r="AZ61" s="300"/>
      <c r="BA61" s="300"/>
      <c r="BB61" s="300"/>
      <c r="BC61" s="300"/>
      <c r="BD61" s="300"/>
      <c r="BE61" s="300"/>
      <c r="BF61" s="300"/>
      <c r="BG61" s="300"/>
      <c r="BH61" s="300"/>
      <c r="BI61" s="300"/>
      <c r="BJ61" s="300"/>
      <c r="BK61" s="300"/>
      <c r="BL61" s="300"/>
      <c r="BM61" s="300"/>
      <c r="BN61" s="300"/>
      <c r="BO61" s="300"/>
      <c r="BP61" s="300"/>
      <c r="BQ61" s="300"/>
      <c r="BR61" s="300"/>
      <c r="BS61" s="300"/>
      <c r="BT61" s="300"/>
      <c r="BU61" s="300"/>
      <c r="BV61" s="300"/>
      <c r="BW61" s="300"/>
      <c r="BX61" s="300"/>
      <c r="BY61" s="300"/>
      <c r="BZ61" s="300"/>
      <c r="CA61" s="300"/>
      <c r="CB61" s="300"/>
      <c r="CC61" s="300"/>
      <c r="CD61" s="300"/>
      <c r="CE61" s="300"/>
      <c r="CF61" s="300"/>
      <c r="CG61" s="300"/>
      <c r="CH61" s="300"/>
      <c r="CI61" s="300"/>
      <c r="CJ61" s="300"/>
      <c r="CK61" s="300"/>
      <c r="CL61" s="300"/>
      <c r="CM61" s="300"/>
      <c r="CN61" s="300"/>
      <c r="CO61" s="300"/>
      <c r="CP61" s="300"/>
      <c r="CQ61" s="300"/>
      <c r="CR61" s="300"/>
      <c r="CS61" s="300"/>
      <c r="CT61" s="300"/>
      <c r="CU61" s="300"/>
      <c r="CV61" s="300"/>
      <c r="CW61" s="300"/>
      <c r="CX61" s="300"/>
      <c r="CY61" s="300"/>
      <c r="CZ61" s="300"/>
      <c r="DA61" s="300"/>
      <c r="DB61" s="300"/>
      <c r="DC61" s="300"/>
      <c r="DD61" s="300"/>
      <c r="DE61" s="300"/>
      <c r="DF61" s="300"/>
      <c r="DG61" s="300"/>
      <c r="DH61" s="300"/>
      <c r="DI61" s="300"/>
      <c r="DJ61" s="300"/>
      <c r="DK61" s="300"/>
      <c r="DL61" s="300"/>
      <c r="DM61" s="300"/>
      <c r="DN61" s="300"/>
      <c r="DO61" s="300"/>
      <c r="DP61" s="300"/>
      <c r="DQ61" s="300"/>
      <c r="DR61" s="300"/>
      <c r="DS61" s="300"/>
      <c r="DT61" s="300"/>
      <c r="DU61" s="300"/>
      <c r="DV61" s="300"/>
      <c r="DW61" s="300"/>
      <c r="DX61" s="300"/>
      <c r="DY61" s="300"/>
      <c r="DZ61" s="300"/>
      <c r="EA61" s="300"/>
      <c r="EB61" s="300"/>
      <c r="EC61" s="300"/>
      <c r="ED61" s="300"/>
      <c r="EE61" s="300"/>
      <c r="EF61" s="300"/>
      <c r="EG61" s="300"/>
      <c r="EH61" s="300"/>
      <c r="EI61" s="300"/>
      <c r="EJ61" s="300"/>
      <c r="EK61" s="300"/>
      <c r="EL61" s="300"/>
      <c r="EM61" s="300"/>
      <c r="EN61" s="300"/>
      <c r="EO61" s="300"/>
      <c r="EP61" s="300"/>
      <c r="EQ61" s="300"/>
      <c r="ER61" s="300"/>
      <c r="ES61" s="300"/>
      <c r="ET61" s="300"/>
      <c r="EU61" s="300"/>
      <c r="EV61" s="300"/>
      <c r="EW61" s="300"/>
      <c r="EX61" s="300"/>
      <c r="EY61" s="300"/>
      <c r="EZ61" s="300"/>
      <c r="FA61" s="300"/>
      <c r="FB61" s="300"/>
      <c r="FC61" s="300"/>
      <c r="FD61" s="300"/>
      <c r="FE61" s="300"/>
      <c r="FF61" s="300"/>
    </row>
    <row r="62" spans="1:162">
      <c r="A62" s="300"/>
      <c r="B62" s="300"/>
      <c r="C62" s="300"/>
      <c r="D62" s="300"/>
      <c r="E62" s="300"/>
      <c r="F62" s="300"/>
      <c r="G62" s="300"/>
      <c r="H62" s="300"/>
      <c r="I62" s="300"/>
      <c r="J62" s="300"/>
      <c r="K62" s="300"/>
      <c r="L62" s="300"/>
      <c r="M62" s="300"/>
      <c r="N62" s="300"/>
      <c r="O62" s="300"/>
      <c r="P62" s="300"/>
      <c r="Q62" s="300"/>
      <c r="R62" s="300"/>
      <c r="S62" s="300"/>
      <c r="T62" s="300"/>
      <c r="U62" s="300"/>
      <c r="V62" s="300"/>
      <c r="W62" s="300"/>
      <c r="X62" s="300"/>
      <c r="Y62" s="300"/>
      <c r="Z62" s="300"/>
      <c r="AA62" s="300"/>
      <c r="AB62" s="300"/>
      <c r="AC62" s="300"/>
      <c r="AD62" s="300"/>
      <c r="AE62" s="300"/>
      <c r="AF62" s="300"/>
      <c r="AG62" s="300"/>
      <c r="AH62" s="300"/>
      <c r="AI62" s="300"/>
      <c r="AJ62" s="300"/>
      <c r="AK62" s="300"/>
      <c r="AL62" s="300"/>
      <c r="AM62" s="300"/>
      <c r="AN62" s="300"/>
      <c r="AO62" s="300"/>
      <c r="AP62" s="300"/>
      <c r="AQ62" s="300"/>
      <c r="AR62" s="300"/>
      <c r="AS62" s="300"/>
      <c r="AT62" s="300"/>
      <c r="AU62" s="300"/>
      <c r="AV62" s="300"/>
      <c r="AW62" s="300"/>
      <c r="AX62" s="300"/>
      <c r="AY62" s="300"/>
      <c r="AZ62" s="300"/>
      <c r="BA62" s="300"/>
      <c r="BB62" s="300"/>
      <c r="BC62" s="300"/>
      <c r="BD62" s="300"/>
      <c r="BE62" s="300"/>
      <c r="BF62" s="300"/>
      <c r="BG62" s="300"/>
      <c r="BH62" s="300"/>
      <c r="BI62" s="300"/>
      <c r="BJ62" s="300"/>
      <c r="BK62" s="300"/>
      <c r="BL62" s="300"/>
      <c r="BM62" s="300"/>
      <c r="BN62" s="300"/>
      <c r="BO62" s="300"/>
      <c r="BP62" s="300"/>
      <c r="BQ62" s="300"/>
      <c r="BR62" s="300"/>
      <c r="BS62" s="300"/>
      <c r="BT62" s="300"/>
      <c r="BU62" s="300"/>
      <c r="BV62" s="300"/>
      <c r="BW62" s="300"/>
      <c r="BX62" s="300"/>
      <c r="BY62" s="300"/>
      <c r="BZ62" s="300"/>
      <c r="CA62" s="300"/>
      <c r="CB62" s="300"/>
      <c r="CC62" s="300"/>
      <c r="CD62" s="300"/>
      <c r="CE62" s="300"/>
      <c r="CF62" s="300"/>
      <c r="CG62" s="300"/>
      <c r="CH62" s="300"/>
      <c r="CI62" s="300"/>
      <c r="CJ62" s="300"/>
      <c r="CK62" s="300"/>
      <c r="CL62" s="300"/>
      <c r="CM62" s="300"/>
      <c r="CN62" s="300"/>
      <c r="CO62" s="300"/>
      <c r="CP62" s="300"/>
      <c r="CQ62" s="300"/>
      <c r="CR62" s="300"/>
      <c r="CS62" s="300"/>
      <c r="CT62" s="300"/>
      <c r="CU62" s="300"/>
      <c r="CV62" s="300"/>
      <c r="CW62" s="300"/>
      <c r="CX62" s="300"/>
      <c r="CY62" s="300"/>
      <c r="CZ62" s="300"/>
      <c r="DA62" s="300"/>
      <c r="DB62" s="300"/>
      <c r="DC62" s="300"/>
      <c r="DD62" s="300"/>
      <c r="DE62" s="300"/>
      <c r="DF62" s="300"/>
      <c r="DG62" s="300"/>
      <c r="DH62" s="300"/>
      <c r="DI62" s="300"/>
      <c r="DJ62" s="300"/>
      <c r="DK62" s="300"/>
      <c r="DL62" s="300"/>
      <c r="DM62" s="300"/>
      <c r="DN62" s="300"/>
      <c r="DO62" s="300"/>
      <c r="DP62" s="300"/>
      <c r="DQ62" s="300"/>
      <c r="DR62" s="300"/>
      <c r="DS62" s="300"/>
      <c r="DT62" s="300"/>
      <c r="DU62" s="300"/>
      <c r="DV62" s="300"/>
      <c r="DW62" s="300"/>
      <c r="DX62" s="300"/>
      <c r="DY62" s="300"/>
      <c r="DZ62" s="300"/>
      <c r="EA62" s="300"/>
      <c r="EB62" s="300"/>
      <c r="EC62" s="300"/>
      <c r="ED62" s="300"/>
      <c r="EE62" s="300"/>
      <c r="EF62" s="300"/>
      <c r="EG62" s="300"/>
      <c r="EH62" s="300"/>
      <c r="EI62" s="300"/>
      <c r="EJ62" s="300"/>
      <c r="EK62" s="300"/>
      <c r="EL62" s="300"/>
      <c r="EM62" s="300"/>
      <c r="EN62" s="300"/>
      <c r="EO62" s="300"/>
      <c r="EP62" s="300"/>
      <c r="EQ62" s="300"/>
      <c r="ER62" s="300"/>
      <c r="ES62" s="300"/>
      <c r="ET62" s="300"/>
      <c r="EU62" s="300"/>
      <c r="EV62" s="300"/>
      <c r="EW62" s="300"/>
      <c r="EX62" s="300"/>
      <c r="EY62" s="300"/>
      <c r="EZ62" s="300"/>
      <c r="FA62" s="300"/>
      <c r="FB62" s="300"/>
      <c r="FC62" s="300"/>
      <c r="FD62" s="300"/>
      <c r="FE62" s="300"/>
      <c r="FF62" s="300"/>
    </row>
    <row r="63" spans="1:162">
      <c r="A63" s="300"/>
      <c r="B63" s="300"/>
      <c r="C63" s="300"/>
      <c r="D63" s="300"/>
      <c r="E63" s="300"/>
      <c r="F63" s="300"/>
      <c r="G63" s="300"/>
      <c r="H63" s="300"/>
      <c r="I63" s="300"/>
      <c r="J63" s="300"/>
      <c r="K63" s="300"/>
      <c r="L63" s="300"/>
      <c r="M63" s="300"/>
      <c r="N63" s="300"/>
      <c r="O63" s="300"/>
      <c r="P63" s="300"/>
      <c r="Q63" s="300"/>
      <c r="R63" s="300"/>
      <c r="S63" s="300"/>
      <c r="T63" s="300"/>
      <c r="U63" s="300"/>
      <c r="V63" s="300"/>
      <c r="W63" s="300"/>
      <c r="X63" s="300"/>
      <c r="Y63" s="300"/>
      <c r="Z63" s="300"/>
      <c r="AA63" s="300"/>
      <c r="AB63" s="300"/>
      <c r="AC63" s="300"/>
      <c r="AD63" s="300"/>
      <c r="AE63" s="300"/>
      <c r="AF63" s="300"/>
      <c r="AG63" s="300"/>
      <c r="AH63" s="300"/>
      <c r="AI63" s="300"/>
      <c r="AJ63" s="300"/>
      <c r="AK63" s="300"/>
      <c r="AL63" s="300"/>
      <c r="AM63" s="300"/>
      <c r="AN63" s="300"/>
      <c r="AO63" s="300"/>
      <c r="AP63" s="300"/>
      <c r="AQ63" s="300"/>
      <c r="AR63" s="300"/>
      <c r="AS63" s="300"/>
      <c r="AT63" s="300"/>
      <c r="AU63" s="300"/>
      <c r="AV63" s="300"/>
      <c r="AW63" s="300"/>
      <c r="AX63" s="300"/>
      <c r="AY63" s="300"/>
      <c r="AZ63" s="300"/>
      <c r="BA63" s="300"/>
      <c r="BB63" s="300"/>
      <c r="BC63" s="300"/>
      <c r="BD63" s="300"/>
      <c r="BE63" s="300"/>
      <c r="BF63" s="300"/>
      <c r="BG63" s="300"/>
      <c r="BH63" s="300"/>
      <c r="BI63" s="300"/>
      <c r="BJ63" s="300"/>
      <c r="BK63" s="300"/>
      <c r="BL63" s="300"/>
      <c r="BM63" s="300"/>
      <c r="BN63" s="300"/>
      <c r="BO63" s="300"/>
      <c r="BP63" s="300"/>
      <c r="BQ63" s="300"/>
      <c r="BR63" s="300"/>
      <c r="BS63" s="300"/>
      <c r="BT63" s="300"/>
      <c r="BU63" s="300"/>
      <c r="BV63" s="300"/>
      <c r="BW63" s="300"/>
      <c r="BX63" s="300"/>
      <c r="BY63" s="300"/>
      <c r="BZ63" s="300"/>
      <c r="CA63" s="300"/>
      <c r="CB63" s="300"/>
      <c r="CC63" s="300"/>
      <c r="CD63" s="300"/>
      <c r="CE63" s="300"/>
      <c r="CF63" s="300"/>
      <c r="CG63" s="300"/>
      <c r="CH63" s="300"/>
      <c r="CI63" s="300"/>
      <c r="CJ63" s="300"/>
      <c r="CK63" s="300"/>
      <c r="CL63" s="300"/>
      <c r="CM63" s="300"/>
      <c r="CN63" s="300"/>
      <c r="CO63" s="300"/>
      <c r="CP63" s="300"/>
      <c r="CQ63" s="300"/>
      <c r="CR63" s="300"/>
      <c r="CS63" s="300"/>
      <c r="CT63" s="300"/>
      <c r="CU63" s="300"/>
      <c r="CV63" s="300"/>
      <c r="CW63" s="300"/>
      <c r="CX63" s="300"/>
      <c r="CY63" s="300"/>
      <c r="CZ63" s="300"/>
      <c r="DA63" s="300"/>
      <c r="DB63" s="300"/>
      <c r="DC63" s="300"/>
      <c r="DD63" s="300"/>
      <c r="DE63" s="300"/>
      <c r="DF63" s="300"/>
      <c r="DG63" s="300"/>
      <c r="DH63" s="300"/>
      <c r="DI63" s="300"/>
      <c r="DJ63" s="300"/>
      <c r="DK63" s="300"/>
      <c r="DL63" s="300"/>
      <c r="DM63" s="300"/>
      <c r="DN63" s="300"/>
      <c r="DO63" s="300"/>
      <c r="DP63" s="300"/>
      <c r="DQ63" s="300"/>
      <c r="DR63" s="300"/>
      <c r="DS63" s="300"/>
      <c r="DT63" s="300"/>
      <c r="DU63" s="300"/>
      <c r="DV63" s="300"/>
      <c r="DW63" s="300"/>
      <c r="DX63" s="300"/>
      <c r="DY63" s="300"/>
      <c r="DZ63" s="300"/>
      <c r="EA63" s="300"/>
      <c r="EB63" s="300"/>
      <c r="EC63" s="300"/>
      <c r="ED63" s="300"/>
      <c r="EE63" s="300"/>
      <c r="EF63" s="300"/>
      <c r="EG63" s="300"/>
      <c r="EH63" s="300"/>
      <c r="EI63" s="300"/>
      <c r="EJ63" s="300"/>
      <c r="EK63" s="300"/>
      <c r="EL63" s="300"/>
      <c r="EM63" s="300"/>
      <c r="EN63" s="300"/>
      <c r="EO63" s="300"/>
      <c r="EP63" s="300"/>
      <c r="EQ63" s="300"/>
      <c r="ER63" s="300"/>
      <c r="ES63" s="300"/>
      <c r="ET63" s="300"/>
      <c r="EU63" s="300"/>
      <c r="EV63" s="300"/>
      <c r="EW63" s="300"/>
      <c r="EX63" s="300"/>
      <c r="EY63" s="300"/>
      <c r="EZ63" s="300"/>
      <c r="FA63" s="300"/>
      <c r="FB63" s="300"/>
      <c r="FC63" s="300"/>
      <c r="FD63" s="300"/>
      <c r="FE63" s="300"/>
      <c r="FF63" s="300"/>
    </row>
    <row r="64" spans="1:162">
      <c r="A64" s="300"/>
      <c r="B64" s="300"/>
      <c r="C64" s="300"/>
      <c r="D64" s="300"/>
      <c r="E64" s="300"/>
      <c r="F64" s="300"/>
      <c r="G64" s="300"/>
      <c r="H64" s="300"/>
      <c r="I64" s="300"/>
      <c r="J64" s="300"/>
      <c r="K64" s="300"/>
      <c r="L64" s="300"/>
      <c r="M64" s="300"/>
      <c r="N64" s="300"/>
      <c r="O64" s="300"/>
      <c r="P64" s="300"/>
      <c r="Q64" s="300"/>
      <c r="R64" s="300"/>
      <c r="S64" s="300"/>
      <c r="T64" s="300"/>
      <c r="U64" s="300"/>
      <c r="V64" s="300"/>
      <c r="W64" s="300"/>
      <c r="X64" s="300"/>
      <c r="Y64" s="300"/>
      <c r="Z64" s="300"/>
      <c r="AA64" s="300"/>
      <c r="AB64" s="300"/>
      <c r="AC64" s="300"/>
      <c r="AD64" s="300"/>
      <c r="AE64" s="300"/>
      <c r="AF64" s="300"/>
      <c r="AG64" s="300"/>
      <c r="AH64" s="300"/>
      <c r="AI64" s="300"/>
      <c r="AJ64" s="300"/>
      <c r="AK64" s="300"/>
      <c r="AL64" s="300"/>
      <c r="AM64" s="300"/>
      <c r="AN64" s="300"/>
      <c r="AO64" s="300"/>
      <c r="AP64" s="300"/>
      <c r="AQ64" s="300"/>
      <c r="AR64" s="300"/>
      <c r="AS64" s="300"/>
      <c r="AT64" s="300"/>
      <c r="AU64" s="300"/>
      <c r="AV64" s="300"/>
      <c r="AW64" s="300"/>
      <c r="AX64" s="300"/>
      <c r="AY64" s="300"/>
      <c r="AZ64" s="300"/>
      <c r="BA64" s="300"/>
      <c r="BB64" s="300"/>
      <c r="BC64" s="300"/>
      <c r="BD64" s="300"/>
      <c r="BE64" s="300"/>
      <c r="BF64" s="300"/>
      <c r="BG64" s="300"/>
      <c r="BH64" s="300"/>
      <c r="BI64" s="300"/>
      <c r="BJ64" s="300"/>
      <c r="BK64" s="300"/>
      <c r="BL64" s="300"/>
      <c r="BM64" s="300"/>
      <c r="BN64" s="300"/>
      <c r="BO64" s="300"/>
      <c r="BP64" s="300"/>
      <c r="BQ64" s="300"/>
      <c r="BR64" s="300"/>
      <c r="BS64" s="300"/>
      <c r="BT64" s="300"/>
      <c r="BU64" s="300"/>
      <c r="BV64" s="300"/>
      <c r="BW64" s="300"/>
      <c r="BX64" s="300"/>
      <c r="BY64" s="300"/>
      <c r="BZ64" s="300"/>
      <c r="CA64" s="300"/>
      <c r="CB64" s="300"/>
      <c r="CC64" s="300"/>
      <c r="CD64" s="300"/>
      <c r="CE64" s="300"/>
      <c r="CF64" s="300"/>
      <c r="CG64" s="300"/>
      <c r="CH64" s="300"/>
      <c r="CI64" s="300"/>
      <c r="CJ64" s="300"/>
      <c r="CK64" s="300"/>
      <c r="CL64" s="300"/>
      <c r="CM64" s="300"/>
      <c r="CN64" s="300"/>
      <c r="CO64" s="300"/>
      <c r="CP64" s="300"/>
      <c r="CQ64" s="300"/>
      <c r="CR64" s="300"/>
      <c r="CS64" s="300"/>
      <c r="CT64" s="300"/>
      <c r="CU64" s="300"/>
      <c r="CV64" s="300"/>
      <c r="CW64" s="300"/>
      <c r="CX64" s="300"/>
      <c r="CY64" s="300"/>
      <c r="CZ64" s="300"/>
      <c r="DA64" s="300"/>
      <c r="DB64" s="300"/>
      <c r="DC64" s="300"/>
      <c r="DD64" s="300"/>
      <c r="DE64" s="300"/>
      <c r="DF64" s="300"/>
      <c r="DG64" s="300"/>
      <c r="DH64" s="300"/>
      <c r="DI64" s="300"/>
      <c r="DJ64" s="300"/>
      <c r="DK64" s="300"/>
      <c r="DL64" s="300"/>
      <c r="DM64" s="300"/>
      <c r="DN64" s="300"/>
      <c r="DO64" s="300"/>
      <c r="DP64" s="300"/>
      <c r="DQ64" s="300"/>
      <c r="DR64" s="300"/>
      <c r="DS64" s="300"/>
      <c r="DT64" s="300"/>
      <c r="DU64" s="300"/>
      <c r="DV64" s="300"/>
      <c r="DW64" s="300"/>
      <c r="DX64" s="300"/>
      <c r="DY64" s="300"/>
      <c r="DZ64" s="300"/>
      <c r="EA64" s="300"/>
      <c r="EB64" s="300"/>
      <c r="EC64" s="300"/>
      <c r="ED64" s="300"/>
      <c r="EE64" s="300"/>
      <c r="EF64" s="300"/>
      <c r="EG64" s="300"/>
      <c r="EH64" s="300"/>
      <c r="EI64" s="300"/>
      <c r="EJ64" s="300"/>
      <c r="EK64" s="300"/>
      <c r="EL64" s="300"/>
      <c r="EM64" s="300"/>
      <c r="EN64" s="300"/>
      <c r="EO64" s="300"/>
      <c r="EP64" s="300"/>
      <c r="EQ64" s="300"/>
      <c r="ER64" s="300"/>
      <c r="ES64" s="300"/>
      <c r="ET64" s="300"/>
      <c r="EU64" s="300"/>
      <c r="EV64" s="300"/>
      <c r="EW64" s="300"/>
      <c r="EX64" s="300"/>
      <c r="EY64" s="300"/>
      <c r="EZ64" s="300"/>
      <c r="FA64" s="300"/>
      <c r="FB64" s="300"/>
      <c r="FC64" s="300"/>
      <c r="FD64" s="300"/>
      <c r="FE64" s="300"/>
      <c r="FF64" s="300"/>
    </row>
    <row r="65" spans="1:162">
      <c r="A65" s="300"/>
      <c r="B65" s="300"/>
      <c r="C65" s="300"/>
      <c r="D65" s="300"/>
      <c r="E65" s="300"/>
      <c r="F65" s="300"/>
      <c r="G65" s="300"/>
      <c r="H65" s="300"/>
      <c r="I65" s="300"/>
      <c r="J65" s="300"/>
      <c r="K65" s="300"/>
      <c r="L65" s="300"/>
      <c r="M65" s="300"/>
      <c r="N65" s="300"/>
      <c r="O65" s="300"/>
      <c r="P65" s="300"/>
      <c r="Q65" s="300"/>
      <c r="R65" s="300"/>
      <c r="S65" s="300"/>
      <c r="T65" s="300"/>
      <c r="U65" s="300"/>
      <c r="V65" s="300"/>
      <c r="W65" s="300"/>
      <c r="X65" s="300"/>
      <c r="Y65" s="300"/>
      <c r="Z65" s="300"/>
      <c r="AA65" s="300"/>
      <c r="AB65" s="300"/>
      <c r="AC65" s="300"/>
      <c r="AD65" s="300"/>
      <c r="AE65" s="300"/>
      <c r="AF65" s="300"/>
      <c r="AG65" s="300"/>
      <c r="AH65" s="300"/>
      <c r="AI65" s="300"/>
      <c r="AJ65" s="300"/>
      <c r="AK65" s="300"/>
      <c r="AL65" s="300"/>
      <c r="AM65" s="300"/>
      <c r="AN65" s="300"/>
      <c r="AO65" s="300"/>
      <c r="AP65" s="300"/>
      <c r="AQ65" s="300"/>
      <c r="AR65" s="300"/>
      <c r="AS65" s="300"/>
      <c r="AT65" s="300"/>
      <c r="AU65" s="300"/>
      <c r="AV65" s="300"/>
      <c r="AW65" s="300"/>
      <c r="AX65" s="300"/>
      <c r="AY65" s="300"/>
      <c r="AZ65" s="300"/>
      <c r="BA65" s="300"/>
      <c r="BB65" s="300"/>
      <c r="BC65" s="300"/>
      <c r="BD65" s="300"/>
      <c r="BE65" s="300"/>
      <c r="BF65" s="300"/>
      <c r="BG65" s="300"/>
      <c r="BH65" s="300"/>
      <c r="BI65" s="300"/>
      <c r="BJ65" s="300"/>
      <c r="BK65" s="300"/>
      <c r="BL65" s="300"/>
      <c r="BM65" s="300"/>
      <c r="BN65" s="300"/>
      <c r="BO65" s="300"/>
      <c r="BP65" s="300"/>
      <c r="BQ65" s="300"/>
      <c r="BR65" s="300"/>
      <c r="BS65" s="300"/>
      <c r="BT65" s="300"/>
      <c r="BU65" s="300"/>
      <c r="BV65" s="300"/>
      <c r="BW65" s="300"/>
      <c r="BX65" s="300"/>
      <c r="BY65" s="300"/>
      <c r="BZ65" s="300"/>
      <c r="CA65" s="300"/>
      <c r="CB65" s="300"/>
      <c r="CC65" s="300"/>
      <c r="CD65" s="300"/>
      <c r="CE65" s="300"/>
      <c r="CF65" s="300"/>
      <c r="CG65" s="300"/>
      <c r="CH65" s="300"/>
      <c r="CI65" s="300"/>
      <c r="CJ65" s="300"/>
      <c r="CK65" s="300"/>
      <c r="CL65" s="300"/>
      <c r="CM65" s="300"/>
      <c r="CN65" s="300"/>
      <c r="CO65" s="300"/>
      <c r="CP65" s="300"/>
      <c r="CQ65" s="300"/>
      <c r="CR65" s="300"/>
      <c r="CS65" s="300"/>
      <c r="CT65" s="300"/>
      <c r="CU65" s="300"/>
      <c r="CV65" s="300"/>
      <c r="CW65" s="300"/>
      <c r="CX65" s="300"/>
      <c r="CY65" s="300"/>
      <c r="CZ65" s="300"/>
      <c r="DA65" s="300"/>
      <c r="DB65" s="300"/>
      <c r="DC65" s="300"/>
      <c r="DD65" s="300"/>
      <c r="DE65" s="300"/>
      <c r="DF65" s="300"/>
      <c r="DG65" s="300"/>
      <c r="DH65" s="300"/>
      <c r="DI65" s="300"/>
      <c r="DJ65" s="300"/>
      <c r="DK65" s="300"/>
      <c r="DL65" s="300"/>
      <c r="DM65" s="300"/>
      <c r="DN65" s="300"/>
      <c r="DO65" s="300"/>
      <c r="DP65" s="300"/>
      <c r="DQ65" s="300"/>
      <c r="DR65" s="300"/>
      <c r="DS65" s="300"/>
      <c r="DT65" s="300"/>
      <c r="DU65" s="300"/>
      <c r="DV65" s="300"/>
      <c r="DW65" s="300"/>
      <c r="DX65" s="300"/>
      <c r="DY65" s="300"/>
      <c r="DZ65" s="300"/>
      <c r="EA65" s="300"/>
      <c r="EB65" s="300"/>
      <c r="EC65" s="300"/>
      <c r="ED65" s="300"/>
      <c r="EE65" s="300"/>
      <c r="EF65" s="300"/>
      <c r="EG65" s="300"/>
      <c r="EH65" s="300"/>
      <c r="EI65" s="300"/>
      <c r="EJ65" s="300"/>
      <c r="EK65" s="300"/>
      <c r="EL65" s="300"/>
      <c r="EM65" s="300"/>
      <c r="EN65" s="300"/>
      <c r="EO65" s="300"/>
      <c r="EP65" s="300"/>
      <c r="EQ65" s="300"/>
      <c r="ER65" s="300"/>
      <c r="ES65" s="300"/>
      <c r="ET65" s="300"/>
      <c r="EU65" s="300"/>
      <c r="EV65" s="300"/>
      <c r="EW65" s="300"/>
      <c r="EX65" s="300"/>
      <c r="EY65" s="300"/>
      <c r="EZ65" s="300"/>
      <c r="FA65" s="300"/>
      <c r="FB65" s="300"/>
      <c r="FC65" s="300"/>
      <c r="FD65" s="300"/>
      <c r="FE65" s="300"/>
      <c r="FF65" s="300"/>
    </row>
    <row r="66" spans="1:162">
      <c r="A66" s="300"/>
      <c r="B66" s="300"/>
      <c r="C66" s="300"/>
      <c r="D66" s="300"/>
      <c r="E66" s="300"/>
      <c r="F66" s="300"/>
      <c r="G66" s="300"/>
      <c r="H66" s="300"/>
      <c r="I66" s="300"/>
      <c r="J66" s="300"/>
      <c r="K66" s="300"/>
      <c r="L66" s="300"/>
      <c r="M66" s="300"/>
      <c r="N66" s="300"/>
      <c r="O66" s="300"/>
      <c r="P66" s="300"/>
      <c r="Q66" s="300"/>
      <c r="R66" s="300"/>
      <c r="S66" s="300"/>
      <c r="T66" s="300"/>
      <c r="U66" s="300"/>
      <c r="V66" s="300"/>
      <c r="W66" s="300"/>
      <c r="X66" s="300"/>
      <c r="Y66" s="300"/>
      <c r="Z66" s="300"/>
      <c r="AA66" s="300"/>
      <c r="AB66" s="300"/>
      <c r="AC66" s="300"/>
      <c r="AD66" s="300"/>
      <c r="AE66" s="300"/>
      <c r="AF66" s="300"/>
      <c r="AG66" s="300"/>
      <c r="AH66" s="300"/>
      <c r="AI66" s="300"/>
      <c r="AJ66" s="300"/>
      <c r="AK66" s="300"/>
      <c r="AL66" s="300"/>
      <c r="AM66" s="300"/>
      <c r="AN66" s="300"/>
      <c r="AO66" s="300"/>
      <c r="AP66" s="300"/>
      <c r="AQ66" s="300"/>
      <c r="AR66" s="300"/>
      <c r="AS66" s="300"/>
      <c r="AT66" s="300"/>
      <c r="AU66" s="300"/>
      <c r="AV66" s="300"/>
      <c r="AW66" s="300"/>
      <c r="AX66" s="300"/>
      <c r="AY66" s="300"/>
      <c r="AZ66" s="300"/>
      <c r="BA66" s="300"/>
      <c r="BB66" s="300"/>
      <c r="BC66" s="300"/>
      <c r="BD66" s="300"/>
      <c r="BE66" s="300"/>
      <c r="BF66" s="300"/>
      <c r="BG66" s="300"/>
      <c r="BH66" s="300"/>
      <c r="BI66" s="300"/>
      <c r="BJ66" s="300"/>
      <c r="BK66" s="300"/>
      <c r="BL66" s="300"/>
      <c r="BM66" s="300"/>
      <c r="BN66" s="300"/>
      <c r="BO66" s="300"/>
      <c r="BP66" s="300"/>
      <c r="BQ66" s="300"/>
      <c r="BR66" s="300"/>
      <c r="BS66" s="300"/>
      <c r="BT66" s="300"/>
      <c r="BU66" s="300"/>
      <c r="BV66" s="300"/>
      <c r="BW66" s="300"/>
      <c r="BX66" s="300"/>
      <c r="BY66" s="300"/>
      <c r="BZ66" s="300"/>
      <c r="CA66" s="300"/>
      <c r="CB66" s="300"/>
      <c r="CC66" s="300"/>
      <c r="CD66" s="300"/>
      <c r="CE66" s="300"/>
      <c r="CF66" s="300"/>
      <c r="CG66" s="300"/>
      <c r="CH66" s="300"/>
      <c r="CI66" s="300"/>
      <c r="CJ66" s="300"/>
      <c r="CK66" s="300"/>
      <c r="CL66" s="300"/>
      <c r="CM66" s="300"/>
      <c r="CN66" s="300"/>
      <c r="CO66" s="300"/>
      <c r="CP66" s="300"/>
      <c r="CQ66" s="300"/>
      <c r="CR66" s="300"/>
      <c r="CS66" s="300"/>
      <c r="CT66" s="300"/>
      <c r="CU66" s="300"/>
      <c r="CV66" s="300"/>
      <c r="CW66" s="300"/>
      <c r="CX66" s="300"/>
      <c r="CY66" s="300"/>
      <c r="CZ66" s="300"/>
      <c r="DA66" s="300"/>
      <c r="DB66" s="300"/>
      <c r="DC66" s="300"/>
      <c r="DD66" s="300"/>
      <c r="DE66" s="300"/>
      <c r="DF66" s="300"/>
      <c r="DG66" s="300"/>
      <c r="DH66" s="300"/>
      <c r="DI66" s="300"/>
      <c r="DJ66" s="300"/>
      <c r="DK66" s="300"/>
      <c r="DL66" s="300"/>
      <c r="DM66" s="300"/>
      <c r="DN66" s="300"/>
      <c r="DO66" s="300"/>
      <c r="DP66" s="300"/>
      <c r="DQ66" s="300"/>
      <c r="DR66" s="300"/>
      <c r="DS66" s="300"/>
      <c r="DT66" s="300"/>
      <c r="DU66" s="300"/>
      <c r="DV66" s="300"/>
      <c r="DW66" s="300"/>
      <c r="DX66" s="300"/>
      <c r="DY66" s="300"/>
      <c r="DZ66" s="300"/>
      <c r="EA66" s="300"/>
      <c r="EB66" s="300"/>
      <c r="EC66" s="300"/>
      <c r="ED66" s="300"/>
      <c r="EE66" s="300"/>
      <c r="EF66" s="300"/>
      <c r="EG66" s="300"/>
      <c r="EH66" s="300"/>
      <c r="EI66" s="300"/>
      <c r="EJ66" s="300"/>
      <c r="EK66" s="300"/>
      <c r="EL66" s="300"/>
      <c r="EM66" s="300"/>
      <c r="EN66" s="300"/>
      <c r="EO66" s="300"/>
      <c r="EP66" s="300"/>
      <c r="EQ66" s="300"/>
      <c r="ER66" s="300"/>
      <c r="ES66" s="300"/>
      <c r="ET66" s="300"/>
      <c r="EU66" s="300"/>
      <c r="EV66" s="300"/>
      <c r="EW66" s="300"/>
      <c r="EX66" s="300"/>
      <c r="EY66" s="300"/>
      <c r="EZ66" s="300"/>
      <c r="FA66" s="300"/>
      <c r="FB66" s="300"/>
      <c r="FC66" s="300"/>
      <c r="FD66" s="300"/>
      <c r="FE66" s="300"/>
      <c r="FF66" s="300"/>
    </row>
    <row r="67" spans="1:162">
      <c r="A67" s="300"/>
      <c r="B67" s="300"/>
      <c r="C67" s="300"/>
      <c r="D67" s="300"/>
      <c r="E67" s="300"/>
      <c r="F67" s="300"/>
      <c r="G67" s="300"/>
      <c r="H67" s="300"/>
      <c r="I67" s="300"/>
      <c r="J67" s="300"/>
      <c r="K67" s="300"/>
      <c r="L67" s="300"/>
      <c r="M67" s="300"/>
      <c r="N67" s="300"/>
      <c r="O67" s="300"/>
      <c r="P67" s="300"/>
      <c r="Q67" s="300"/>
      <c r="R67" s="300"/>
      <c r="S67" s="300"/>
      <c r="T67" s="300"/>
      <c r="U67" s="300"/>
      <c r="V67" s="300"/>
      <c r="W67" s="300"/>
      <c r="X67" s="300"/>
      <c r="Y67" s="300"/>
      <c r="Z67" s="300"/>
      <c r="AA67" s="300"/>
      <c r="AB67" s="300"/>
      <c r="AC67" s="300"/>
      <c r="AD67" s="300"/>
      <c r="AE67" s="300"/>
      <c r="AF67" s="300"/>
      <c r="AG67" s="300"/>
      <c r="AH67" s="300"/>
      <c r="AI67" s="300"/>
      <c r="AJ67" s="300"/>
      <c r="AK67" s="300"/>
      <c r="AL67" s="300"/>
      <c r="AM67" s="300"/>
      <c r="AN67" s="300"/>
      <c r="AO67" s="300"/>
      <c r="AP67" s="300"/>
      <c r="AQ67" s="300"/>
      <c r="AR67" s="300"/>
      <c r="AS67" s="300"/>
      <c r="AT67" s="300"/>
      <c r="AU67" s="300"/>
      <c r="AV67" s="300"/>
      <c r="AW67" s="300"/>
      <c r="AX67" s="300"/>
      <c r="AY67" s="300"/>
      <c r="AZ67" s="300"/>
      <c r="BA67" s="300"/>
      <c r="BB67" s="300"/>
      <c r="BC67" s="300"/>
      <c r="BD67" s="300"/>
      <c r="BE67" s="300"/>
      <c r="BF67" s="300"/>
      <c r="BG67" s="300"/>
      <c r="BH67" s="300"/>
      <c r="BI67" s="300"/>
      <c r="BJ67" s="300"/>
      <c r="BK67" s="300"/>
      <c r="BL67" s="300"/>
      <c r="BM67" s="300"/>
      <c r="BN67" s="300"/>
      <c r="BO67" s="300"/>
      <c r="BP67" s="300"/>
      <c r="BQ67" s="300"/>
      <c r="BR67" s="300"/>
      <c r="BS67" s="300"/>
      <c r="BT67" s="300"/>
      <c r="BU67" s="300"/>
      <c r="BV67" s="300"/>
      <c r="BW67" s="300"/>
      <c r="BX67" s="300"/>
      <c r="BY67" s="300"/>
      <c r="BZ67" s="300"/>
      <c r="CA67" s="300"/>
      <c r="CB67" s="300"/>
      <c r="CC67" s="300"/>
      <c r="CD67" s="300"/>
      <c r="CE67" s="300"/>
      <c r="CF67" s="300"/>
      <c r="CG67" s="300"/>
      <c r="CH67" s="300"/>
      <c r="CI67" s="300"/>
      <c r="CJ67" s="300"/>
      <c r="CK67" s="300"/>
      <c r="CL67" s="300"/>
      <c r="CM67" s="300"/>
      <c r="CN67" s="300"/>
      <c r="CO67" s="300"/>
      <c r="CP67" s="300"/>
      <c r="CQ67" s="300"/>
      <c r="CR67" s="300"/>
      <c r="CS67" s="300"/>
      <c r="CT67" s="300"/>
      <c r="CU67" s="300"/>
      <c r="CV67" s="300"/>
      <c r="CW67" s="300"/>
      <c r="CX67" s="300"/>
      <c r="CY67" s="300"/>
      <c r="CZ67" s="300"/>
      <c r="DA67" s="300"/>
      <c r="DB67" s="300"/>
      <c r="DC67" s="300"/>
      <c r="DD67" s="300"/>
      <c r="DE67" s="300"/>
      <c r="DF67" s="300"/>
      <c r="DG67" s="300"/>
      <c r="DH67" s="300"/>
      <c r="DI67" s="300"/>
      <c r="DJ67" s="300"/>
      <c r="DK67" s="300"/>
      <c r="DL67" s="300"/>
      <c r="DM67" s="300"/>
      <c r="DN67" s="300"/>
      <c r="DO67" s="300"/>
      <c r="DP67" s="300"/>
      <c r="DQ67" s="300"/>
      <c r="DR67" s="300"/>
      <c r="DS67" s="300"/>
      <c r="DT67" s="300"/>
      <c r="DU67" s="300"/>
      <c r="DV67" s="300"/>
      <c r="DW67" s="300"/>
      <c r="DX67" s="300"/>
      <c r="DY67" s="300"/>
      <c r="DZ67" s="300"/>
      <c r="EA67" s="300"/>
      <c r="EB67" s="300"/>
      <c r="EC67" s="300"/>
      <c r="ED67" s="300"/>
      <c r="EE67" s="300"/>
      <c r="EF67" s="300"/>
      <c r="EG67" s="300"/>
      <c r="EH67" s="300"/>
      <c r="EI67" s="300"/>
      <c r="EJ67" s="300"/>
      <c r="EK67" s="300"/>
      <c r="EL67" s="300"/>
      <c r="EM67" s="300"/>
      <c r="EN67" s="300"/>
      <c r="EO67" s="300"/>
      <c r="EP67" s="300"/>
      <c r="EQ67" s="300"/>
      <c r="ER67" s="300"/>
      <c r="ES67" s="300"/>
      <c r="ET67" s="300"/>
      <c r="EU67" s="300"/>
      <c r="EV67" s="300"/>
      <c r="EW67" s="300"/>
      <c r="EX67" s="300"/>
      <c r="EY67" s="300"/>
      <c r="EZ67" s="300"/>
      <c r="FA67" s="300"/>
      <c r="FB67" s="300"/>
      <c r="FC67" s="300"/>
      <c r="FD67" s="300"/>
      <c r="FE67" s="300"/>
      <c r="FF67" s="300"/>
    </row>
    <row r="68" spans="1:162">
      <c r="A68" s="300"/>
      <c r="B68" s="300"/>
      <c r="C68" s="300"/>
      <c r="D68" s="300"/>
      <c r="E68" s="300"/>
      <c r="F68" s="300"/>
      <c r="G68" s="300"/>
      <c r="H68" s="300"/>
      <c r="I68" s="300"/>
      <c r="J68" s="300"/>
      <c r="K68" s="300"/>
      <c r="L68" s="300"/>
      <c r="M68" s="300"/>
      <c r="N68" s="300"/>
      <c r="O68" s="300"/>
      <c r="P68" s="300"/>
      <c r="Q68" s="300"/>
      <c r="R68" s="300"/>
      <c r="S68" s="300"/>
      <c r="T68" s="300"/>
      <c r="U68" s="300"/>
      <c r="V68" s="300"/>
      <c r="W68" s="300"/>
      <c r="X68" s="300"/>
      <c r="Y68" s="300"/>
      <c r="Z68" s="300"/>
      <c r="AA68" s="300"/>
      <c r="AB68" s="300"/>
      <c r="AC68" s="300"/>
      <c r="AD68" s="300"/>
      <c r="AE68" s="300"/>
      <c r="AF68" s="300"/>
      <c r="AG68" s="300"/>
      <c r="AH68" s="300"/>
      <c r="AI68" s="300"/>
      <c r="AJ68" s="300"/>
      <c r="AK68" s="300"/>
      <c r="AL68" s="300"/>
      <c r="AM68" s="300"/>
      <c r="AN68" s="300"/>
      <c r="AO68" s="300"/>
      <c r="AP68" s="300"/>
      <c r="AQ68" s="300"/>
      <c r="AR68" s="300"/>
      <c r="AS68" s="300"/>
      <c r="AT68" s="300"/>
      <c r="AU68" s="300"/>
      <c r="AV68" s="300"/>
      <c r="AW68" s="300"/>
      <c r="AX68" s="300"/>
      <c r="AY68" s="300"/>
      <c r="AZ68" s="300"/>
      <c r="BA68" s="300"/>
      <c r="BB68" s="300"/>
      <c r="BC68" s="300"/>
      <c r="BD68" s="300"/>
      <c r="BE68" s="300"/>
      <c r="BF68" s="300"/>
      <c r="BG68" s="300"/>
      <c r="BH68" s="300"/>
      <c r="BI68" s="300"/>
      <c r="BJ68" s="300"/>
      <c r="BK68" s="300"/>
      <c r="BL68" s="300"/>
      <c r="BM68" s="300"/>
      <c r="BN68" s="300"/>
      <c r="BO68" s="300"/>
      <c r="BP68" s="300"/>
      <c r="BQ68" s="300"/>
      <c r="BR68" s="300"/>
      <c r="BS68" s="300"/>
      <c r="BT68" s="300"/>
      <c r="BU68" s="300"/>
      <c r="BV68" s="300"/>
      <c r="BW68" s="300"/>
      <c r="BX68" s="300"/>
      <c r="BY68" s="300"/>
      <c r="BZ68" s="300"/>
      <c r="CA68" s="300"/>
      <c r="CB68" s="300"/>
      <c r="CC68" s="300"/>
      <c r="CD68" s="300"/>
      <c r="CE68" s="300"/>
      <c r="CF68" s="300"/>
      <c r="CG68" s="300"/>
      <c r="CH68" s="300"/>
      <c r="CI68" s="300"/>
      <c r="CJ68" s="300"/>
      <c r="CK68" s="300"/>
      <c r="CL68" s="300"/>
      <c r="CM68" s="300"/>
      <c r="CN68" s="300"/>
      <c r="CO68" s="300"/>
      <c r="CP68" s="300"/>
      <c r="CQ68" s="300"/>
      <c r="CR68" s="300"/>
      <c r="CS68" s="300"/>
      <c r="CT68" s="300"/>
      <c r="CU68" s="300"/>
      <c r="CV68" s="300"/>
      <c r="CW68" s="300"/>
      <c r="CX68" s="300"/>
      <c r="CY68" s="300"/>
      <c r="CZ68" s="300"/>
      <c r="DA68" s="300"/>
      <c r="DB68" s="300"/>
      <c r="DC68" s="300"/>
      <c r="DD68" s="300"/>
      <c r="DE68" s="300"/>
      <c r="DF68" s="300"/>
      <c r="DG68" s="300"/>
      <c r="DH68" s="300"/>
      <c r="DI68" s="300"/>
      <c r="DJ68" s="300"/>
      <c r="DK68" s="300"/>
      <c r="DL68" s="300"/>
      <c r="DM68" s="300"/>
      <c r="DN68" s="300"/>
      <c r="DO68" s="300"/>
      <c r="DP68" s="300"/>
      <c r="DQ68" s="300"/>
      <c r="DR68" s="300"/>
      <c r="DS68" s="300"/>
      <c r="DT68" s="300"/>
      <c r="DU68" s="300"/>
      <c r="DV68" s="300"/>
      <c r="DW68" s="300"/>
      <c r="DX68" s="300"/>
      <c r="DY68" s="300"/>
      <c r="DZ68" s="300"/>
      <c r="EA68" s="300"/>
      <c r="EB68" s="300"/>
      <c r="EC68" s="300"/>
      <c r="ED68" s="300"/>
      <c r="EE68" s="300"/>
      <c r="EF68" s="300"/>
      <c r="EG68" s="300"/>
      <c r="EH68" s="300"/>
      <c r="EI68" s="300"/>
      <c r="EJ68" s="300"/>
      <c r="EK68" s="300"/>
      <c r="EL68" s="300"/>
      <c r="EM68" s="300"/>
      <c r="EN68" s="300"/>
      <c r="EO68" s="300"/>
      <c r="EP68" s="300"/>
      <c r="EQ68" s="300"/>
      <c r="ER68" s="300"/>
      <c r="ES68" s="300"/>
      <c r="ET68" s="300"/>
      <c r="EU68" s="300"/>
      <c r="EV68" s="300"/>
      <c r="EW68" s="300"/>
      <c r="EX68" s="300"/>
      <c r="EY68" s="300"/>
      <c r="EZ68" s="300"/>
      <c r="FA68" s="300"/>
      <c r="FB68" s="300"/>
      <c r="FC68" s="300"/>
      <c r="FD68" s="300"/>
      <c r="FE68" s="300"/>
      <c r="FF68" s="300"/>
    </row>
    <row r="69" spans="1:162">
      <c r="A69" s="300"/>
      <c r="B69" s="300"/>
      <c r="C69" s="300"/>
      <c r="D69" s="300"/>
      <c r="E69" s="300"/>
      <c r="F69" s="300"/>
      <c r="G69" s="300"/>
      <c r="H69" s="300"/>
      <c r="I69" s="300"/>
      <c r="J69" s="300"/>
      <c r="K69" s="300"/>
      <c r="L69" s="300"/>
      <c r="M69" s="300"/>
      <c r="N69" s="300"/>
      <c r="O69" s="300"/>
      <c r="P69" s="300"/>
      <c r="Q69" s="300"/>
      <c r="R69" s="300"/>
      <c r="S69" s="300"/>
      <c r="T69" s="300"/>
      <c r="U69" s="300"/>
      <c r="V69" s="300"/>
      <c r="W69" s="300"/>
      <c r="X69" s="300"/>
      <c r="Y69" s="300"/>
      <c r="Z69" s="300"/>
      <c r="AA69" s="300"/>
      <c r="AB69" s="300"/>
      <c r="AC69" s="300"/>
      <c r="AD69" s="300"/>
      <c r="AE69" s="300"/>
      <c r="AF69" s="300"/>
      <c r="AG69" s="300"/>
      <c r="AH69" s="300"/>
      <c r="AI69" s="300"/>
      <c r="AJ69" s="300"/>
      <c r="AK69" s="300"/>
      <c r="AL69" s="300"/>
      <c r="AM69" s="300"/>
      <c r="AN69" s="300"/>
      <c r="AO69" s="300"/>
      <c r="AP69" s="300"/>
      <c r="AQ69" s="300"/>
      <c r="AR69" s="300"/>
      <c r="AS69" s="300"/>
      <c r="AT69" s="300"/>
      <c r="AU69" s="300"/>
      <c r="AV69" s="300"/>
      <c r="AW69" s="300"/>
      <c r="AX69" s="300"/>
      <c r="AY69" s="300"/>
      <c r="AZ69" s="300"/>
      <c r="BA69" s="300"/>
      <c r="BB69" s="300"/>
      <c r="BC69" s="300"/>
      <c r="BD69" s="300"/>
      <c r="BE69" s="300"/>
      <c r="BF69" s="300"/>
      <c r="BG69" s="300"/>
      <c r="BH69" s="300"/>
      <c r="BI69" s="300"/>
      <c r="BJ69" s="300"/>
      <c r="BK69" s="300"/>
      <c r="BL69" s="300"/>
      <c r="BM69" s="300"/>
      <c r="BN69" s="300"/>
      <c r="BO69" s="300"/>
      <c r="BP69" s="300"/>
      <c r="BQ69" s="300"/>
      <c r="BR69" s="300"/>
      <c r="BS69" s="300"/>
      <c r="BT69" s="300"/>
      <c r="BU69" s="300"/>
      <c r="BV69" s="300"/>
      <c r="BW69" s="300"/>
      <c r="BX69" s="300"/>
      <c r="BY69" s="300"/>
      <c r="BZ69" s="300"/>
      <c r="CA69" s="300"/>
      <c r="CB69" s="300"/>
      <c r="CC69" s="300"/>
      <c r="CD69" s="300"/>
      <c r="CE69" s="300"/>
      <c r="CF69" s="300"/>
      <c r="CG69" s="300"/>
      <c r="CH69" s="300"/>
      <c r="CI69" s="300"/>
      <c r="CJ69" s="300"/>
      <c r="CK69" s="300"/>
      <c r="CL69" s="300"/>
      <c r="CM69" s="300"/>
      <c r="CN69" s="300"/>
      <c r="CO69" s="300"/>
      <c r="CP69" s="300"/>
      <c r="CQ69" s="300"/>
      <c r="CR69" s="300"/>
      <c r="CS69" s="300"/>
      <c r="CT69" s="300"/>
      <c r="CU69" s="300"/>
      <c r="CV69" s="300"/>
      <c r="CW69" s="300"/>
      <c r="CX69" s="300"/>
      <c r="CY69" s="300"/>
      <c r="CZ69" s="300"/>
      <c r="DA69" s="300"/>
      <c r="DB69" s="300"/>
      <c r="DC69" s="300"/>
      <c r="DD69" s="300"/>
      <c r="DE69" s="300"/>
      <c r="DF69" s="300"/>
      <c r="DG69" s="300"/>
      <c r="DH69" s="300"/>
      <c r="DI69" s="300"/>
      <c r="DJ69" s="300"/>
      <c r="DK69" s="300"/>
      <c r="DL69" s="300"/>
      <c r="DM69" s="300"/>
      <c r="DN69" s="300"/>
      <c r="DO69" s="300"/>
      <c r="DP69" s="300"/>
      <c r="DQ69" s="300"/>
      <c r="DR69" s="300"/>
      <c r="DS69" s="300"/>
      <c r="DT69" s="300"/>
      <c r="DU69" s="300"/>
      <c r="DV69" s="300"/>
      <c r="DW69" s="300"/>
      <c r="DX69" s="300"/>
      <c r="DY69" s="300"/>
      <c r="DZ69" s="300"/>
      <c r="EA69" s="300"/>
      <c r="EB69" s="300"/>
      <c r="EC69" s="300"/>
      <c r="ED69" s="300"/>
      <c r="EE69" s="300"/>
      <c r="EF69" s="300"/>
      <c r="EG69" s="300"/>
      <c r="EH69" s="300"/>
      <c r="EI69" s="300"/>
      <c r="EJ69" s="300"/>
      <c r="EK69" s="300"/>
      <c r="EL69" s="300"/>
      <c r="EM69" s="300"/>
      <c r="EN69" s="300"/>
      <c r="EO69" s="300"/>
      <c r="EP69" s="300"/>
      <c r="EQ69" s="300"/>
      <c r="ER69" s="300"/>
      <c r="ES69" s="300"/>
      <c r="ET69" s="300"/>
      <c r="EU69" s="300"/>
      <c r="EV69" s="300"/>
      <c r="EW69" s="300"/>
      <c r="EX69" s="300"/>
      <c r="EY69" s="300"/>
      <c r="EZ69" s="300"/>
      <c r="FA69" s="300"/>
      <c r="FB69" s="300"/>
      <c r="FC69" s="300"/>
      <c r="FD69" s="300"/>
      <c r="FE69" s="300"/>
      <c r="FF69" s="300"/>
    </row>
    <row r="70" spans="1:162">
      <c r="A70" s="300"/>
      <c r="B70" s="300"/>
      <c r="C70" s="300"/>
      <c r="D70" s="300"/>
      <c r="E70" s="300"/>
      <c r="F70" s="300"/>
      <c r="G70" s="300"/>
      <c r="H70" s="300"/>
      <c r="I70" s="300"/>
      <c r="J70" s="300"/>
      <c r="K70" s="300"/>
      <c r="L70" s="300"/>
      <c r="M70" s="300"/>
      <c r="N70" s="300"/>
      <c r="O70" s="300"/>
      <c r="P70" s="300"/>
      <c r="Q70" s="300"/>
      <c r="R70" s="300"/>
      <c r="S70" s="300"/>
      <c r="T70" s="300"/>
      <c r="U70" s="300"/>
      <c r="V70" s="300"/>
      <c r="W70" s="300"/>
      <c r="X70" s="300"/>
      <c r="Y70" s="300"/>
      <c r="Z70" s="300"/>
      <c r="AA70" s="300"/>
      <c r="AB70" s="300"/>
      <c r="AC70" s="300"/>
      <c r="AD70" s="300"/>
      <c r="AE70" s="300"/>
      <c r="AF70" s="300"/>
      <c r="AG70" s="300"/>
      <c r="AH70" s="300"/>
      <c r="AI70" s="300"/>
      <c r="AJ70" s="300"/>
      <c r="AK70" s="300"/>
      <c r="AL70" s="300"/>
      <c r="AM70" s="300"/>
      <c r="AN70" s="300"/>
      <c r="AO70" s="300"/>
      <c r="AP70" s="300"/>
      <c r="AQ70" s="300"/>
      <c r="AR70" s="300"/>
      <c r="AS70" s="300"/>
      <c r="AT70" s="300"/>
      <c r="AU70" s="300"/>
      <c r="AV70" s="300"/>
      <c r="AW70" s="300"/>
      <c r="AX70" s="300"/>
      <c r="AY70" s="300"/>
      <c r="AZ70" s="300"/>
      <c r="BA70" s="300"/>
      <c r="BB70" s="300"/>
      <c r="BC70" s="300"/>
      <c r="BD70" s="300"/>
      <c r="BE70" s="300"/>
      <c r="BF70" s="300"/>
      <c r="BG70" s="300"/>
      <c r="BH70" s="300"/>
      <c r="BI70" s="300"/>
      <c r="BJ70" s="300"/>
      <c r="BK70" s="300"/>
      <c r="BL70" s="300"/>
      <c r="BM70" s="300"/>
      <c r="BN70" s="300"/>
      <c r="BO70" s="300"/>
      <c r="BP70" s="300"/>
      <c r="BQ70" s="300"/>
      <c r="BR70" s="300"/>
      <c r="BS70" s="300"/>
      <c r="BT70" s="300"/>
      <c r="BU70" s="300"/>
      <c r="BV70" s="300"/>
      <c r="BW70" s="300"/>
      <c r="BX70" s="300"/>
      <c r="BY70" s="300"/>
      <c r="BZ70" s="300"/>
      <c r="CA70" s="300"/>
      <c r="CB70" s="300"/>
      <c r="CC70" s="300"/>
      <c r="CD70" s="300"/>
      <c r="CE70" s="300"/>
      <c r="CF70" s="300"/>
      <c r="CG70" s="300"/>
      <c r="CH70" s="300"/>
      <c r="CI70" s="300"/>
      <c r="CJ70" s="300"/>
      <c r="CK70" s="300"/>
      <c r="CL70" s="300"/>
      <c r="CM70" s="300"/>
      <c r="CN70" s="300"/>
      <c r="CO70" s="300"/>
      <c r="CP70" s="300"/>
      <c r="CQ70" s="300"/>
      <c r="CR70" s="300"/>
      <c r="CS70" s="300"/>
      <c r="CT70" s="300"/>
      <c r="CU70" s="300"/>
      <c r="CV70" s="300"/>
      <c r="CW70" s="300"/>
      <c r="CX70" s="300"/>
      <c r="CY70" s="300"/>
      <c r="CZ70" s="300"/>
      <c r="DA70" s="300"/>
      <c r="DB70" s="300"/>
      <c r="DC70" s="300"/>
      <c r="DD70" s="300"/>
      <c r="DE70" s="300"/>
      <c r="DF70" s="300"/>
      <c r="DG70" s="300"/>
      <c r="DH70" s="300"/>
      <c r="DI70" s="300"/>
      <c r="DJ70" s="300"/>
      <c r="DK70" s="300"/>
      <c r="DL70" s="300"/>
      <c r="DM70" s="300"/>
      <c r="DN70" s="300"/>
      <c r="DO70" s="300"/>
      <c r="DP70" s="300"/>
      <c r="DQ70" s="300"/>
      <c r="DR70" s="300"/>
      <c r="DS70" s="300"/>
      <c r="DT70" s="300"/>
      <c r="DU70" s="300"/>
      <c r="DV70" s="300"/>
      <c r="DW70" s="300"/>
      <c r="DX70" s="300"/>
      <c r="DY70" s="300"/>
      <c r="DZ70" s="300"/>
      <c r="EA70" s="300"/>
      <c r="EB70" s="300"/>
      <c r="EC70" s="300"/>
      <c r="ED70" s="300"/>
      <c r="EE70" s="300"/>
      <c r="EF70" s="300"/>
      <c r="EG70" s="300"/>
      <c r="EH70" s="300"/>
      <c r="EI70" s="300"/>
      <c r="EJ70" s="300"/>
      <c r="EK70" s="300"/>
      <c r="EL70" s="300"/>
      <c r="EM70" s="300"/>
      <c r="EN70" s="300"/>
      <c r="EO70" s="300"/>
      <c r="EP70" s="300"/>
      <c r="EQ70" s="300"/>
      <c r="ER70" s="300"/>
      <c r="ES70" s="300"/>
      <c r="ET70" s="300"/>
      <c r="EU70" s="300"/>
      <c r="EV70" s="300"/>
      <c r="EW70" s="300"/>
      <c r="EX70" s="300"/>
      <c r="EY70" s="300"/>
      <c r="EZ70" s="300"/>
      <c r="FA70" s="300"/>
      <c r="FB70" s="300"/>
      <c r="FC70" s="300"/>
      <c r="FD70" s="300"/>
      <c r="FE70" s="300"/>
      <c r="FF70" s="300"/>
    </row>
    <row r="71" spans="1:162">
      <c r="A71" s="300"/>
      <c r="B71" s="300"/>
      <c r="C71" s="300"/>
      <c r="D71" s="300"/>
      <c r="E71" s="300"/>
      <c r="F71" s="300"/>
      <c r="G71" s="300"/>
      <c r="H71" s="300"/>
      <c r="I71" s="300"/>
      <c r="J71" s="300"/>
      <c r="K71" s="300"/>
      <c r="L71" s="300"/>
      <c r="M71" s="300"/>
      <c r="N71" s="300"/>
      <c r="O71" s="300"/>
      <c r="P71" s="300"/>
      <c r="Q71" s="300"/>
      <c r="R71" s="300"/>
      <c r="S71" s="300"/>
      <c r="T71" s="300"/>
      <c r="U71" s="300"/>
      <c r="V71" s="300"/>
      <c r="W71" s="300"/>
      <c r="X71" s="300"/>
      <c r="Y71" s="300"/>
      <c r="Z71" s="300"/>
      <c r="AA71" s="300"/>
      <c r="AB71" s="300"/>
      <c r="AC71" s="300"/>
      <c r="AD71" s="300"/>
      <c r="AE71" s="300"/>
      <c r="AF71" s="300"/>
      <c r="AG71" s="300"/>
      <c r="AH71" s="300"/>
      <c r="AI71" s="300"/>
      <c r="AJ71" s="300"/>
      <c r="AK71" s="300"/>
      <c r="AL71" s="300"/>
      <c r="AM71" s="300"/>
      <c r="AN71" s="300"/>
      <c r="AO71" s="300"/>
      <c r="AP71" s="300"/>
      <c r="AQ71" s="300"/>
      <c r="AR71" s="300"/>
      <c r="AS71" s="300"/>
      <c r="AT71" s="300"/>
      <c r="AU71" s="300"/>
      <c r="AV71" s="300"/>
      <c r="AW71" s="300"/>
      <c r="AX71" s="300"/>
      <c r="AY71" s="300"/>
      <c r="AZ71" s="300"/>
      <c r="BA71" s="300"/>
      <c r="BB71" s="300"/>
      <c r="BC71" s="300"/>
      <c r="BD71" s="300"/>
      <c r="BE71" s="300"/>
      <c r="BF71" s="300"/>
      <c r="BG71" s="300"/>
      <c r="BH71" s="300"/>
      <c r="BI71" s="300"/>
      <c r="BJ71" s="300"/>
      <c r="BK71" s="300"/>
      <c r="BL71" s="300"/>
      <c r="BM71" s="300"/>
      <c r="BN71" s="300"/>
      <c r="BO71" s="300"/>
      <c r="BP71" s="300"/>
      <c r="BQ71" s="300"/>
      <c r="BR71" s="300"/>
      <c r="BS71" s="300"/>
      <c r="BT71" s="300"/>
      <c r="BU71" s="300"/>
      <c r="BV71" s="300"/>
      <c r="BW71" s="300"/>
      <c r="BX71" s="300"/>
      <c r="BY71" s="300"/>
      <c r="BZ71" s="300"/>
      <c r="CA71" s="300"/>
      <c r="CB71" s="300"/>
      <c r="CC71" s="300"/>
      <c r="CD71" s="300"/>
      <c r="CE71" s="300"/>
      <c r="CF71" s="300"/>
      <c r="CG71" s="300"/>
      <c r="CH71" s="300"/>
      <c r="CI71" s="300"/>
      <c r="CJ71" s="300"/>
      <c r="CK71" s="300"/>
      <c r="CL71" s="300"/>
      <c r="CM71" s="300"/>
      <c r="CN71" s="300"/>
      <c r="CO71" s="300"/>
      <c r="CP71" s="300"/>
      <c r="CQ71" s="300"/>
      <c r="CR71" s="300"/>
      <c r="CS71" s="300"/>
      <c r="CT71" s="300"/>
      <c r="CU71" s="300"/>
      <c r="CV71" s="300"/>
      <c r="CW71" s="300"/>
      <c r="CX71" s="300"/>
      <c r="CY71" s="300"/>
      <c r="CZ71" s="300"/>
      <c r="DA71" s="300"/>
      <c r="DB71" s="300"/>
      <c r="DC71" s="300"/>
      <c r="DD71" s="300"/>
      <c r="DE71" s="300"/>
      <c r="DF71" s="300"/>
      <c r="DG71" s="300"/>
      <c r="DH71" s="300"/>
      <c r="DI71" s="300"/>
      <c r="DJ71" s="300"/>
      <c r="DK71" s="300"/>
      <c r="DL71" s="300"/>
      <c r="DM71" s="300"/>
      <c r="DN71" s="300"/>
      <c r="DO71" s="300"/>
      <c r="DP71" s="300"/>
      <c r="DQ71" s="300"/>
      <c r="DR71" s="300"/>
      <c r="DS71" s="300"/>
      <c r="DT71" s="300"/>
      <c r="DU71" s="300"/>
      <c r="DV71" s="300"/>
      <c r="DW71" s="300"/>
      <c r="DX71" s="300"/>
      <c r="DY71" s="300"/>
      <c r="DZ71" s="300"/>
      <c r="EA71" s="300"/>
      <c r="EB71" s="300"/>
      <c r="EC71" s="300"/>
      <c r="ED71" s="300"/>
      <c r="EE71" s="300"/>
      <c r="EF71" s="300"/>
      <c r="EG71" s="300"/>
      <c r="EH71" s="300"/>
      <c r="EI71" s="300"/>
      <c r="EJ71" s="300"/>
      <c r="EK71" s="300"/>
      <c r="EL71" s="300"/>
      <c r="EM71" s="300"/>
      <c r="EN71" s="300"/>
      <c r="EO71" s="300"/>
      <c r="EP71" s="300"/>
      <c r="EQ71" s="300"/>
      <c r="ER71" s="300"/>
      <c r="ES71" s="300"/>
      <c r="ET71" s="300"/>
      <c r="EU71" s="300"/>
      <c r="EV71" s="300"/>
      <c r="EW71" s="300"/>
      <c r="EX71" s="300"/>
      <c r="EY71" s="300"/>
      <c r="EZ71" s="300"/>
      <c r="FA71" s="300"/>
      <c r="FB71" s="300"/>
      <c r="FC71" s="300"/>
      <c r="FD71" s="300"/>
      <c r="FE71" s="300"/>
      <c r="FF71" s="300"/>
    </row>
    <row r="72" spans="1:162">
      <c r="A72" s="300"/>
      <c r="B72" s="300"/>
      <c r="C72" s="300"/>
      <c r="D72" s="300"/>
      <c r="E72" s="300"/>
      <c r="F72" s="300"/>
      <c r="G72" s="300"/>
      <c r="H72" s="300"/>
      <c r="I72" s="300"/>
      <c r="J72" s="300"/>
      <c r="K72" s="300"/>
      <c r="L72" s="300"/>
      <c r="M72" s="300"/>
      <c r="N72" s="300"/>
      <c r="O72" s="300"/>
      <c r="P72" s="300"/>
      <c r="Q72" s="300"/>
      <c r="R72" s="300"/>
      <c r="S72" s="300"/>
      <c r="T72" s="300"/>
      <c r="U72" s="300"/>
      <c r="V72" s="300"/>
      <c r="W72" s="300"/>
      <c r="X72" s="300"/>
      <c r="Y72" s="300"/>
      <c r="Z72" s="300"/>
      <c r="AA72" s="300"/>
      <c r="AB72" s="300"/>
      <c r="AC72" s="300"/>
      <c r="AD72" s="300"/>
      <c r="AE72" s="300"/>
      <c r="AF72" s="300"/>
      <c r="AG72" s="300"/>
      <c r="AH72" s="300"/>
      <c r="AI72" s="300"/>
      <c r="AJ72" s="300"/>
      <c r="AK72" s="300"/>
      <c r="AL72" s="300"/>
      <c r="AM72" s="300"/>
      <c r="AN72" s="300"/>
      <c r="AO72" s="300"/>
      <c r="AP72" s="300"/>
      <c r="AQ72" s="300"/>
      <c r="AR72" s="300"/>
      <c r="AS72" s="300"/>
      <c r="AT72" s="300"/>
      <c r="AU72" s="300"/>
      <c r="AV72" s="300"/>
      <c r="AW72" s="300"/>
      <c r="AX72" s="300"/>
      <c r="AY72" s="300"/>
      <c r="AZ72" s="300"/>
      <c r="BA72" s="300"/>
      <c r="BB72" s="300"/>
      <c r="BC72" s="300"/>
      <c r="BD72" s="300"/>
      <c r="BE72" s="300"/>
      <c r="BF72" s="300"/>
      <c r="BG72" s="300"/>
      <c r="BH72" s="300"/>
      <c r="BI72" s="300"/>
      <c r="BJ72" s="300"/>
      <c r="BK72" s="300"/>
      <c r="BL72" s="300"/>
      <c r="BM72" s="300"/>
      <c r="BN72" s="300"/>
      <c r="BO72" s="300"/>
      <c r="BP72" s="300"/>
      <c r="BQ72" s="300"/>
      <c r="BR72" s="300"/>
      <c r="BS72" s="300"/>
      <c r="BT72" s="300"/>
      <c r="BU72" s="300"/>
      <c r="BV72" s="300"/>
      <c r="BW72" s="300"/>
      <c r="BX72" s="300"/>
      <c r="BY72" s="300"/>
      <c r="BZ72" s="300"/>
      <c r="CA72" s="300"/>
      <c r="CB72" s="300"/>
      <c r="CC72" s="300"/>
      <c r="CD72" s="300"/>
      <c r="CE72" s="300"/>
      <c r="CF72" s="300"/>
      <c r="CG72" s="300"/>
      <c r="CH72" s="300"/>
      <c r="CI72" s="300"/>
      <c r="CJ72" s="300"/>
      <c r="CK72" s="300"/>
      <c r="CL72" s="300"/>
      <c r="CM72" s="300"/>
      <c r="CN72" s="300"/>
      <c r="CO72" s="300"/>
      <c r="CP72" s="300"/>
      <c r="CQ72" s="300"/>
      <c r="CR72" s="300"/>
      <c r="CS72" s="300"/>
      <c r="CT72" s="300"/>
      <c r="CU72" s="300"/>
      <c r="CV72" s="300"/>
      <c r="CW72" s="300"/>
      <c r="CX72" s="300"/>
      <c r="CY72" s="300"/>
      <c r="CZ72" s="300"/>
      <c r="DA72" s="300"/>
      <c r="DB72" s="300"/>
      <c r="DC72" s="300"/>
      <c r="DD72" s="300"/>
      <c r="DE72" s="300"/>
      <c r="DF72" s="300"/>
      <c r="DG72" s="300"/>
      <c r="DH72" s="300"/>
      <c r="DI72" s="300"/>
      <c r="DJ72" s="300"/>
      <c r="DK72" s="300"/>
      <c r="DL72" s="300"/>
      <c r="DM72" s="300"/>
      <c r="DN72" s="300"/>
      <c r="DO72" s="300"/>
      <c r="DP72" s="300"/>
      <c r="DQ72" s="300"/>
      <c r="DR72" s="300"/>
      <c r="DS72" s="300"/>
      <c r="DT72" s="300"/>
      <c r="DU72" s="300"/>
      <c r="DV72" s="300"/>
      <c r="DW72" s="300"/>
      <c r="DX72" s="300"/>
      <c r="DY72" s="300"/>
      <c r="DZ72" s="300"/>
      <c r="EA72" s="300"/>
      <c r="EB72" s="300"/>
      <c r="EC72" s="300"/>
      <c r="ED72" s="300"/>
      <c r="EE72" s="300"/>
      <c r="EF72" s="300"/>
      <c r="EG72" s="300"/>
      <c r="EH72" s="300"/>
      <c r="EI72" s="300"/>
      <c r="EJ72" s="300"/>
      <c r="EK72" s="300"/>
      <c r="EL72" s="300"/>
      <c r="EM72" s="300"/>
      <c r="EN72" s="300"/>
      <c r="EO72" s="300"/>
      <c r="EP72" s="300"/>
      <c r="EQ72" s="300"/>
      <c r="ER72" s="300"/>
      <c r="ES72" s="300"/>
      <c r="ET72" s="300"/>
      <c r="EU72" s="300"/>
      <c r="EV72" s="300"/>
      <c r="EW72" s="300"/>
      <c r="EX72" s="300"/>
      <c r="EY72" s="300"/>
      <c r="EZ72" s="300"/>
      <c r="FA72" s="300"/>
      <c r="FB72" s="300"/>
      <c r="FC72" s="300"/>
      <c r="FD72" s="300"/>
      <c r="FE72" s="300"/>
      <c r="FF72" s="300"/>
    </row>
    <row r="73" spans="1:162">
      <c r="A73" s="300"/>
      <c r="B73" s="300"/>
      <c r="C73" s="300"/>
      <c r="D73" s="300"/>
      <c r="E73" s="300"/>
      <c r="F73" s="300"/>
      <c r="G73" s="300"/>
      <c r="H73" s="300"/>
      <c r="I73" s="300"/>
      <c r="J73" s="300"/>
      <c r="K73" s="300"/>
      <c r="L73" s="300"/>
      <c r="M73" s="300"/>
      <c r="N73" s="300"/>
      <c r="O73" s="300"/>
      <c r="P73" s="300"/>
      <c r="Q73" s="300"/>
      <c r="R73" s="300"/>
      <c r="S73" s="300"/>
      <c r="T73" s="300"/>
      <c r="U73" s="300"/>
      <c r="V73" s="300"/>
      <c r="W73" s="300"/>
      <c r="X73" s="300"/>
      <c r="Y73" s="300"/>
      <c r="Z73" s="300"/>
      <c r="AA73" s="300"/>
      <c r="AB73" s="300"/>
      <c r="AC73" s="300"/>
      <c r="AD73" s="300"/>
      <c r="AE73" s="300"/>
      <c r="AF73" s="300"/>
      <c r="AG73" s="300"/>
      <c r="AH73" s="300"/>
      <c r="AI73" s="300"/>
      <c r="AJ73" s="300"/>
      <c r="AK73" s="300"/>
      <c r="AL73" s="300"/>
      <c r="AM73" s="300"/>
      <c r="AN73" s="300"/>
      <c r="AO73" s="300"/>
      <c r="AP73" s="300"/>
      <c r="AQ73" s="300"/>
      <c r="AR73" s="300"/>
      <c r="AS73" s="300"/>
      <c r="AT73" s="300"/>
      <c r="AU73" s="300"/>
      <c r="AV73" s="300"/>
      <c r="AW73" s="300"/>
      <c r="AX73" s="300"/>
      <c r="AY73" s="300"/>
      <c r="AZ73" s="300"/>
      <c r="BA73" s="300"/>
      <c r="BB73" s="300"/>
      <c r="BC73" s="300"/>
      <c r="BD73" s="300"/>
      <c r="BE73" s="300"/>
      <c r="BF73" s="300"/>
      <c r="BG73" s="300"/>
      <c r="BH73" s="300"/>
      <c r="BI73" s="300"/>
      <c r="BJ73" s="300"/>
      <c r="BK73" s="300"/>
      <c r="BL73" s="300"/>
      <c r="BM73" s="300"/>
      <c r="BN73" s="300"/>
      <c r="BO73" s="300"/>
      <c r="BP73" s="300"/>
      <c r="BQ73" s="300"/>
      <c r="BR73" s="300"/>
      <c r="BS73" s="300"/>
      <c r="BT73" s="300"/>
      <c r="BU73" s="300"/>
      <c r="BV73" s="300"/>
      <c r="BW73" s="300"/>
      <c r="BX73" s="300"/>
      <c r="BY73" s="300"/>
      <c r="BZ73" s="300"/>
      <c r="CA73" s="300"/>
      <c r="CB73" s="300"/>
      <c r="CC73" s="300"/>
      <c r="CD73" s="300"/>
      <c r="CE73" s="300"/>
      <c r="CF73" s="300"/>
      <c r="CG73" s="300"/>
      <c r="CH73" s="300"/>
      <c r="CI73" s="300"/>
      <c r="CJ73" s="300"/>
      <c r="CK73" s="300"/>
      <c r="CL73" s="300"/>
      <c r="CM73" s="300"/>
      <c r="CN73" s="300"/>
      <c r="CO73" s="300"/>
      <c r="CP73" s="300"/>
      <c r="CQ73" s="300"/>
      <c r="CR73" s="300"/>
      <c r="CS73" s="300"/>
      <c r="CT73" s="300"/>
      <c r="CU73" s="300"/>
      <c r="CV73" s="300"/>
      <c r="CW73" s="300"/>
      <c r="CX73" s="300"/>
      <c r="CY73" s="300"/>
      <c r="CZ73" s="300"/>
      <c r="DA73" s="300"/>
      <c r="DB73" s="300"/>
      <c r="DC73" s="300"/>
      <c r="DD73" s="300"/>
      <c r="DE73" s="300"/>
      <c r="DF73" s="300"/>
      <c r="DG73" s="300"/>
      <c r="DH73" s="300"/>
      <c r="DI73" s="300"/>
      <c r="DJ73" s="300"/>
      <c r="DK73" s="300"/>
      <c r="DL73" s="300"/>
      <c r="DM73" s="300"/>
      <c r="DN73" s="300"/>
      <c r="DO73" s="300"/>
      <c r="DP73" s="300"/>
      <c r="DQ73" s="300"/>
      <c r="DR73" s="300"/>
      <c r="DS73" s="300"/>
      <c r="DT73" s="300"/>
      <c r="DU73" s="300"/>
      <c r="DV73" s="300"/>
      <c r="DW73" s="300"/>
      <c r="DX73" s="300"/>
      <c r="DY73" s="300"/>
      <c r="DZ73" s="300"/>
      <c r="EA73" s="300"/>
      <c r="EB73" s="300"/>
      <c r="EC73" s="300"/>
      <c r="ED73" s="300"/>
      <c r="EE73" s="300"/>
      <c r="EF73" s="300"/>
      <c r="EG73" s="300"/>
      <c r="EH73" s="300"/>
      <c r="EI73" s="300"/>
      <c r="EJ73" s="300"/>
      <c r="EK73" s="300"/>
      <c r="EL73" s="300"/>
      <c r="EM73" s="300"/>
      <c r="EN73" s="300"/>
      <c r="EO73" s="300"/>
      <c r="EP73" s="300"/>
      <c r="EQ73" s="300"/>
      <c r="ER73" s="300"/>
      <c r="ES73" s="300"/>
      <c r="ET73" s="300"/>
      <c r="EU73" s="300"/>
      <c r="EV73" s="300"/>
      <c r="EW73" s="300"/>
      <c r="EX73" s="300"/>
      <c r="EY73" s="300"/>
      <c r="EZ73" s="300"/>
      <c r="FA73" s="300"/>
      <c r="FB73" s="300"/>
      <c r="FC73" s="300"/>
      <c r="FD73" s="300"/>
      <c r="FE73" s="300"/>
      <c r="FF73" s="300"/>
    </row>
    <row r="74" spans="1:162">
      <c r="A74" s="300"/>
      <c r="B74" s="300"/>
      <c r="C74" s="300"/>
      <c r="D74" s="300"/>
      <c r="E74" s="300"/>
      <c r="F74" s="300"/>
      <c r="G74" s="300"/>
      <c r="H74" s="300"/>
      <c r="I74" s="300"/>
      <c r="J74" s="300"/>
      <c r="K74" s="300"/>
      <c r="L74" s="300"/>
      <c r="M74" s="300"/>
      <c r="N74" s="300"/>
      <c r="O74" s="300"/>
      <c r="P74" s="300"/>
      <c r="Q74" s="300"/>
      <c r="R74" s="300"/>
      <c r="S74" s="300"/>
      <c r="T74" s="300"/>
      <c r="U74" s="300"/>
      <c r="V74" s="300"/>
      <c r="W74" s="300"/>
      <c r="X74" s="300"/>
      <c r="Y74" s="300"/>
      <c r="Z74" s="300"/>
      <c r="AA74" s="300"/>
      <c r="AB74" s="300"/>
      <c r="AC74" s="300"/>
      <c r="AD74" s="300"/>
      <c r="AE74" s="300"/>
      <c r="AF74" s="300"/>
      <c r="AG74" s="300"/>
      <c r="AH74" s="300"/>
      <c r="AI74" s="300"/>
      <c r="AJ74" s="300"/>
      <c r="AK74" s="300"/>
      <c r="AL74" s="300"/>
      <c r="AM74" s="300"/>
      <c r="AN74" s="300"/>
      <c r="AO74" s="300"/>
      <c r="AP74" s="300"/>
      <c r="AQ74" s="300"/>
      <c r="AR74" s="300"/>
      <c r="AS74" s="300"/>
      <c r="AT74" s="300"/>
      <c r="AU74" s="300"/>
      <c r="AV74" s="300"/>
      <c r="AW74" s="300"/>
      <c r="AX74" s="300"/>
      <c r="AY74" s="300"/>
      <c r="AZ74" s="300"/>
      <c r="BA74" s="300"/>
      <c r="BB74" s="300"/>
      <c r="BC74" s="300"/>
      <c r="BD74" s="300"/>
      <c r="BE74" s="300"/>
      <c r="BF74" s="300"/>
      <c r="BG74" s="300"/>
      <c r="BH74" s="300"/>
      <c r="BI74" s="300"/>
      <c r="BJ74" s="300"/>
      <c r="BK74" s="300"/>
      <c r="BL74" s="300"/>
      <c r="BM74" s="300"/>
      <c r="BN74" s="300"/>
      <c r="BO74" s="300"/>
      <c r="BP74" s="300"/>
      <c r="BQ74" s="300"/>
      <c r="BR74" s="300"/>
      <c r="BS74" s="300"/>
      <c r="BT74" s="300"/>
      <c r="BU74" s="300"/>
      <c r="BV74" s="300"/>
      <c r="BW74" s="300"/>
      <c r="BX74" s="300"/>
      <c r="BY74" s="300"/>
      <c r="BZ74" s="300"/>
      <c r="CA74" s="300"/>
      <c r="CB74" s="300"/>
      <c r="CC74" s="300"/>
      <c r="CD74" s="300"/>
      <c r="CE74" s="300"/>
      <c r="CF74" s="300"/>
      <c r="CG74" s="300"/>
      <c r="CH74" s="300"/>
      <c r="CI74" s="300"/>
      <c r="CJ74" s="300"/>
      <c r="CK74" s="300"/>
      <c r="CL74" s="300"/>
      <c r="CM74" s="300"/>
      <c r="CN74" s="300"/>
      <c r="CO74" s="300"/>
      <c r="CP74" s="300"/>
      <c r="CQ74" s="300"/>
      <c r="CR74" s="300"/>
      <c r="CS74" s="300"/>
      <c r="CT74" s="300"/>
      <c r="CU74" s="300"/>
      <c r="CV74" s="300"/>
      <c r="CW74" s="300"/>
      <c r="CX74" s="300"/>
      <c r="CY74" s="300"/>
      <c r="CZ74" s="300"/>
      <c r="DA74" s="300"/>
      <c r="DB74" s="300"/>
      <c r="DC74" s="300"/>
      <c r="DD74" s="300"/>
      <c r="DE74" s="300"/>
      <c r="DF74" s="300"/>
      <c r="DG74" s="300"/>
      <c r="DH74" s="300"/>
      <c r="DI74" s="300"/>
      <c r="DJ74" s="300"/>
      <c r="DK74" s="300"/>
      <c r="DL74" s="300"/>
      <c r="DM74" s="300"/>
      <c r="DN74" s="300"/>
      <c r="DO74" s="300"/>
      <c r="DP74" s="300"/>
      <c r="DQ74" s="300"/>
      <c r="DR74" s="300"/>
      <c r="DS74" s="300"/>
      <c r="DT74" s="300"/>
      <c r="DU74" s="300"/>
      <c r="DV74" s="300"/>
      <c r="DW74" s="300"/>
      <c r="DX74" s="300"/>
      <c r="DY74" s="300"/>
      <c r="DZ74" s="300"/>
      <c r="EA74" s="300"/>
      <c r="EB74" s="300"/>
      <c r="EC74" s="300"/>
      <c r="ED74" s="300"/>
      <c r="EE74" s="300"/>
      <c r="EF74" s="300"/>
      <c r="EG74" s="300"/>
      <c r="EH74" s="300"/>
      <c r="EI74" s="300"/>
      <c r="EJ74" s="300"/>
      <c r="EK74" s="300"/>
      <c r="EL74" s="300"/>
      <c r="EM74" s="300"/>
      <c r="EN74" s="300"/>
      <c r="EO74" s="300"/>
      <c r="EP74" s="300"/>
      <c r="EQ74" s="300"/>
      <c r="ER74" s="300"/>
      <c r="ES74" s="300"/>
      <c r="ET74" s="300"/>
      <c r="EU74" s="300"/>
      <c r="EV74" s="300"/>
      <c r="EW74" s="300"/>
      <c r="EX74" s="300"/>
      <c r="EY74" s="300"/>
      <c r="EZ74" s="300"/>
      <c r="FA74" s="300"/>
      <c r="FB74" s="300"/>
      <c r="FC74" s="300"/>
      <c r="FD74" s="300"/>
      <c r="FE74" s="300"/>
      <c r="FF74" s="300"/>
    </row>
    <row r="75" spans="1:162">
      <c r="A75" s="300"/>
      <c r="B75" s="300"/>
      <c r="C75" s="300"/>
      <c r="D75" s="300"/>
      <c r="E75" s="300"/>
      <c r="F75" s="300"/>
      <c r="G75" s="300"/>
      <c r="H75" s="300"/>
      <c r="I75" s="300"/>
      <c r="J75" s="300"/>
      <c r="K75" s="300"/>
      <c r="L75" s="300"/>
      <c r="M75" s="300"/>
      <c r="N75" s="300"/>
      <c r="O75" s="300"/>
      <c r="P75" s="300"/>
      <c r="Q75" s="300"/>
      <c r="R75" s="300"/>
      <c r="S75" s="300"/>
      <c r="T75" s="300"/>
      <c r="U75" s="300"/>
      <c r="V75" s="300"/>
      <c r="W75" s="300"/>
      <c r="X75" s="300"/>
      <c r="Y75" s="300"/>
      <c r="Z75" s="300"/>
      <c r="AA75" s="300"/>
      <c r="AB75" s="300"/>
      <c r="AC75" s="300"/>
      <c r="AD75" s="300"/>
      <c r="AE75" s="300"/>
      <c r="AF75" s="300"/>
      <c r="AG75" s="300"/>
      <c r="AH75" s="300"/>
      <c r="AI75" s="300"/>
      <c r="AJ75" s="300"/>
      <c r="AK75" s="300"/>
      <c r="AL75" s="300"/>
      <c r="AM75" s="300"/>
      <c r="AN75" s="300"/>
      <c r="AO75" s="300"/>
      <c r="AP75" s="300"/>
      <c r="AQ75" s="300"/>
      <c r="AR75" s="300"/>
      <c r="AS75" s="300"/>
      <c r="AT75" s="300"/>
      <c r="AU75" s="300"/>
      <c r="AV75" s="300"/>
      <c r="AW75" s="300"/>
      <c r="AX75" s="300"/>
      <c r="AY75" s="300"/>
      <c r="AZ75" s="300"/>
      <c r="BA75" s="300"/>
      <c r="BB75" s="300"/>
      <c r="BC75" s="300"/>
      <c r="BD75" s="300"/>
      <c r="BE75" s="300"/>
      <c r="BF75" s="300"/>
      <c r="BG75" s="300"/>
      <c r="BH75" s="300"/>
      <c r="BI75" s="300"/>
      <c r="BJ75" s="300"/>
      <c r="BK75" s="300"/>
      <c r="BL75" s="300"/>
      <c r="BM75" s="300"/>
      <c r="BN75" s="300"/>
      <c r="BO75" s="300"/>
      <c r="BP75" s="300"/>
      <c r="BQ75" s="300"/>
      <c r="BR75" s="300"/>
      <c r="BS75" s="300"/>
      <c r="BT75" s="300"/>
      <c r="BU75" s="300"/>
      <c r="BV75" s="300"/>
      <c r="BW75" s="300"/>
      <c r="BX75" s="300"/>
      <c r="BY75" s="300"/>
      <c r="BZ75" s="300"/>
      <c r="CA75" s="300"/>
      <c r="CB75" s="300"/>
      <c r="CC75" s="300"/>
      <c r="CD75" s="300"/>
      <c r="CE75" s="300"/>
      <c r="CF75" s="300"/>
      <c r="CG75" s="300"/>
      <c r="CH75" s="300"/>
      <c r="CI75" s="300"/>
      <c r="CJ75" s="300"/>
      <c r="CK75" s="300"/>
      <c r="CL75" s="300"/>
      <c r="CM75" s="300"/>
      <c r="CN75" s="300"/>
      <c r="CO75" s="300"/>
      <c r="CP75" s="300"/>
      <c r="CQ75" s="300"/>
      <c r="CR75" s="300"/>
      <c r="CS75" s="300"/>
      <c r="CT75" s="300"/>
      <c r="CU75" s="300"/>
      <c r="CV75" s="300"/>
      <c r="CW75" s="300"/>
      <c r="CX75" s="300"/>
      <c r="CY75" s="300"/>
      <c r="CZ75" s="300"/>
      <c r="DA75" s="300"/>
      <c r="DB75" s="300"/>
      <c r="DC75" s="300"/>
      <c r="DD75" s="300"/>
      <c r="DE75" s="300"/>
      <c r="DF75" s="300"/>
      <c r="DG75" s="300"/>
      <c r="DH75" s="300"/>
      <c r="DI75" s="300"/>
      <c r="DJ75" s="300"/>
      <c r="DK75" s="300"/>
      <c r="DL75" s="300"/>
      <c r="DM75" s="300"/>
      <c r="DN75" s="300"/>
      <c r="DO75" s="300"/>
      <c r="DP75" s="300"/>
      <c r="DQ75" s="300"/>
      <c r="DR75" s="300"/>
      <c r="DS75" s="300"/>
      <c r="DT75" s="300"/>
      <c r="DU75" s="300"/>
      <c r="DV75" s="300"/>
      <c r="DW75" s="300"/>
      <c r="DX75" s="300"/>
      <c r="DY75" s="300"/>
      <c r="DZ75" s="300"/>
      <c r="EA75" s="300"/>
      <c r="EB75" s="300"/>
      <c r="EC75" s="300"/>
      <c r="ED75" s="300"/>
      <c r="EE75" s="300"/>
      <c r="EF75" s="300"/>
      <c r="EG75" s="300"/>
      <c r="EH75" s="300"/>
      <c r="EI75" s="300"/>
      <c r="EJ75" s="300"/>
      <c r="EK75" s="300"/>
      <c r="EL75" s="300"/>
      <c r="EM75" s="300"/>
      <c r="EN75" s="300"/>
      <c r="EO75" s="300"/>
      <c r="EP75" s="300"/>
      <c r="EQ75" s="300"/>
      <c r="ER75" s="300"/>
      <c r="ES75" s="300"/>
      <c r="ET75" s="300"/>
      <c r="EU75" s="300"/>
      <c r="EV75" s="300"/>
      <c r="EW75" s="300"/>
      <c r="EX75" s="300"/>
      <c r="EY75" s="300"/>
      <c r="EZ75" s="300"/>
      <c r="FA75" s="300"/>
      <c r="FB75" s="300"/>
      <c r="FC75" s="300"/>
      <c r="FD75" s="300"/>
      <c r="FE75" s="300"/>
      <c r="FF75" s="300"/>
    </row>
    <row r="76" spans="1:162">
      <c r="A76" s="300"/>
      <c r="B76" s="300"/>
      <c r="C76" s="300"/>
      <c r="D76" s="300"/>
      <c r="E76" s="300"/>
      <c r="F76" s="300"/>
      <c r="G76" s="300"/>
      <c r="H76" s="300"/>
      <c r="I76" s="300"/>
      <c r="J76" s="300"/>
      <c r="K76" s="300"/>
      <c r="L76" s="300"/>
      <c r="M76" s="300"/>
      <c r="N76" s="300"/>
      <c r="O76" s="300"/>
      <c r="P76" s="300"/>
      <c r="Q76" s="300"/>
      <c r="R76" s="300"/>
      <c r="S76" s="300"/>
      <c r="T76" s="300"/>
      <c r="U76" s="300"/>
      <c r="V76" s="300"/>
      <c r="W76" s="300"/>
      <c r="X76" s="300"/>
      <c r="Y76" s="300"/>
      <c r="Z76" s="300"/>
      <c r="AA76" s="300"/>
      <c r="AB76" s="300"/>
      <c r="AC76" s="300"/>
      <c r="AD76" s="300"/>
      <c r="AE76" s="300"/>
      <c r="AF76" s="300"/>
      <c r="AG76" s="300"/>
      <c r="AH76" s="300"/>
      <c r="AI76" s="300"/>
      <c r="AJ76" s="300"/>
      <c r="AK76" s="300"/>
      <c r="AL76" s="300"/>
      <c r="AM76" s="300"/>
      <c r="AN76" s="300"/>
      <c r="AO76" s="300"/>
      <c r="AP76" s="300"/>
      <c r="AQ76" s="300"/>
      <c r="AR76" s="300"/>
      <c r="AS76" s="300"/>
      <c r="AT76" s="300"/>
      <c r="AU76" s="300"/>
      <c r="AV76" s="300"/>
      <c r="AW76" s="300"/>
      <c r="AX76" s="300"/>
      <c r="AY76" s="300"/>
      <c r="AZ76" s="300"/>
      <c r="BA76" s="300"/>
      <c r="BB76" s="300"/>
      <c r="BC76" s="300"/>
      <c r="BD76" s="300"/>
      <c r="BE76" s="300"/>
      <c r="BF76" s="300"/>
      <c r="BG76" s="300"/>
      <c r="BH76" s="300"/>
      <c r="BI76" s="300"/>
      <c r="BJ76" s="300"/>
      <c r="BK76" s="300"/>
      <c r="BL76" s="300"/>
      <c r="BM76" s="300"/>
      <c r="BN76" s="300"/>
      <c r="BO76" s="300"/>
      <c r="BP76" s="300"/>
      <c r="BQ76" s="300"/>
      <c r="BR76" s="300"/>
      <c r="BS76" s="300"/>
      <c r="BT76" s="300"/>
      <c r="BU76" s="300"/>
      <c r="BV76" s="300"/>
      <c r="BW76" s="300"/>
      <c r="BX76" s="300"/>
      <c r="BY76" s="300"/>
      <c r="BZ76" s="300"/>
      <c r="CA76" s="300"/>
      <c r="CB76" s="300"/>
      <c r="CC76" s="300"/>
      <c r="CD76" s="300"/>
      <c r="CE76" s="300"/>
      <c r="CF76" s="300"/>
      <c r="CG76" s="300"/>
      <c r="CH76" s="300"/>
      <c r="CI76" s="300"/>
      <c r="CJ76" s="300"/>
      <c r="CK76" s="300"/>
      <c r="CL76" s="300"/>
      <c r="CM76" s="300"/>
      <c r="CN76" s="300"/>
      <c r="CO76" s="300"/>
      <c r="CP76" s="300"/>
      <c r="CQ76" s="300"/>
      <c r="CR76" s="300"/>
      <c r="CS76" s="300"/>
      <c r="CT76" s="300"/>
      <c r="CU76" s="300"/>
      <c r="CV76" s="300"/>
      <c r="CW76" s="300"/>
      <c r="CX76" s="300"/>
      <c r="CY76" s="300"/>
      <c r="CZ76" s="300"/>
      <c r="DA76" s="300"/>
      <c r="DB76" s="300"/>
      <c r="DC76" s="300"/>
      <c r="DD76" s="300"/>
      <c r="DE76" s="300"/>
      <c r="DF76" s="300"/>
      <c r="DG76" s="300"/>
      <c r="DH76" s="300"/>
      <c r="DI76" s="300"/>
      <c r="DJ76" s="300"/>
      <c r="DK76" s="300"/>
      <c r="DL76" s="300"/>
      <c r="DM76" s="300"/>
      <c r="DN76" s="300"/>
      <c r="DO76" s="300"/>
      <c r="DP76" s="300"/>
      <c r="DQ76" s="300"/>
      <c r="DR76" s="300"/>
      <c r="DS76" s="300"/>
      <c r="DT76" s="300"/>
      <c r="DU76" s="300"/>
      <c r="DV76" s="300"/>
      <c r="DW76" s="300"/>
      <c r="DX76" s="300"/>
      <c r="DY76" s="300"/>
      <c r="DZ76" s="300"/>
      <c r="EA76" s="300"/>
      <c r="EB76" s="300"/>
      <c r="EC76" s="300"/>
      <c r="ED76" s="300"/>
      <c r="EE76" s="300"/>
      <c r="EF76" s="300"/>
      <c r="EG76" s="300"/>
      <c r="EH76" s="300"/>
      <c r="EI76" s="300"/>
      <c r="EJ76" s="300"/>
      <c r="EK76" s="300"/>
      <c r="EL76" s="300"/>
      <c r="EM76" s="300"/>
      <c r="EN76" s="300"/>
      <c r="EO76" s="300"/>
      <c r="EP76" s="300"/>
      <c r="EQ76" s="300"/>
      <c r="ER76" s="300"/>
      <c r="ES76" s="300"/>
      <c r="ET76" s="300"/>
      <c r="EU76" s="300"/>
      <c r="EV76" s="300"/>
      <c r="EW76" s="300"/>
      <c r="EX76" s="300"/>
      <c r="EY76" s="300"/>
      <c r="EZ76" s="300"/>
      <c r="FA76" s="300"/>
      <c r="FB76" s="300"/>
      <c r="FC76" s="300"/>
      <c r="FD76" s="300"/>
      <c r="FE76" s="300"/>
      <c r="FF76" s="300"/>
    </row>
    <row r="77" spans="1:162">
      <c r="A77" s="300"/>
      <c r="B77" s="300"/>
      <c r="C77" s="300"/>
      <c r="D77" s="300"/>
      <c r="E77" s="300"/>
      <c r="F77" s="300"/>
      <c r="G77" s="300"/>
      <c r="H77" s="300"/>
      <c r="I77" s="300"/>
      <c r="J77" s="300"/>
      <c r="K77" s="300"/>
      <c r="L77" s="300"/>
      <c r="M77" s="300"/>
      <c r="N77" s="300"/>
      <c r="O77" s="300"/>
      <c r="P77" s="300"/>
      <c r="Q77" s="300"/>
      <c r="R77" s="300"/>
      <c r="S77" s="300"/>
      <c r="T77" s="300"/>
      <c r="U77" s="300"/>
      <c r="V77" s="300"/>
      <c r="W77" s="300"/>
      <c r="X77" s="300"/>
      <c r="Y77" s="300"/>
      <c r="Z77" s="300"/>
      <c r="AA77" s="300"/>
      <c r="AB77" s="300"/>
      <c r="AC77" s="300"/>
      <c r="AD77" s="300"/>
      <c r="AE77" s="300"/>
      <c r="AF77" s="300"/>
      <c r="AG77" s="300"/>
      <c r="AH77" s="300"/>
      <c r="AI77" s="300"/>
      <c r="AJ77" s="300"/>
      <c r="AK77" s="300"/>
      <c r="AL77" s="300"/>
      <c r="AM77" s="300"/>
      <c r="AN77" s="300"/>
      <c r="AO77" s="300"/>
      <c r="AP77" s="300"/>
      <c r="AQ77" s="300"/>
      <c r="AR77" s="300"/>
      <c r="AS77" s="300"/>
      <c r="AT77" s="300"/>
      <c r="AU77" s="300"/>
      <c r="AV77" s="300"/>
      <c r="AW77" s="300"/>
      <c r="AX77" s="300"/>
      <c r="AY77" s="300"/>
      <c r="AZ77" s="300"/>
      <c r="BA77" s="300"/>
      <c r="BB77" s="300"/>
      <c r="BC77" s="300"/>
      <c r="BD77" s="300"/>
      <c r="BE77" s="300"/>
      <c r="BF77" s="300"/>
      <c r="BG77" s="300"/>
      <c r="BH77" s="300"/>
      <c r="BI77" s="300"/>
      <c r="BJ77" s="300"/>
      <c r="BK77" s="300"/>
      <c r="BL77" s="300"/>
      <c r="BM77" s="300"/>
      <c r="BN77" s="300"/>
      <c r="BO77" s="300"/>
      <c r="BP77" s="300"/>
      <c r="BQ77" s="300"/>
      <c r="BR77" s="300"/>
      <c r="BS77" s="300"/>
      <c r="BT77" s="300"/>
      <c r="BU77" s="300"/>
      <c r="BV77" s="300"/>
      <c r="BW77" s="300"/>
      <c r="BX77" s="300"/>
      <c r="BY77" s="300"/>
      <c r="BZ77" s="300"/>
      <c r="CA77" s="300"/>
      <c r="CB77" s="300"/>
      <c r="CC77" s="300"/>
      <c r="CD77" s="300"/>
      <c r="CE77" s="300"/>
      <c r="CF77" s="300"/>
      <c r="CG77" s="300"/>
      <c r="CH77" s="300"/>
      <c r="CI77" s="300"/>
      <c r="CJ77" s="300"/>
      <c r="CK77" s="300"/>
      <c r="CL77" s="300"/>
      <c r="CM77" s="300"/>
      <c r="CN77" s="300"/>
      <c r="CO77" s="300"/>
      <c r="CP77" s="300"/>
      <c r="CQ77" s="300"/>
      <c r="CR77" s="300"/>
      <c r="CS77" s="300"/>
      <c r="CT77" s="300"/>
      <c r="CU77" s="300"/>
      <c r="CV77" s="300"/>
      <c r="CW77" s="300"/>
      <c r="CX77" s="300"/>
      <c r="CY77" s="300"/>
      <c r="CZ77" s="300"/>
      <c r="DA77" s="300"/>
      <c r="DB77" s="300"/>
      <c r="DC77" s="300"/>
      <c r="DD77" s="300"/>
      <c r="DE77" s="300"/>
      <c r="DF77" s="300"/>
      <c r="DG77" s="300"/>
      <c r="DH77" s="300"/>
      <c r="DI77" s="300"/>
      <c r="DJ77" s="300"/>
      <c r="DK77" s="300"/>
      <c r="DL77" s="300"/>
      <c r="DM77" s="300"/>
      <c r="DN77" s="300"/>
      <c r="DO77" s="300"/>
      <c r="DP77" s="300"/>
      <c r="DQ77" s="300"/>
      <c r="DR77" s="300"/>
      <c r="DS77" s="300"/>
      <c r="DT77" s="300"/>
      <c r="DU77" s="300"/>
      <c r="DV77" s="300"/>
      <c r="DW77" s="300"/>
      <c r="DX77" s="300"/>
      <c r="DY77" s="300"/>
      <c r="DZ77" s="300"/>
      <c r="EA77" s="300"/>
      <c r="EB77" s="300"/>
      <c r="EC77" s="300"/>
      <c r="ED77" s="300"/>
      <c r="EE77" s="300"/>
      <c r="EF77" s="300"/>
      <c r="EG77" s="300"/>
      <c r="EH77" s="300"/>
      <c r="EI77" s="300"/>
      <c r="EJ77" s="300"/>
      <c r="EK77" s="300"/>
      <c r="EL77" s="300"/>
      <c r="EM77" s="300"/>
      <c r="EN77" s="300"/>
      <c r="EO77" s="300"/>
      <c r="EP77" s="300"/>
      <c r="EQ77" s="300"/>
      <c r="ER77" s="300"/>
      <c r="ES77" s="300"/>
      <c r="ET77" s="300"/>
      <c r="EU77" s="300"/>
      <c r="EV77" s="300"/>
      <c r="EW77" s="300"/>
      <c r="EX77" s="300"/>
      <c r="EY77" s="300"/>
      <c r="EZ77" s="300"/>
      <c r="FA77" s="300"/>
      <c r="FB77" s="300"/>
      <c r="FC77" s="300"/>
      <c r="FD77" s="300"/>
      <c r="FE77" s="300"/>
      <c r="FF77" s="300"/>
    </row>
    <row r="78" spans="1:162">
      <c r="A78" s="300"/>
      <c r="B78" s="300"/>
      <c r="C78" s="300"/>
      <c r="D78" s="300"/>
      <c r="E78" s="300"/>
      <c r="F78" s="300"/>
      <c r="G78" s="300"/>
      <c r="H78" s="300"/>
      <c r="I78" s="300"/>
      <c r="J78" s="300"/>
      <c r="K78" s="300"/>
      <c r="L78" s="300"/>
      <c r="M78" s="300"/>
      <c r="N78" s="300"/>
      <c r="O78" s="300"/>
      <c r="P78" s="300"/>
      <c r="Q78" s="300"/>
      <c r="R78" s="300"/>
      <c r="S78" s="300"/>
      <c r="T78" s="300"/>
      <c r="U78" s="300"/>
      <c r="V78" s="300"/>
      <c r="W78" s="300"/>
      <c r="X78" s="300"/>
      <c r="Y78" s="300"/>
      <c r="Z78" s="300"/>
      <c r="AA78" s="300"/>
      <c r="AB78" s="300"/>
      <c r="AC78" s="300"/>
      <c r="AD78" s="300"/>
      <c r="AE78" s="300"/>
      <c r="AF78" s="300"/>
      <c r="AG78" s="300"/>
      <c r="AH78" s="300"/>
      <c r="AI78" s="300"/>
      <c r="AJ78" s="300"/>
      <c r="AK78" s="300"/>
      <c r="AL78" s="300"/>
      <c r="AM78" s="300"/>
      <c r="AN78" s="300"/>
      <c r="AO78" s="300"/>
      <c r="AP78" s="300"/>
      <c r="AQ78" s="300"/>
      <c r="AR78" s="300"/>
      <c r="AS78" s="300"/>
      <c r="AT78" s="300"/>
      <c r="AU78" s="300"/>
      <c r="AV78" s="300"/>
      <c r="AW78" s="300"/>
      <c r="AX78" s="300"/>
      <c r="AY78" s="300"/>
      <c r="AZ78" s="300"/>
      <c r="BA78" s="300"/>
      <c r="BB78" s="300"/>
      <c r="BC78" s="300"/>
      <c r="BD78" s="300"/>
      <c r="BE78" s="300"/>
      <c r="BF78" s="300"/>
      <c r="BG78" s="300"/>
      <c r="BH78" s="300"/>
      <c r="BI78" s="300"/>
      <c r="BJ78" s="300"/>
      <c r="BK78" s="300"/>
      <c r="BL78" s="300"/>
      <c r="BM78" s="300"/>
      <c r="BN78" s="300"/>
      <c r="BO78" s="300"/>
      <c r="BP78" s="300"/>
      <c r="BQ78" s="300"/>
      <c r="BR78" s="300"/>
      <c r="BS78" s="300"/>
      <c r="BT78" s="300"/>
      <c r="BU78" s="300"/>
      <c r="BV78" s="300"/>
      <c r="BW78" s="300"/>
      <c r="BX78" s="300"/>
      <c r="BY78" s="300"/>
      <c r="BZ78" s="300"/>
      <c r="CA78" s="300"/>
      <c r="CB78" s="300"/>
      <c r="CC78" s="300"/>
      <c r="CD78" s="300"/>
      <c r="CE78" s="300"/>
      <c r="CF78" s="300"/>
      <c r="CG78" s="300"/>
      <c r="CH78" s="300"/>
      <c r="CI78" s="300"/>
      <c r="CJ78" s="300"/>
      <c r="CK78" s="300"/>
      <c r="CL78" s="300"/>
      <c r="CM78" s="300"/>
      <c r="CN78" s="300"/>
      <c r="CO78" s="300"/>
      <c r="CP78" s="300"/>
      <c r="CQ78" s="300"/>
      <c r="CR78" s="300"/>
      <c r="CS78" s="300"/>
      <c r="CT78" s="300"/>
      <c r="CU78" s="300"/>
      <c r="CV78" s="300"/>
      <c r="CW78" s="300"/>
      <c r="CX78" s="300"/>
      <c r="CY78" s="300"/>
      <c r="CZ78" s="300"/>
      <c r="DA78" s="300"/>
      <c r="DB78" s="300"/>
      <c r="DC78" s="300"/>
      <c r="DD78" s="300"/>
      <c r="DE78" s="300"/>
      <c r="DF78" s="300"/>
      <c r="DG78" s="300"/>
      <c r="DH78" s="300"/>
      <c r="DI78" s="300"/>
      <c r="DJ78" s="300"/>
      <c r="DK78" s="300"/>
      <c r="DL78" s="300"/>
      <c r="DM78" s="300"/>
      <c r="DN78" s="300"/>
      <c r="DO78" s="300"/>
      <c r="DP78" s="300"/>
      <c r="DQ78" s="300"/>
      <c r="DR78" s="300"/>
      <c r="DS78" s="300"/>
      <c r="DT78" s="300"/>
      <c r="DU78" s="300"/>
      <c r="DV78" s="300"/>
      <c r="DW78" s="300"/>
      <c r="DX78" s="300"/>
      <c r="DY78" s="300"/>
      <c r="DZ78" s="300"/>
      <c r="EA78" s="300"/>
      <c r="EB78" s="300"/>
      <c r="EC78" s="300"/>
      <c r="ED78" s="300"/>
      <c r="EE78" s="300"/>
      <c r="EF78" s="300"/>
      <c r="EG78" s="300"/>
      <c r="EH78" s="300"/>
      <c r="EI78" s="300"/>
      <c r="EJ78" s="300"/>
      <c r="EK78" s="300"/>
      <c r="EL78" s="300"/>
      <c r="EM78" s="300"/>
      <c r="EN78" s="300"/>
      <c r="EO78" s="300"/>
      <c r="EP78" s="300"/>
      <c r="EQ78" s="300"/>
      <c r="ER78" s="300"/>
      <c r="ES78" s="300"/>
      <c r="ET78" s="300"/>
      <c r="EU78" s="300"/>
      <c r="EV78" s="300"/>
      <c r="EW78" s="300"/>
      <c r="EX78" s="300"/>
      <c r="EY78" s="300"/>
      <c r="EZ78" s="300"/>
      <c r="FA78" s="300"/>
      <c r="FB78" s="300"/>
      <c r="FC78" s="300"/>
      <c r="FD78" s="300"/>
      <c r="FE78" s="300"/>
      <c r="FF78" s="300"/>
    </row>
    <row r="79" spans="1:162">
      <c r="A79" s="300"/>
      <c r="B79" s="300"/>
      <c r="C79" s="300"/>
      <c r="D79" s="300"/>
      <c r="E79" s="300"/>
      <c r="F79" s="300"/>
      <c r="G79" s="300"/>
      <c r="H79" s="300"/>
      <c r="I79" s="300"/>
      <c r="J79" s="300"/>
      <c r="K79" s="300"/>
      <c r="L79" s="300"/>
      <c r="M79" s="300"/>
      <c r="N79" s="300"/>
      <c r="O79" s="300"/>
      <c r="P79" s="300"/>
      <c r="Q79" s="300"/>
      <c r="R79" s="300"/>
      <c r="S79" s="300"/>
      <c r="T79" s="300"/>
      <c r="U79" s="300"/>
      <c r="V79" s="300"/>
      <c r="W79" s="300"/>
      <c r="X79" s="300"/>
      <c r="Y79" s="300"/>
      <c r="Z79" s="300"/>
      <c r="AA79" s="300"/>
      <c r="AB79" s="300"/>
      <c r="AC79" s="300"/>
      <c r="AD79" s="300"/>
      <c r="AE79" s="300"/>
      <c r="AF79" s="300"/>
      <c r="AG79" s="300"/>
      <c r="AH79" s="300"/>
      <c r="AI79" s="300"/>
      <c r="AJ79" s="300"/>
      <c r="AK79" s="300"/>
      <c r="AL79" s="300"/>
      <c r="AM79" s="300"/>
      <c r="AN79" s="300"/>
      <c r="AO79" s="300"/>
      <c r="AP79" s="300"/>
      <c r="AQ79" s="300"/>
      <c r="AR79" s="300"/>
      <c r="AS79" s="300"/>
      <c r="AT79" s="300"/>
      <c r="AU79" s="300"/>
      <c r="AV79" s="300"/>
      <c r="AW79" s="300"/>
      <c r="AX79" s="300"/>
      <c r="AY79" s="300"/>
      <c r="AZ79" s="300"/>
      <c r="BA79" s="300"/>
      <c r="BB79" s="300"/>
      <c r="BC79" s="300"/>
      <c r="BD79" s="300"/>
      <c r="BE79" s="300"/>
      <c r="BF79" s="300"/>
      <c r="BG79" s="300"/>
      <c r="BH79" s="300"/>
      <c r="BI79" s="300"/>
      <c r="BJ79" s="300"/>
      <c r="BK79" s="300"/>
      <c r="BL79" s="300"/>
      <c r="BM79" s="300"/>
      <c r="BN79" s="300"/>
      <c r="BO79" s="300"/>
      <c r="BP79" s="300"/>
      <c r="BQ79" s="300"/>
      <c r="BR79" s="300"/>
      <c r="BS79" s="300"/>
      <c r="BT79" s="300"/>
      <c r="BU79" s="300"/>
      <c r="BV79" s="300"/>
      <c r="BW79" s="300"/>
      <c r="BX79" s="300"/>
      <c r="BY79" s="300"/>
      <c r="BZ79" s="300"/>
      <c r="CA79" s="300"/>
      <c r="CB79" s="300"/>
      <c r="CC79" s="300"/>
      <c r="CD79" s="300"/>
      <c r="CE79" s="300"/>
      <c r="CF79" s="300"/>
      <c r="CG79" s="300"/>
      <c r="CH79" s="300"/>
      <c r="CI79" s="300"/>
      <c r="CJ79" s="300"/>
      <c r="CK79" s="300"/>
      <c r="CL79" s="300"/>
      <c r="CM79" s="300"/>
      <c r="CN79" s="300"/>
      <c r="CO79" s="300"/>
      <c r="CP79" s="300"/>
      <c r="CQ79" s="300"/>
      <c r="CR79" s="300"/>
      <c r="CS79" s="300"/>
      <c r="CT79" s="300"/>
      <c r="CU79" s="300"/>
      <c r="CV79" s="300"/>
      <c r="CW79" s="300"/>
      <c r="CX79" s="300"/>
      <c r="CY79" s="300"/>
      <c r="CZ79" s="300"/>
      <c r="DA79" s="300"/>
      <c r="DB79" s="300"/>
      <c r="DC79" s="300"/>
      <c r="DD79" s="300"/>
      <c r="DE79" s="300"/>
      <c r="DF79" s="300"/>
      <c r="DG79" s="300"/>
      <c r="DH79" s="300"/>
      <c r="DI79" s="300"/>
      <c r="DJ79" s="300"/>
      <c r="DK79" s="300"/>
      <c r="DL79" s="300"/>
      <c r="DM79" s="300"/>
      <c r="DN79" s="300"/>
      <c r="DO79" s="300"/>
      <c r="DP79" s="300"/>
      <c r="DQ79" s="300"/>
      <c r="DR79" s="300"/>
      <c r="DS79" s="300"/>
      <c r="DT79" s="300"/>
      <c r="DU79" s="300"/>
      <c r="DV79" s="300"/>
      <c r="DW79" s="300"/>
      <c r="DX79" s="300"/>
      <c r="DY79" s="300"/>
      <c r="DZ79" s="300"/>
      <c r="EA79" s="300"/>
      <c r="EB79" s="300"/>
      <c r="EC79" s="300"/>
      <c r="ED79" s="300"/>
      <c r="EE79" s="300"/>
      <c r="EF79" s="300"/>
      <c r="EG79" s="300"/>
      <c r="EH79" s="300"/>
      <c r="EI79" s="300"/>
      <c r="EJ79" s="300"/>
      <c r="EK79" s="300"/>
      <c r="EL79" s="300"/>
      <c r="EM79" s="300"/>
      <c r="EN79" s="300"/>
      <c r="EO79" s="300"/>
      <c r="EP79" s="300"/>
      <c r="EQ79" s="300"/>
      <c r="ER79" s="300"/>
      <c r="ES79" s="300"/>
      <c r="ET79" s="300"/>
      <c r="EU79" s="300"/>
      <c r="EV79" s="300"/>
      <c r="EW79" s="300"/>
      <c r="EX79" s="300"/>
      <c r="EY79" s="300"/>
      <c r="EZ79" s="300"/>
      <c r="FA79" s="300"/>
      <c r="FB79" s="300"/>
      <c r="FC79" s="300"/>
      <c r="FD79" s="300"/>
      <c r="FE79" s="300"/>
      <c r="FF79" s="300"/>
    </row>
    <row r="80" spans="1:162">
      <c r="A80" s="300"/>
      <c r="B80" s="300"/>
      <c r="C80" s="300"/>
      <c r="D80" s="300"/>
      <c r="E80" s="300"/>
      <c r="F80" s="300"/>
      <c r="G80" s="300"/>
      <c r="H80" s="300"/>
      <c r="I80" s="300"/>
      <c r="J80" s="300"/>
      <c r="K80" s="300"/>
      <c r="L80" s="300"/>
      <c r="M80" s="300"/>
      <c r="N80" s="300"/>
      <c r="O80" s="300"/>
      <c r="P80" s="300"/>
      <c r="Q80" s="300"/>
      <c r="R80" s="300"/>
      <c r="S80" s="300"/>
      <c r="T80" s="300"/>
      <c r="U80" s="300"/>
      <c r="V80" s="300"/>
      <c r="W80" s="300"/>
      <c r="X80" s="300"/>
      <c r="Y80" s="300"/>
      <c r="Z80" s="300"/>
      <c r="AA80" s="300"/>
      <c r="AB80" s="300"/>
      <c r="AC80" s="300"/>
      <c r="AD80" s="300"/>
      <c r="AE80" s="300"/>
      <c r="AF80" s="300"/>
      <c r="AG80" s="300"/>
      <c r="AH80" s="300"/>
      <c r="AI80" s="300"/>
      <c r="AJ80" s="300"/>
      <c r="AK80" s="300"/>
      <c r="AL80" s="300"/>
      <c r="AM80" s="300"/>
      <c r="AN80" s="300"/>
      <c r="AO80" s="300"/>
      <c r="AP80" s="300"/>
      <c r="AQ80" s="300"/>
      <c r="AR80" s="300"/>
      <c r="AS80" s="300"/>
      <c r="AT80" s="300"/>
      <c r="AU80" s="300"/>
      <c r="AV80" s="300"/>
      <c r="AW80" s="300"/>
      <c r="AX80" s="300"/>
      <c r="AY80" s="300"/>
      <c r="AZ80" s="300"/>
      <c r="BA80" s="300"/>
      <c r="BB80" s="300"/>
      <c r="BC80" s="300"/>
      <c r="BD80" s="300"/>
      <c r="BE80" s="300"/>
      <c r="BF80" s="300"/>
      <c r="BG80" s="300"/>
      <c r="BH80" s="300"/>
      <c r="BI80" s="300"/>
      <c r="BJ80" s="300"/>
      <c r="BK80" s="300"/>
      <c r="BL80" s="300"/>
      <c r="BM80" s="300"/>
      <c r="BN80" s="300"/>
      <c r="BO80" s="300"/>
      <c r="BP80" s="300"/>
      <c r="BQ80" s="300"/>
      <c r="BR80" s="300"/>
      <c r="BS80" s="300"/>
      <c r="BT80" s="300"/>
      <c r="BU80" s="300"/>
      <c r="BV80" s="300"/>
      <c r="BW80" s="300"/>
      <c r="BX80" s="300"/>
      <c r="BY80" s="300"/>
      <c r="BZ80" s="300"/>
      <c r="CA80" s="300"/>
      <c r="CB80" s="300"/>
      <c r="CC80" s="300"/>
      <c r="CD80" s="300"/>
      <c r="CE80" s="300"/>
      <c r="CF80" s="300"/>
      <c r="CG80" s="300"/>
      <c r="CH80" s="300"/>
      <c r="CI80" s="300"/>
      <c r="CJ80" s="300"/>
      <c r="CK80" s="300"/>
      <c r="CL80" s="300"/>
      <c r="CM80" s="300"/>
      <c r="CN80" s="300"/>
      <c r="CO80" s="300"/>
      <c r="CP80" s="300"/>
      <c r="CQ80" s="300"/>
      <c r="CR80" s="300"/>
      <c r="CS80" s="300"/>
      <c r="CT80" s="300"/>
      <c r="CU80" s="300"/>
      <c r="CV80" s="300"/>
      <c r="CW80" s="300"/>
      <c r="CX80" s="300"/>
      <c r="CY80" s="300"/>
      <c r="CZ80" s="300"/>
      <c r="DA80" s="300"/>
      <c r="DB80" s="300"/>
      <c r="DC80" s="300"/>
      <c r="DD80" s="300"/>
      <c r="DE80" s="300"/>
      <c r="DF80" s="300"/>
      <c r="DG80" s="300"/>
      <c r="DH80" s="300"/>
      <c r="DI80" s="300"/>
      <c r="DJ80" s="300"/>
      <c r="DK80" s="300"/>
      <c r="DL80" s="300"/>
      <c r="DM80" s="300"/>
      <c r="DN80" s="300"/>
      <c r="DO80" s="300"/>
      <c r="DP80" s="300"/>
      <c r="DQ80" s="300"/>
      <c r="DR80" s="300"/>
      <c r="DS80" s="300"/>
      <c r="DT80" s="300"/>
      <c r="DU80" s="300"/>
      <c r="DV80" s="300"/>
      <c r="DW80" s="300"/>
      <c r="DX80" s="300"/>
      <c r="DY80" s="300"/>
      <c r="DZ80" s="300"/>
      <c r="EA80" s="300"/>
      <c r="EB80" s="300"/>
      <c r="EC80" s="300"/>
      <c r="ED80" s="300"/>
      <c r="EE80" s="300"/>
      <c r="EF80" s="300"/>
      <c r="EG80" s="300"/>
      <c r="EH80" s="300"/>
      <c r="EI80" s="300"/>
      <c r="EJ80" s="300"/>
      <c r="EK80" s="300"/>
      <c r="EL80" s="300"/>
      <c r="EM80" s="300"/>
      <c r="EN80" s="300"/>
      <c r="EO80" s="300"/>
      <c r="EP80" s="300"/>
      <c r="EQ80" s="300"/>
      <c r="ER80" s="300"/>
      <c r="ES80" s="300"/>
      <c r="ET80" s="300"/>
      <c r="EU80" s="300"/>
      <c r="EV80" s="300"/>
      <c r="EW80" s="300"/>
      <c r="EX80" s="300"/>
      <c r="EY80" s="300"/>
      <c r="EZ80" s="300"/>
      <c r="FA80" s="300"/>
      <c r="FB80" s="300"/>
      <c r="FC80" s="300"/>
      <c r="FD80" s="300"/>
      <c r="FE80" s="300"/>
      <c r="FF80" s="300"/>
    </row>
    <row r="81" spans="1:162">
      <c r="A81" s="300"/>
      <c r="B81" s="300"/>
      <c r="C81" s="300"/>
      <c r="D81" s="300"/>
      <c r="E81" s="300"/>
      <c r="F81" s="300"/>
      <c r="G81" s="300"/>
      <c r="H81" s="300"/>
      <c r="I81" s="300"/>
      <c r="J81" s="300"/>
      <c r="K81" s="300"/>
      <c r="L81" s="300"/>
      <c r="M81" s="300"/>
      <c r="N81" s="300"/>
      <c r="O81" s="300"/>
      <c r="P81" s="300"/>
      <c r="Q81" s="300"/>
      <c r="R81" s="300"/>
      <c r="S81" s="300"/>
      <c r="T81" s="300"/>
      <c r="U81" s="300"/>
      <c r="V81" s="300"/>
      <c r="W81" s="300"/>
      <c r="X81" s="300"/>
      <c r="Y81" s="300"/>
      <c r="Z81" s="300"/>
      <c r="AA81" s="300"/>
      <c r="AB81" s="300"/>
      <c r="AC81" s="300"/>
      <c r="AD81" s="300"/>
      <c r="AE81" s="300"/>
      <c r="AF81" s="300"/>
      <c r="AG81" s="300"/>
      <c r="AH81" s="300"/>
      <c r="AI81" s="300"/>
      <c r="AJ81" s="300"/>
      <c r="AK81" s="300"/>
      <c r="AL81" s="300"/>
      <c r="AM81" s="300"/>
      <c r="AN81" s="300"/>
      <c r="AO81" s="300"/>
      <c r="AP81" s="300"/>
      <c r="AQ81" s="300"/>
      <c r="AR81" s="300"/>
      <c r="AS81" s="300"/>
      <c r="AT81" s="300"/>
      <c r="AU81" s="300"/>
      <c r="AV81" s="300"/>
      <c r="AW81" s="300"/>
      <c r="AX81" s="300"/>
      <c r="AY81" s="300"/>
      <c r="AZ81" s="300"/>
      <c r="BA81" s="300"/>
      <c r="BB81" s="300"/>
      <c r="BC81" s="300"/>
      <c r="BD81" s="300"/>
      <c r="BE81" s="300"/>
      <c r="BF81" s="300"/>
      <c r="BG81" s="300"/>
      <c r="BH81" s="300"/>
      <c r="BI81" s="300"/>
      <c r="BJ81" s="300"/>
      <c r="BK81" s="300"/>
      <c r="BL81" s="300"/>
      <c r="BM81" s="300"/>
      <c r="BN81" s="300"/>
      <c r="BO81" s="300"/>
      <c r="BP81" s="300"/>
      <c r="BQ81" s="300"/>
      <c r="BR81" s="300"/>
      <c r="BS81" s="300"/>
      <c r="BT81" s="300"/>
      <c r="BU81" s="300"/>
      <c r="BV81" s="300"/>
      <c r="BW81" s="300"/>
      <c r="BX81" s="300"/>
      <c r="BY81" s="300"/>
      <c r="BZ81" s="300"/>
      <c r="CA81" s="300"/>
      <c r="CB81" s="300"/>
      <c r="CC81" s="300"/>
      <c r="CD81" s="300"/>
      <c r="CE81" s="300"/>
      <c r="CF81" s="300"/>
      <c r="CG81" s="300"/>
      <c r="CH81" s="300"/>
      <c r="CI81" s="300"/>
      <c r="CJ81" s="300"/>
      <c r="CK81" s="300"/>
      <c r="CL81" s="300"/>
      <c r="CM81" s="300"/>
      <c r="CN81" s="300"/>
      <c r="CO81" s="300"/>
      <c r="CP81" s="300"/>
      <c r="CQ81" s="300"/>
      <c r="CR81" s="300"/>
      <c r="CS81" s="300"/>
      <c r="CT81" s="300"/>
      <c r="CU81" s="300"/>
      <c r="CV81" s="300"/>
      <c r="CW81" s="300"/>
      <c r="CX81" s="300"/>
      <c r="CY81" s="300"/>
      <c r="CZ81" s="300"/>
      <c r="DA81" s="300"/>
      <c r="DB81" s="300"/>
      <c r="DC81" s="300"/>
      <c r="DD81" s="300"/>
      <c r="DE81" s="300"/>
      <c r="DF81" s="300"/>
      <c r="DG81" s="300"/>
      <c r="DH81" s="300"/>
      <c r="DI81" s="300"/>
      <c r="DJ81" s="300"/>
      <c r="DK81" s="300"/>
      <c r="DL81" s="300"/>
      <c r="DM81" s="300"/>
      <c r="DN81" s="300"/>
      <c r="DO81" s="300"/>
      <c r="DP81" s="300"/>
      <c r="DQ81" s="300"/>
      <c r="DR81" s="300"/>
      <c r="DS81" s="300"/>
      <c r="DT81" s="300"/>
      <c r="DU81" s="300"/>
      <c r="DV81" s="300"/>
      <c r="DW81" s="300"/>
      <c r="DX81" s="300"/>
      <c r="DY81" s="300"/>
      <c r="DZ81" s="300"/>
      <c r="EA81" s="300"/>
      <c r="EB81" s="300"/>
      <c r="EC81" s="300"/>
      <c r="ED81" s="300"/>
      <c r="EE81" s="300"/>
      <c r="EF81" s="300"/>
      <c r="EG81" s="300"/>
      <c r="EH81" s="300"/>
      <c r="EI81" s="300"/>
      <c r="EJ81" s="300"/>
      <c r="EK81" s="300"/>
      <c r="EL81" s="300"/>
      <c r="EM81" s="300"/>
      <c r="EN81" s="300"/>
      <c r="EO81" s="300"/>
      <c r="EP81" s="300"/>
      <c r="EQ81" s="300"/>
      <c r="ER81" s="300"/>
      <c r="ES81" s="300"/>
      <c r="ET81" s="300"/>
      <c r="EU81" s="300"/>
      <c r="EV81" s="300"/>
      <c r="EW81" s="300"/>
      <c r="EX81" s="300"/>
      <c r="EY81" s="300"/>
      <c r="EZ81" s="300"/>
      <c r="FA81" s="300"/>
      <c r="FB81" s="300"/>
      <c r="FC81" s="300"/>
      <c r="FD81" s="300"/>
      <c r="FE81" s="300"/>
      <c r="FF81" s="300"/>
    </row>
    <row r="82" spans="1:162">
      <c r="A82" s="300"/>
      <c r="B82" s="300"/>
      <c r="C82" s="300"/>
      <c r="D82" s="300"/>
      <c r="E82" s="300"/>
      <c r="F82" s="300"/>
      <c r="G82" s="300"/>
      <c r="H82" s="300"/>
      <c r="I82" s="300"/>
      <c r="J82" s="300"/>
      <c r="K82" s="300"/>
      <c r="L82" s="300"/>
      <c r="M82" s="300"/>
      <c r="N82" s="300"/>
      <c r="O82" s="300"/>
      <c r="P82" s="300"/>
      <c r="Q82" s="300"/>
      <c r="R82" s="300"/>
      <c r="S82" s="300"/>
      <c r="T82" s="300"/>
      <c r="U82" s="300"/>
      <c r="V82" s="300"/>
      <c r="W82" s="300"/>
      <c r="X82" s="300"/>
      <c r="Y82" s="300"/>
      <c r="Z82" s="300"/>
      <c r="AA82" s="300"/>
      <c r="AB82" s="300"/>
      <c r="AC82" s="300"/>
      <c r="AD82" s="300"/>
      <c r="AE82" s="300"/>
      <c r="AF82" s="300"/>
      <c r="AG82" s="300"/>
      <c r="AH82" s="300"/>
      <c r="AI82" s="300"/>
      <c r="AJ82" s="300"/>
      <c r="AK82" s="300"/>
      <c r="AL82" s="300"/>
      <c r="AM82" s="300"/>
      <c r="AN82" s="300"/>
      <c r="AO82" s="300"/>
      <c r="AP82" s="300"/>
      <c r="AQ82" s="300"/>
      <c r="AR82" s="300"/>
      <c r="AS82" s="300"/>
      <c r="AT82" s="300"/>
      <c r="AU82" s="300"/>
      <c r="AV82" s="300"/>
      <c r="AW82" s="300"/>
      <c r="AX82" s="300"/>
      <c r="AY82" s="300"/>
      <c r="AZ82" s="300"/>
      <c r="BA82" s="300"/>
      <c r="BB82" s="300"/>
      <c r="BC82" s="300"/>
      <c r="BD82" s="300"/>
      <c r="BE82" s="300"/>
      <c r="BF82" s="300"/>
      <c r="BG82" s="300"/>
      <c r="BH82" s="300"/>
      <c r="BI82" s="300"/>
      <c r="BJ82" s="300"/>
      <c r="BK82" s="300"/>
      <c r="BL82" s="300"/>
      <c r="BM82" s="300"/>
      <c r="BN82" s="300"/>
      <c r="BO82" s="300"/>
      <c r="BP82" s="300"/>
      <c r="BQ82" s="300"/>
      <c r="BR82" s="300"/>
      <c r="BS82" s="300"/>
      <c r="BT82" s="300"/>
      <c r="BU82" s="300"/>
      <c r="BV82" s="300"/>
      <c r="BW82" s="300"/>
      <c r="BX82" s="300"/>
      <c r="BY82" s="300"/>
      <c r="BZ82" s="300"/>
      <c r="CA82" s="300"/>
      <c r="CB82" s="300"/>
      <c r="CC82" s="300"/>
      <c r="CD82" s="300"/>
      <c r="CE82" s="300"/>
      <c r="CF82" s="300"/>
      <c r="CG82" s="300"/>
      <c r="CH82" s="300"/>
      <c r="CI82" s="300"/>
      <c r="CJ82" s="300"/>
      <c r="CK82" s="300"/>
      <c r="CL82" s="300"/>
      <c r="CM82" s="300"/>
      <c r="CN82" s="300"/>
      <c r="CO82" s="300"/>
      <c r="CP82" s="300"/>
      <c r="CQ82" s="300"/>
      <c r="CR82" s="300"/>
      <c r="CS82" s="300"/>
      <c r="CT82" s="300"/>
      <c r="CU82" s="300"/>
      <c r="CV82" s="300"/>
      <c r="CW82" s="300"/>
      <c r="CX82" s="300"/>
      <c r="CY82" s="300"/>
      <c r="CZ82" s="300"/>
      <c r="DA82" s="300"/>
      <c r="DB82" s="300"/>
      <c r="DC82" s="300"/>
      <c r="DD82" s="300"/>
      <c r="DE82" s="300"/>
      <c r="DF82" s="300"/>
      <c r="DG82" s="300"/>
      <c r="DH82" s="300"/>
      <c r="DI82" s="300"/>
      <c r="DJ82" s="300"/>
      <c r="DK82" s="300"/>
      <c r="DL82" s="300"/>
      <c r="DM82" s="300"/>
      <c r="DN82" s="300"/>
      <c r="DO82" s="300"/>
      <c r="DP82" s="300"/>
      <c r="DQ82" s="300"/>
      <c r="DR82" s="300"/>
      <c r="DS82" s="300"/>
      <c r="DT82" s="300"/>
      <c r="DU82" s="300"/>
      <c r="DV82" s="300"/>
      <c r="DW82" s="300"/>
      <c r="DX82" s="300"/>
      <c r="DY82" s="300"/>
      <c r="DZ82" s="300"/>
      <c r="EA82" s="300"/>
      <c r="EB82" s="300"/>
      <c r="EC82" s="300"/>
      <c r="ED82" s="300"/>
      <c r="EE82" s="300"/>
      <c r="EF82" s="300"/>
      <c r="EG82" s="300"/>
      <c r="EH82" s="300"/>
      <c r="EI82" s="300"/>
      <c r="EJ82" s="300"/>
      <c r="EK82" s="300"/>
      <c r="EL82" s="300"/>
      <c r="EM82" s="300"/>
      <c r="EN82" s="300"/>
      <c r="EO82" s="300"/>
      <c r="EP82" s="300"/>
      <c r="EQ82" s="300"/>
      <c r="ER82" s="300"/>
      <c r="ES82" s="300"/>
      <c r="ET82" s="300"/>
      <c r="EU82" s="300"/>
      <c r="EV82" s="300"/>
      <c r="EW82" s="300"/>
      <c r="EX82" s="300"/>
      <c r="EY82" s="300"/>
      <c r="EZ82" s="300"/>
      <c r="FA82" s="300"/>
      <c r="FB82" s="300"/>
      <c r="FC82" s="300"/>
      <c r="FD82" s="300"/>
      <c r="FE82" s="300"/>
      <c r="FF82" s="300"/>
    </row>
    <row r="83" spans="1:162">
      <c r="A83" s="300"/>
      <c r="B83" s="300"/>
      <c r="C83" s="300"/>
      <c r="D83" s="300"/>
      <c r="E83" s="300"/>
      <c r="F83" s="300"/>
      <c r="G83" s="300"/>
      <c r="H83" s="300"/>
      <c r="I83" s="300"/>
      <c r="J83" s="300"/>
      <c r="K83" s="300"/>
      <c r="L83" s="300"/>
      <c r="M83" s="300"/>
      <c r="N83" s="300"/>
      <c r="O83" s="300"/>
      <c r="P83" s="300"/>
      <c r="Q83" s="300"/>
      <c r="R83" s="300"/>
      <c r="S83" s="300"/>
      <c r="T83" s="300"/>
      <c r="U83" s="300"/>
      <c r="V83" s="300"/>
      <c r="W83" s="300"/>
      <c r="X83" s="300"/>
      <c r="Y83" s="300"/>
      <c r="Z83" s="300"/>
      <c r="AA83" s="300"/>
      <c r="AB83" s="300"/>
      <c r="AC83" s="300"/>
      <c r="AD83" s="300"/>
      <c r="AE83" s="300"/>
      <c r="AF83" s="300"/>
      <c r="AG83" s="300"/>
      <c r="AH83" s="300"/>
      <c r="AI83" s="300"/>
      <c r="AJ83" s="300"/>
      <c r="AK83" s="300"/>
      <c r="AL83" s="300"/>
      <c r="AM83" s="300"/>
      <c r="AN83" s="300"/>
      <c r="AO83" s="300"/>
      <c r="AP83" s="300"/>
      <c r="AQ83" s="300"/>
      <c r="AR83" s="300"/>
      <c r="AS83" s="300"/>
      <c r="AT83" s="300"/>
      <c r="AU83" s="300"/>
      <c r="AV83" s="300"/>
      <c r="AW83" s="300"/>
      <c r="AX83" s="300"/>
      <c r="AY83" s="300"/>
      <c r="AZ83" s="300"/>
      <c r="BA83" s="300"/>
      <c r="BB83" s="300"/>
      <c r="BC83" s="300"/>
      <c r="BD83" s="300"/>
      <c r="BE83" s="300"/>
      <c r="BF83" s="300"/>
      <c r="BG83" s="300"/>
      <c r="BH83" s="300"/>
      <c r="BI83" s="300"/>
      <c r="BJ83" s="300"/>
      <c r="BK83" s="300"/>
      <c r="BL83" s="300"/>
      <c r="BM83" s="300"/>
      <c r="BN83" s="300"/>
      <c r="BO83" s="300"/>
      <c r="BP83" s="300"/>
      <c r="BQ83" s="300"/>
      <c r="BR83" s="300"/>
      <c r="BS83" s="300"/>
      <c r="BT83" s="300"/>
      <c r="BU83" s="300"/>
      <c r="BV83" s="300"/>
      <c r="BW83" s="300"/>
      <c r="BX83" s="300"/>
      <c r="BY83" s="300"/>
      <c r="BZ83" s="300"/>
      <c r="CA83" s="300"/>
      <c r="CB83" s="300"/>
      <c r="CC83" s="300"/>
      <c r="CD83" s="300"/>
      <c r="CE83" s="300"/>
      <c r="CF83" s="300"/>
      <c r="CG83" s="300"/>
      <c r="CH83" s="300"/>
      <c r="CI83" s="300"/>
      <c r="CJ83" s="300"/>
      <c r="CK83" s="300"/>
      <c r="CL83" s="300"/>
      <c r="CM83" s="300"/>
      <c r="CN83" s="300"/>
      <c r="CO83" s="300"/>
      <c r="CP83" s="300"/>
      <c r="CQ83" s="300"/>
      <c r="CR83" s="300"/>
      <c r="CS83" s="300"/>
      <c r="CT83" s="300"/>
      <c r="CU83" s="300"/>
      <c r="CV83" s="300"/>
      <c r="CW83" s="300"/>
      <c r="CX83" s="300"/>
      <c r="CY83" s="300"/>
      <c r="CZ83" s="300"/>
      <c r="DA83" s="300"/>
      <c r="DB83" s="300"/>
      <c r="DC83" s="300"/>
      <c r="DD83" s="300"/>
      <c r="DE83" s="300"/>
      <c r="DF83" s="300"/>
      <c r="DG83" s="300"/>
      <c r="DH83" s="300"/>
      <c r="DI83" s="300"/>
      <c r="DJ83" s="300"/>
      <c r="DK83" s="300"/>
      <c r="DL83" s="300"/>
      <c r="DM83" s="300"/>
      <c r="DN83" s="300"/>
      <c r="DO83" s="300"/>
      <c r="DP83" s="300"/>
      <c r="DQ83" s="300"/>
      <c r="DR83" s="300"/>
      <c r="DS83" s="300"/>
      <c r="DT83" s="300"/>
      <c r="DU83" s="300"/>
      <c r="DV83" s="300"/>
      <c r="DW83" s="300"/>
      <c r="DX83" s="300"/>
      <c r="DY83" s="300"/>
      <c r="DZ83" s="300"/>
      <c r="EA83" s="300"/>
      <c r="EB83" s="300"/>
      <c r="EC83" s="300"/>
      <c r="ED83" s="300"/>
      <c r="EE83" s="300"/>
      <c r="EF83" s="300"/>
      <c r="EG83" s="300"/>
      <c r="EH83" s="300"/>
      <c r="EI83" s="300"/>
      <c r="EJ83" s="300"/>
      <c r="EK83" s="300"/>
      <c r="EL83" s="300"/>
      <c r="EM83" s="300"/>
      <c r="EN83" s="300"/>
      <c r="EO83" s="300"/>
      <c r="EP83" s="300"/>
      <c r="EQ83" s="300"/>
      <c r="ER83" s="300"/>
      <c r="ES83" s="300"/>
      <c r="ET83" s="300"/>
      <c r="EU83" s="300"/>
      <c r="EV83" s="300"/>
      <c r="EW83" s="300"/>
      <c r="EX83" s="300"/>
      <c r="EY83" s="300"/>
      <c r="EZ83" s="300"/>
      <c r="FA83" s="300"/>
      <c r="FB83" s="300"/>
      <c r="FC83" s="300"/>
      <c r="FD83" s="300"/>
      <c r="FE83" s="300"/>
      <c r="FF83" s="300"/>
    </row>
    <row r="84" spans="1:162">
      <c r="A84" s="300"/>
      <c r="B84" s="300"/>
      <c r="C84" s="300"/>
      <c r="D84" s="300"/>
      <c r="E84" s="300"/>
      <c r="F84" s="300"/>
      <c r="G84" s="300"/>
      <c r="H84" s="300"/>
      <c r="I84" s="300"/>
      <c r="J84" s="300"/>
      <c r="K84" s="300"/>
      <c r="L84" s="300"/>
      <c r="M84" s="300"/>
      <c r="N84" s="300"/>
      <c r="O84" s="300"/>
      <c r="P84" s="300"/>
      <c r="Q84" s="300"/>
      <c r="R84" s="300"/>
      <c r="S84" s="300"/>
      <c r="T84" s="300"/>
      <c r="U84" s="300"/>
      <c r="V84" s="300"/>
      <c r="W84" s="300"/>
      <c r="X84" s="300"/>
      <c r="Y84" s="300"/>
      <c r="Z84" s="300"/>
      <c r="AA84" s="300"/>
      <c r="AB84" s="300"/>
      <c r="AC84" s="300"/>
      <c r="AD84" s="300"/>
      <c r="AE84" s="300"/>
      <c r="AF84" s="300"/>
      <c r="AG84" s="300"/>
      <c r="AH84" s="300"/>
      <c r="AI84" s="300"/>
      <c r="AJ84" s="300"/>
      <c r="AK84" s="300"/>
      <c r="AL84" s="300"/>
      <c r="AM84" s="300"/>
      <c r="AN84" s="300"/>
      <c r="AO84" s="300"/>
      <c r="AP84" s="300"/>
      <c r="AQ84" s="300"/>
      <c r="AR84" s="300"/>
      <c r="AS84" s="300"/>
      <c r="AT84" s="300"/>
      <c r="AU84" s="300"/>
      <c r="AV84" s="300"/>
      <c r="AW84" s="300"/>
      <c r="AX84" s="300"/>
      <c r="AY84" s="300"/>
      <c r="AZ84" s="300"/>
      <c r="BA84" s="300"/>
      <c r="BB84" s="300"/>
      <c r="BC84" s="300"/>
      <c r="BD84" s="300"/>
      <c r="BE84" s="300"/>
      <c r="BF84" s="300"/>
      <c r="BG84" s="300"/>
      <c r="BH84" s="300"/>
      <c r="BI84" s="300"/>
      <c r="BJ84" s="300"/>
      <c r="BK84" s="300"/>
      <c r="BL84" s="300"/>
      <c r="BM84" s="300"/>
      <c r="BN84" s="300"/>
      <c r="BO84" s="300"/>
      <c r="BP84" s="300"/>
      <c r="BQ84" s="300"/>
      <c r="BR84" s="300"/>
      <c r="BS84" s="300"/>
      <c r="BT84" s="300"/>
      <c r="BU84" s="300"/>
      <c r="BV84" s="300"/>
      <c r="BW84" s="300"/>
      <c r="BX84" s="300"/>
      <c r="BY84" s="300"/>
      <c r="BZ84" s="300"/>
      <c r="CA84" s="300"/>
      <c r="CB84" s="300"/>
      <c r="CC84" s="300"/>
      <c r="CD84" s="300"/>
      <c r="CE84" s="300"/>
      <c r="CF84" s="300"/>
      <c r="CG84" s="300"/>
      <c r="CH84" s="300"/>
      <c r="CI84" s="300"/>
      <c r="CJ84" s="300"/>
      <c r="CK84" s="300"/>
      <c r="CL84" s="300"/>
      <c r="CM84" s="300"/>
      <c r="CN84" s="300"/>
      <c r="CO84" s="300"/>
      <c r="CP84" s="300"/>
      <c r="CQ84" s="300"/>
      <c r="CR84" s="300"/>
      <c r="CS84" s="300"/>
      <c r="CT84" s="300"/>
      <c r="CU84" s="300"/>
      <c r="CV84" s="300"/>
      <c r="CW84" s="300"/>
      <c r="CX84" s="300"/>
      <c r="CY84" s="300"/>
      <c r="CZ84" s="300"/>
      <c r="DA84" s="300"/>
      <c r="DB84" s="300"/>
      <c r="DC84" s="300"/>
      <c r="DD84" s="300"/>
      <c r="DE84" s="300"/>
      <c r="DF84" s="300"/>
      <c r="DG84" s="300"/>
      <c r="DH84" s="300"/>
      <c r="DI84" s="300"/>
      <c r="DJ84" s="300"/>
      <c r="DK84" s="300"/>
      <c r="DL84" s="300"/>
      <c r="DM84" s="300"/>
      <c r="DN84" s="300"/>
      <c r="DO84" s="300"/>
      <c r="DP84" s="300"/>
      <c r="DQ84" s="300"/>
      <c r="DR84" s="300"/>
      <c r="DS84" s="300"/>
      <c r="DT84" s="300"/>
      <c r="DU84" s="300"/>
      <c r="DV84" s="300"/>
      <c r="DW84" s="300"/>
      <c r="DX84" s="300"/>
      <c r="DY84" s="300"/>
      <c r="DZ84" s="300"/>
      <c r="EA84" s="300"/>
      <c r="EB84" s="300"/>
      <c r="EC84" s="300"/>
      <c r="ED84" s="300"/>
      <c r="EE84" s="300"/>
      <c r="EF84" s="300"/>
      <c r="EG84" s="300"/>
      <c r="EH84" s="300"/>
      <c r="EI84" s="300"/>
      <c r="EJ84" s="300"/>
      <c r="EK84" s="300"/>
      <c r="EL84" s="300"/>
      <c r="EM84" s="300"/>
      <c r="EN84" s="300"/>
      <c r="EO84" s="300"/>
      <c r="EP84" s="300"/>
      <c r="EQ84" s="300"/>
      <c r="ER84" s="300"/>
      <c r="ES84" s="300"/>
      <c r="ET84" s="300"/>
      <c r="EU84" s="300"/>
      <c r="EV84" s="300"/>
      <c r="EW84" s="300"/>
      <c r="EX84" s="300"/>
      <c r="EY84" s="300"/>
      <c r="EZ84" s="300"/>
      <c r="FA84" s="300"/>
      <c r="FB84" s="300"/>
      <c r="FC84" s="300"/>
      <c r="FD84" s="300"/>
      <c r="FE84" s="300"/>
      <c r="FF84" s="300"/>
    </row>
    <row r="85" spans="1:162">
      <c r="A85" s="300"/>
      <c r="B85" s="300"/>
      <c r="C85" s="300"/>
      <c r="D85" s="300"/>
      <c r="E85" s="300"/>
      <c r="F85" s="300"/>
      <c r="G85" s="300"/>
      <c r="H85" s="300"/>
      <c r="I85" s="300"/>
      <c r="J85" s="300"/>
      <c r="K85" s="300"/>
      <c r="L85" s="300"/>
      <c r="M85" s="300"/>
      <c r="N85" s="300"/>
      <c r="O85" s="300"/>
      <c r="P85" s="300"/>
      <c r="Q85" s="300"/>
      <c r="R85" s="300"/>
      <c r="S85" s="300"/>
      <c r="T85" s="300"/>
      <c r="U85" s="300"/>
      <c r="V85" s="300"/>
      <c r="W85" s="300"/>
      <c r="X85" s="300"/>
      <c r="Y85" s="300"/>
      <c r="Z85" s="300"/>
      <c r="AA85" s="300"/>
      <c r="AB85" s="300"/>
      <c r="AC85" s="300"/>
      <c r="AD85" s="300"/>
      <c r="AE85" s="300"/>
      <c r="AF85" s="300"/>
      <c r="AG85" s="300"/>
      <c r="AH85" s="300"/>
      <c r="AI85" s="300"/>
      <c r="AJ85" s="300"/>
      <c r="AK85" s="300"/>
      <c r="AL85" s="300"/>
      <c r="AM85" s="300"/>
      <c r="AN85" s="300"/>
      <c r="AO85" s="300"/>
      <c r="AP85" s="300"/>
      <c r="AQ85" s="300"/>
      <c r="AR85" s="300"/>
      <c r="AS85" s="300"/>
      <c r="AT85" s="300"/>
      <c r="AU85" s="300"/>
      <c r="AV85" s="300"/>
      <c r="AW85" s="300"/>
      <c r="AX85" s="300"/>
      <c r="AY85" s="300"/>
      <c r="AZ85" s="300"/>
      <c r="BA85" s="300"/>
      <c r="BB85" s="300"/>
      <c r="BC85" s="300"/>
      <c r="BD85" s="300"/>
      <c r="BE85" s="300"/>
      <c r="BF85" s="300"/>
      <c r="BG85" s="300"/>
      <c r="BH85" s="300"/>
      <c r="BI85" s="300"/>
      <c r="BJ85" s="300"/>
      <c r="BK85" s="300"/>
      <c r="BL85" s="300"/>
      <c r="BM85" s="300"/>
      <c r="BN85" s="300"/>
      <c r="BO85" s="300"/>
      <c r="BP85" s="300"/>
      <c r="BQ85" s="300"/>
      <c r="BR85" s="300"/>
      <c r="BS85" s="300"/>
      <c r="BT85" s="300"/>
      <c r="BU85" s="300"/>
      <c r="BV85" s="300"/>
      <c r="BW85" s="300"/>
      <c r="BX85" s="300"/>
      <c r="BY85" s="300"/>
      <c r="BZ85" s="300"/>
      <c r="CA85" s="300"/>
      <c r="CB85" s="300"/>
      <c r="CC85" s="300"/>
      <c r="CD85" s="300"/>
      <c r="CE85" s="300"/>
      <c r="CF85" s="300"/>
      <c r="CG85" s="300"/>
      <c r="CH85" s="300"/>
      <c r="CI85" s="300"/>
      <c r="CJ85" s="300"/>
      <c r="CK85" s="300"/>
      <c r="CL85" s="300"/>
      <c r="CM85" s="300"/>
      <c r="CN85" s="300"/>
      <c r="CO85" s="300"/>
      <c r="CP85" s="300"/>
      <c r="CQ85" s="300"/>
      <c r="CR85" s="300"/>
      <c r="CS85" s="300"/>
      <c r="CT85" s="300"/>
      <c r="CU85" s="300"/>
      <c r="CV85" s="300"/>
      <c r="CW85" s="300"/>
      <c r="CX85" s="300"/>
      <c r="CY85" s="300"/>
      <c r="CZ85" s="300"/>
      <c r="DA85" s="300"/>
      <c r="DB85" s="300"/>
      <c r="DC85" s="300"/>
      <c r="DD85" s="300"/>
      <c r="DE85" s="300"/>
      <c r="DF85" s="300"/>
      <c r="DG85" s="300"/>
      <c r="DH85" s="300"/>
      <c r="DI85" s="300"/>
      <c r="DJ85" s="300"/>
      <c r="DK85" s="300"/>
      <c r="DL85" s="300"/>
      <c r="DM85" s="300"/>
      <c r="DN85" s="300"/>
      <c r="DO85" s="300"/>
      <c r="DP85" s="300"/>
      <c r="DQ85" s="300"/>
      <c r="DR85" s="300"/>
      <c r="DS85" s="300"/>
      <c r="DT85" s="300"/>
      <c r="DU85" s="300"/>
      <c r="DV85" s="300"/>
      <c r="DW85" s="300"/>
      <c r="DX85" s="300"/>
      <c r="DY85" s="300"/>
      <c r="DZ85" s="300"/>
      <c r="EA85" s="300"/>
      <c r="EB85" s="300"/>
      <c r="EC85" s="300"/>
      <c r="ED85" s="300"/>
      <c r="EE85" s="300"/>
      <c r="EF85" s="300"/>
      <c r="EG85" s="300"/>
      <c r="EH85" s="300"/>
      <c r="EI85" s="300"/>
      <c r="EJ85" s="300"/>
      <c r="EK85" s="300"/>
      <c r="EL85" s="300"/>
      <c r="EM85" s="300"/>
      <c r="EN85" s="300"/>
      <c r="EO85" s="300"/>
      <c r="EP85" s="300"/>
      <c r="EQ85" s="300"/>
      <c r="ER85" s="300"/>
      <c r="ES85" s="300"/>
      <c r="ET85" s="300"/>
      <c r="EU85" s="300"/>
      <c r="EV85" s="300"/>
      <c r="EW85" s="300"/>
      <c r="EX85" s="300"/>
      <c r="EY85" s="300"/>
      <c r="EZ85" s="300"/>
      <c r="FA85" s="300"/>
      <c r="FB85" s="300"/>
      <c r="FC85" s="300"/>
      <c r="FD85" s="300"/>
      <c r="FE85" s="300"/>
      <c r="FF85" s="300"/>
    </row>
    <row r="86" spans="1:162">
      <c r="A86" s="300"/>
      <c r="B86" s="300"/>
      <c r="C86" s="300"/>
      <c r="D86" s="300"/>
      <c r="E86" s="300"/>
      <c r="F86" s="300"/>
      <c r="G86" s="300"/>
      <c r="H86" s="300"/>
      <c r="I86" s="300"/>
      <c r="J86" s="300"/>
      <c r="K86" s="300"/>
      <c r="L86" s="300"/>
      <c r="M86" s="300"/>
      <c r="N86" s="300"/>
      <c r="O86" s="300"/>
      <c r="P86" s="300"/>
      <c r="Q86" s="300"/>
      <c r="R86" s="300"/>
      <c r="S86" s="300"/>
      <c r="T86" s="300"/>
      <c r="U86" s="300"/>
      <c r="V86" s="300"/>
      <c r="W86" s="300"/>
      <c r="X86" s="300"/>
      <c r="Y86" s="300"/>
      <c r="Z86" s="300"/>
      <c r="AA86" s="300"/>
      <c r="AB86" s="300"/>
      <c r="AC86" s="300"/>
      <c r="AD86" s="300"/>
      <c r="AE86" s="300"/>
      <c r="AF86" s="300"/>
      <c r="AG86" s="300"/>
      <c r="AH86" s="300"/>
      <c r="AI86" s="300"/>
      <c r="AJ86" s="300"/>
      <c r="AK86" s="300"/>
      <c r="AL86" s="300"/>
      <c r="AM86" s="300"/>
      <c r="AN86" s="300"/>
      <c r="AO86" s="300"/>
      <c r="AP86" s="300"/>
      <c r="AQ86" s="300"/>
      <c r="AR86" s="300"/>
      <c r="AS86" s="300"/>
      <c r="AT86" s="300"/>
      <c r="AU86" s="300"/>
      <c r="AV86" s="300"/>
      <c r="AW86" s="300"/>
      <c r="AX86" s="300"/>
      <c r="AY86" s="300"/>
      <c r="AZ86" s="300"/>
      <c r="BA86" s="300"/>
      <c r="BB86" s="300"/>
      <c r="BC86" s="300"/>
      <c r="BD86" s="300"/>
      <c r="BE86" s="300"/>
      <c r="BF86" s="300"/>
      <c r="BG86" s="300"/>
      <c r="BH86" s="300"/>
      <c r="BI86" s="300"/>
      <c r="BJ86" s="300"/>
      <c r="BK86" s="300"/>
      <c r="BL86" s="300"/>
      <c r="BM86" s="300"/>
      <c r="BN86" s="300"/>
      <c r="BO86" s="300"/>
      <c r="BP86" s="300"/>
      <c r="BQ86" s="300"/>
      <c r="BR86" s="300"/>
      <c r="BS86" s="300"/>
      <c r="BT86" s="300"/>
      <c r="BU86" s="300"/>
      <c r="BV86" s="300"/>
      <c r="BW86" s="300"/>
      <c r="BX86" s="300"/>
      <c r="BY86" s="300"/>
      <c r="BZ86" s="300"/>
      <c r="CA86" s="300"/>
      <c r="CB86" s="300"/>
      <c r="CC86" s="300"/>
      <c r="CD86" s="300"/>
      <c r="CE86" s="300"/>
      <c r="CF86" s="300"/>
      <c r="CG86" s="300"/>
      <c r="CH86" s="300"/>
      <c r="CI86" s="300"/>
      <c r="CJ86" s="300"/>
      <c r="CK86" s="300"/>
      <c r="CL86" s="300"/>
      <c r="CM86" s="300"/>
      <c r="CN86" s="300"/>
      <c r="CO86" s="300"/>
      <c r="CP86" s="300"/>
      <c r="CQ86" s="300"/>
      <c r="CR86" s="300"/>
      <c r="CS86" s="300"/>
      <c r="CT86" s="300"/>
      <c r="CU86" s="300"/>
      <c r="CV86" s="300"/>
      <c r="CW86" s="300"/>
      <c r="CX86" s="300"/>
      <c r="CY86" s="300"/>
      <c r="CZ86" s="300"/>
      <c r="DA86" s="300"/>
      <c r="DB86" s="300"/>
      <c r="DC86" s="300"/>
      <c r="DD86" s="300"/>
      <c r="DE86" s="300"/>
      <c r="DF86" s="300"/>
      <c r="DG86" s="300"/>
      <c r="DH86" s="300"/>
      <c r="DI86" s="300"/>
      <c r="DJ86" s="300"/>
      <c r="DK86" s="300"/>
      <c r="DL86" s="300"/>
      <c r="DM86" s="300"/>
      <c r="DN86" s="300"/>
      <c r="DO86" s="300"/>
      <c r="DP86" s="300"/>
      <c r="DQ86" s="300"/>
      <c r="DR86" s="300"/>
      <c r="DS86" s="300"/>
      <c r="DT86" s="300"/>
      <c r="DU86" s="300"/>
      <c r="DV86" s="300"/>
      <c r="DW86" s="300"/>
      <c r="DX86" s="300"/>
      <c r="DY86" s="300"/>
      <c r="DZ86" s="300"/>
      <c r="EA86" s="300"/>
      <c r="EB86" s="300"/>
      <c r="EC86" s="300"/>
      <c r="ED86" s="300"/>
      <c r="EE86" s="300"/>
      <c r="EF86" s="300"/>
      <c r="EG86" s="300"/>
      <c r="EH86" s="300"/>
      <c r="EI86" s="300"/>
      <c r="EJ86" s="300"/>
      <c r="EK86" s="300"/>
      <c r="EL86" s="300"/>
      <c r="EM86" s="300"/>
      <c r="EN86" s="300"/>
      <c r="EO86" s="300"/>
      <c r="EP86" s="300"/>
      <c r="EQ86" s="300"/>
      <c r="ER86" s="300"/>
      <c r="ES86" s="300"/>
      <c r="ET86" s="300"/>
      <c r="EU86" s="300"/>
      <c r="EV86" s="300"/>
      <c r="EW86" s="300"/>
      <c r="EX86" s="300"/>
      <c r="EY86" s="300"/>
      <c r="EZ86" s="300"/>
      <c r="FA86" s="300"/>
      <c r="FB86" s="300"/>
      <c r="FC86" s="300"/>
      <c r="FD86" s="300"/>
      <c r="FE86" s="300"/>
      <c r="FF86" s="300"/>
    </row>
    <row r="87" spans="1:162">
      <c r="A87" s="300"/>
      <c r="B87" s="300"/>
      <c r="C87" s="300"/>
      <c r="D87" s="300"/>
      <c r="E87" s="300"/>
      <c r="F87" s="300"/>
      <c r="G87" s="300"/>
      <c r="H87" s="300"/>
      <c r="I87" s="300"/>
      <c r="J87" s="300"/>
      <c r="K87" s="300"/>
      <c r="L87" s="300"/>
      <c r="M87" s="300"/>
      <c r="N87" s="300"/>
      <c r="O87" s="300"/>
      <c r="P87" s="300"/>
      <c r="Q87" s="300"/>
      <c r="R87" s="300"/>
      <c r="S87" s="300"/>
      <c r="T87" s="300"/>
      <c r="U87" s="300"/>
      <c r="V87" s="300"/>
      <c r="W87" s="300"/>
      <c r="X87" s="300"/>
      <c r="Y87" s="300"/>
      <c r="Z87" s="300"/>
      <c r="AA87" s="300"/>
      <c r="AB87" s="300"/>
      <c r="AC87" s="300"/>
      <c r="AD87" s="300"/>
      <c r="AE87" s="300"/>
      <c r="AF87" s="300"/>
      <c r="AG87" s="300"/>
      <c r="AH87" s="300"/>
      <c r="AI87" s="300"/>
      <c r="AJ87" s="300"/>
      <c r="AK87" s="300"/>
      <c r="AL87" s="300"/>
      <c r="AM87" s="300"/>
      <c r="AN87" s="300"/>
      <c r="AO87" s="300"/>
      <c r="AP87" s="300"/>
      <c r="AQ87" s="300"/>
      <c r="AR87" s="300"/>
      <c r="AS87" s="300"/>
      <c r="AT87" s="300"/>
      <c r="AU87" s="300"/>
      <c r="AV87" s="300"/>
      <c r="AW87" s="300"/>
      <c r="AX87" s="300"/>
      <c r="AY87" s="300"/>
      <c r="AZ87" s="300"/>
      <c r="BA87" s="300"/>
      <c r="BB87" s="300"/>
      <c r="BC87" s="300"/>
      <c r="BD87" s="300"/>
      <c r="BE87" s="300"/>
      <c r="BF87" s="300"/>
      <c r="BG87" s="300"/>
      <c r="BH87" s="300"/>
      <c r="BI87" s="300"/>
      <c r="BJ87" s="300"/>
      <c r="BK87" s="300"/>
      <c r="BL87" s="300"/>
      <c r="BM87" s="300"/>
      <c r="BN87" s="300"/>
      <c r="BO87" s="300"/>
      <c r="BP87" s="300"/>
      <c r="BQ87" s="300"/>
      <c r="BR87" s="300"/>
      <c r="BS87" s="300"/>
      <c r="BT87" s="300"/>
      <c r="BU87" s="300"/>
      <c r="BV87" s="300"/>
      <c r="BW87" s="300"/>
      <c r="BX87" s="300"/>
      <c r="BY87" s="300"/>
      <c r="BZ87" s="300"/>
      <c r="CA87" s="300"/>
      <c r="CB87" s="300"/>
      <c r="CC87" s="300"/>
      <c r="CD87" s="300"/>
      <c r="CE87" s="300"/>
      <c r="CF87" s="300"/>
      <c r="CG87" s="300"/>
      <c r="CH87" s="300"/>
      <c r="CI87" s="300"/>
      <c r="CJ87" s="300"/>
      <c r="CK87" s="300"/>
      <c r="CL87" s="300"/>
      <c r="CM87" s="300"/>
      <c r="CN87" s="300"/>
      <c r="CO87" s="300"/>
      <c r="CP87" s="300"/>
      <c r="CQ87" s="300"/>
      <c r="CR87" s="300"/>
      <c r="CS87" s="300"/>
      <c r="CT87" s="300"/>
      <c r="CU87" s="300"/>
      <c r="CV87" s="300"/>
      <c r="CW87" s="300"/>
      <c r="CX87" s="300"/>
      <c r="CY87" s="300"/>
      <c r="CZ87" s="300"/>
      <c r="DA87" s="300"/>
      <c r="DB87" s="300"/>
      <c r="DC87" s="300"/>
      <c r="DD87" s="300"/>
      <c r="DE87" s="300"/>
      <c r="DF87" s="300"/>
      <c r="DG87" s="300"/>
      <c r="DH87" s="300"/>
      <c r="DI87" s="300"/>
      <c r="DJ87" s="300"/>
      <c r="DK87" s="300"/>
      <c r="DL87" s="300"/>
      <c r="DM87" s="300"/>
      <c r="DN87" s="300"/>
      <c r="DO87" s="300"/>
      <c r="DP87" s="300"/>
      <c r="DQ87" s="300"/>
      <c r="DR87" s="300"/>
      <c r="DS87" s="300"/>
      <c r="DT87" s="300"/>
      <c r="DU87" s="300"/>
      <c r="DV87" s="300"/>
      <c r="DW87" s="300"/>
      <c r="DX87" s="300"/>
      <c r="DY87" s="300"/>
      <c r="DZ87" s="300"/>
      <c r="EA87" s="300"/>
      <c r="EB87" s="300"/>
      <c r="EC87" s="300"/>
      <c r="ED87" s="300"/>
      <c r="EE87" s="300"/>
      <c r="EF87" s="300"/>
      <c r="EG87" s="300"/>
      <c r="EH87" s="300"/>
      <c r="EI87" s="300"/>
      <c r="EJ87" s="300"/>
      <c r="EK87" s="300"/>
      <c r="EL87" s="300"/>
      <c r="EM87" s="300"/>
      <c r="EN87" s="300"/>
      <c r="EO87" s="300"/>
      <c r="EP87" s="300"/>
      <c r="EQ87" s="300"/>
      <c r="ER87" s="300"/>
      <c r="ES87" s="300"/>
      <c r="ET87" s="300"/>
      <c r="EU87" s="300"/>
      <c r="EV87" s="300"/>
      <c r="EW87" s="300"/>
      <c r="EX87" s="300"/>
      <c r="EY87" s="300"/>
      <c r="EZ87" s="300"/>
      <c r="FA87" s="300"/>
      <c r="FB87" s="300"/>
      <c r="FC87" s="300"/>
      <c r="FD87" s="300"/>
      <c r="FE87" s="300"/>
      <c r="FF87" s="300"/>
    </row>
    <row r="88" spans="1:162">
      <c r="A88" s="300"/>
      <c r="B88" s="300"/>
      <c r="C88" s="300"/>
      <c r="D88" s="300"/>
      <c r="E88" s="300"/>
      <c r="F88" s="300"/>
      <c r="G88" s="300"/>
      <c r="H88" s="300"/>
      <c r="I88" s="300"/>
      <c r="J88" s="300"/>
      <c r="K88" s="300"/>
      <c r="L88" s="300"/>
      <c r="M88" s="300"/>
      <c r="N88" s="300"/>
      <c r="O88" s="300"/>
      <c r="P88" s="300"/>
      <c r="Q88" s="300"/>
      <c r="R88" s="300"/>
      <c r="S88" s="300"/>
      <c r="T88" s="300"/>
      <c r="U88" s="300"/>
      <c r="V88" s="300"/>
      <c r="W88" s="300"/>
      <c r="X88" s="300"/>
      <c r="Y88" s="300"/>
      <c r="Z88" s="300"/>
      <c r="AA88" s="300"/>
      <c r="AB88" s="300"/>
      <c r="AC88" s="300"/>
      <c r="AD88" s="300"/>
      <c r="AE88" s="300"/>
      <c r="AF88" s="300"/>
      <c r="AG88" s="300"/>
      <c r="AH88" s="300"/>
      <c r="AI88" s="300"/>
      <c r="AJ88" s="300"/>
      <c r="AK88" s="300"/>
      <c r="AL88" s="300"/>
      <c r="AM88" s="300"/>
      <c r="AN88" s="300"/>
      <c r="AO88" s="300"/>
      <c r="AP88" s="300"/>
      <c r="AQ88" s="300"/>
      <c r="AR88" s="300"/>
      <c r="AS88" s="300"/>
      <c r="AT88" s="300"/>
      <c r="AU88" s="300"/>
      <c r="AV88" s="300"/>
      <c r="AW88" s="300"/>
      <c r="AX88" s="300"/>
      <c r="AY88" s="300"/>
      <c r="AZ88" s="300"/>
      <c r="BA88" s="300"/>
      <c r="BB88" s="300"/>
      <c r="BC88" s="300"/>
      <c r="BD88" s="300"/>
      <c r="BE88" s="300"/>
      <c r="BF88" s="300"/>
      <c r="BG88" s="300"/>
      <c r="BH88" s="300"/>
      <c r="BI88" s="300"/>
      <c r="BJ88" s="300"/>
      <c r="BK88" s="300"/>
      <c r="BL88" s="300"/>
      <c r="BM88" s="300"/>
      <c r="BN88" s="300"/>
      <c r="BO88" s="300"/>
      <c r="BP88" s="300"/>
      <c r="BQ88" s="300"/>
      <c r="BR88" s="300"/>
      <c r="BS88" s="300"/>
      <c r="BT88" s="300"/>
      <c r="BU88" s="300"/>
      <c r="BV88" s="300"/>
      <c r="BW88" s="300"/>
      <c r="BX88" s="300"/>
      <c r="BY88" s="300"/>
      <c r="BZ88" s="300"/>
      <c r="CA88" s="300"/>
      <c r="CB88" s="300"/>
      <c r="CC88" s="300"/>
      <c r="CD88" s="300"/>
      <c r="CE88" s="300"/>
      <c r="CF88" s="300"/>
      <c r="CG88" s="300"/>
      <c r="CH88" s="300"/>
      <c r="CI88" s="300"/>
      <c r="CJ88" s="300"/>
      <c r="CK88" s="300"/>
      <c r="CL88" s="300"/>
      <c r="CM88" s="300"/>
      <c r="CN88" s="300"/>
      <c r="CO88" s="300"/>
      <c r="CP88" s="300"/>
      <c r="CQ88" s="300"/>
      <c r="CR88" s="300"/>
      <c r="CS88" s="300"/>
      <c r="CT88" s="300"/>
      <c r="CU88" s="300"/>
      <c r="CV88" s="300"/>
      <c r="CW88" s="300"/>
      <c r="CX88" s="300"/>
      <c r="CY88" s="300"/>
      <c r="CZ88" s="300"/>
      <c r="DA88" s="300"/>
      <c r="DB88" s="300"/>
      <c r="DC88" s="300"/>
      <c r="DD88" s="300"/>
      <c r="DE88" s="300"/>
      <c r="DF88" s="300"/>
      <c r="DG88" s="300"/>
      <c r="DH88" s="300"/>
      <c r="DI88" s="300"/>
      <c r="DJ88" s="300"/>
      <c r="DK88" s="300"/>
      <c r="DL88" s="300"/>
      <c r="DM88" s="300"/>
      <c r="DN88" s="300"/>
      <c r="DO88" s="300"/>
      <c r="DP88" s="300"/>
      <c r="DQ88" s="300"/>
      <c r="DR88" s="300"/>
      <c r="DS88" s="300"/>
      <c r="DT88" s="300"/>
      <c r="DU88" s="300"/>
      <c r="DV88" s="300"/>
      <c r="DW88" s="300"/>
      <c r="DX88" s="300"/>
      <c r="DY88" s="300"/>
      <c r="DZ88" s="300"/>
      <c r="EA88" s="300"/>
      <c r="EB88" s="300"/>
      <c r="EC88" s="300"/>
      <c r="ED88" s="300"/>
      <c r="EE88" s="300"/>
      <c r="EF88" s="300"/>
      <c r="EG88" s="300"/>
      <c r="EH88" s="300"/>
      <c r="EI88" s="300"/>
      <c r="EJ88" s="300"/>
      <c r="EK88" s="300"/>
      <c r="EL88" s="300"/>
      <c r="EM88" s="300"/>
      <c r="EN88" s="300"/>
      <c r="EO88" s="300"/>
      <c r="EP88" s="300"/>
      <c r="EQ88" s="300"/>
      <c r="ER88" s="300"/>
      <c r="ES88" s="300"/>
      <c r="ET88" s="300"/>
      <c r="EU88" s="300"/>
      <c r="EV88" s="300"/>
      <c r="EW88" s="300"/>
      <c r="EX88" s="300"/>
      <c r="EY88" s="300"/>
      <c r="EZ88" s="300"/>
      <c r="FA88" s="300"/>
      <c r="FB88" s="300"/>
      <c r="FC88" s="300"/>
      <c r="FD88" s="300"/>
      <c r="FE88" s="300"/>
      <c r="FF88" s="300"/>
    </row>
    <row r="89" spans="1:162">
      <c r="A89" s="300"/>
      <c r="B89" s="300"/>
      <c r="C89" s="300"/>
      <c r="D89" s="300"/>
      <c r="E89" s="300"/>
      <c r="F89" s="300"/>
      <c r="G89" s="300"/>
      <c r="H89" s="300"/>
      <c r="I89" s="300"/>
      <c r="J89" s="300"/>
      <c r="K89" s="300"/>
      <c r="L89" s="300"/>
      <c r="M89" s="300"/>
      <c r="N89" s="300"/>
      <c r="O89" s="300"/>
      <c r="P89" s="300"/>
      <c r="Q89" s="300"/>
      <c r="R89" s="300"/>
      <c r="S89" s="300"/>
      <c r="T89" s="300"/>
      <c r="U89" s="300"/>
      <c r="V89" s="300"/>
      <c r="W89" s="300"/>
      <c r="X89" s="300"/>
      <c r="Y89" s="300"/>
      <c r="Z89" s="300"/>
      <c r="AA89" s="300"/>
      <c r="AB89" s="300"/>
      <c r="AC89" s="300"/>
      <c r="AD89" s="300"/>
      <c r="AE89" s="300"/>
      <c r="AF89" s="300"/>
      <c r="AG89" s="300"/>
      <c r="AH89" s="300"/>
      <c r="AI89" s="300"/>
      <c r="AJ89" s="300"/>
      <c r="AK89" s="300"/>
      <c r="AL89" s="300"/>
      <c r="AM89" s="300"/>
      <c r="AN89" s="300"/>
      <c r="AO89" s="300"/>
      <c r="AP89" s="300"/>
      <c r="AQ89" s="300"/>
      <c r="AR89" s="300"/>
      <c r="AS89" s="300"/>
      <c r="AT89" s="300"/>
      <c r="AU89" s="300"/>
      <c r="AV89" s="300"/>
      <c r="AW89" s="300"/>
      <c r="AX89" s="300"/>
      <c r="AY89" s="300"/>
      <c r="AZ89" s="300"/>
      <c r="BA89" s="300"/>
      <c r="BB89" s="300"/>
      <c r="BC89" s="300"/>
      <c r="BD89" s="300"/>
      <c r="BE89" s="300"/>
      <c r="BF89" s="300"/>
      <c r="BG89" s="300"/>
      <c r="BH89" s="300"/>
      <c r="BI89" s="300"/>
      <c r="BJ89" s="300"/>
      <c r="BK89" s="300"/>
      <c r="BL89" s="300"/>
      <c r="BM89" s="300"/>
      <c r="BN89" s="300"/>
      <c r="BO89" s="300"/>
      <c r="BP89" s="300"/>
      <c r="BQ89" s="300"/>
      <c r="BR89" s="300"/>
      <c r="BS89" s="300"/>
      <c r="BT89" s="300"/>
      <c r="BU89" s="300"/>
      <c r="BV89" s="300"/>
      <c r="BW89" s="300"/>
      <c r="BX89" s="300"/>
      <c r="BY89" s="300"/>
      <c r="BZ89" s="300"/>
      <c r="CA89" s="300"/>
      <c r="CB89" s="300"/>
      <c r="CC89" s="300"/>
      <c r="CD89" s="300"/>
      <c r="CE89" s="300"/>
      <c r="CF89" s="300"/>
      <c r="CG89" s="300"/>
      <c r="CH89" s="300"/>
      <c r="CI89" s="300"/>
      <c r="CJ89" s="300"/>
      <c r="CK89" s="300"/>
      <c r="CL89" s="300"/>
      <c r="CM89" s="300"/>
      <c r="CN89" s="300"/>
      <c r="CO89" s="300"/>
      <c r="CP89" s="300"/>
      <c r="CQ89" s="300"/>
      <c r="CR89" s="300"/>
      <c r="CS89" s="300"/>
      <c r="CT89" s="300"/>
      <c r="CU89" s="300"/>
      <c r="CV89" s="300"/>
      <c r="CW89" s="300"/>
      <c r="CX89" s="300"/>
      <c r="CY89" s="300"/>
      <c r="CZ89" s="300"/>
      <c r="DA89" s="300"/>
      <c r="DB89" s="300"/>
      <c r="DC89" s="300"/>
      <c r="DD89" s="300"/>
      <c r="DE89" s="300"/>
      <c r="DF89" s="300"/>
      <c r="DG89" s="300"/>
      <c r="DH89" s="300"/>
      <c r="DI89" s="300"/>
      <c r="DJ89" s="300"/>
      <c r="DK89" s="300"/>
      <c r="DL89" s="300"/>
      <c r="DM89" s="300"/>
      <c r="DN89" s="300"/>
      <c r="DO89" s="300"/>
      <c r="DP89" s="300"/>
      <c r="DQ89" s="300"/>
      <c r="DR89" s="300"/>
      <c r="DS89" s="300"/>
      <c r="DT89" s="300"/>
      <c r="DU89" s="300"/>
      <c r="DV89" s="300"/>
      <c r="DW89" s="300"/>
      <c r="DX89" s="300"/>
      <c r="DY89" s="300"/>
      <c r="DZ89" s="300"/>
      <c r="EA89" s="300"/>
      <c r="EB89" s="300"/>
      <c r="EC89" s="300"/>
      <c r="ED89" s="300"/>
      <c r="EE89" s="300"/>
      <c r="EF89" s="300"/>
      <c r="EG89" s="300"/>
      <c r="EH89" s="300"/>
      <c r="EI89" s="300"/>
      <c r="EJ89" s="300"/>
      <c r="EK89" s="300"/>
      <c r="EL89" s="300"/>
      <c r="EM89" s="300"/>
      <c r="EN89" s="300"/>
      <c r="EO89" s="300"/>
      <c r="EP89" s="300"/>
      <c r="EQ89" s="300"/>
      <c r="ER89" s="300"/>
      <c r="ES89" s="300"/>
      <c r="ET89" s="300"/>
      <c r="EU89" s="300"/>
      <c r="EV89" s="300"/>
      <c r="EW89" s="300"/>
      <c r="EX89" s="300"/>
      <c r="EY89" s="300"/>
      <c r="EZ89" s="300"/>
      <c r="FA89" s="300"/>
      <c r="FB89" s="300"/>
      <c r="FC89" s="300"/>
      <c r="FD89" s="300"/>
      <c r="FE89" s="300"/>
      <c r="FF89" s="300"/>
    </row>
    <row r="90" spans="1:162">
      <c r="A90" s="300"/>
      <c r="B90" s="300"/>
      <c r="C90" s="300"/>
      <c r="D90" s="300"/>
      <c r="E90" s="300"/>
      <c r="F90" s="300"/>
      <c r="G90" s="300"/>
      <c r="H90" s="300"/>
      <c r="I90" s="300"/>
      <c r="J90" s="300"/>
      <c r="K90" s="300"/>
      <c r="L90" s="300"/>
      <c r="M90" s="300"/>
      <c r="N90" s="300"/>
      <c r="O90" s="300"/>
      <c r="P90" s="300"/>
      <c r="Q90" s="300"/>
      <c r="R90" s="300"/>
      <c r="S90" s="300"/>
      <c r="T90" s="300"/>
      <c r="U90" s="300"/>
      <c r="V90" s="300"/>
      <c r="W90" s="300"/>
      <c r="X90" s="300"/>
      <c r="Y90" s="300"/>
      <c r="Z90" s="300"/>
      <c r="AA90" s="300"/>
      <c r="AB90" s="300"/>
      <c r="AC90" s="300"/>
      <c r="AD90" s="300"/>
      <c r="AE90" s="300"/>
      <c r="AF90" s="300"/>
      <c r="AG90" s="300"/>
      <c r="AH90" s="300"/>
      <c r="AI90" s="300"/>
      <c r="AJ90" s="300"/>
      <c r="AK90" s="300"/>
      <c r="AL90" s="300"/>
      <c r="AM90" s="300"/>
      <c r="AN90" s="300"/>
      <c r="AO90" s="300"/>
      <c r="AP90" s="300"/>
      <c r="AQ90" s="300"/>
      <c r="AR90" s="300"/>
      <c r="AS90" s="300"/>
      <c r="AT90" s="300"/>
      <c r="AU90" s="300"/>
      <c r="AV90" s="300"/>
      <c r="AW90" s="300"/>
      <c r="AX90" s="300"/>
      <c r="AY90" s="300"/>
      <c r="AZ90" s="300"/>
      <c r="BA90" s="300"/>
      <c r="BB90" s="300"/>
      <c r="BC90" s="300"/>
      <c r="BD90" s="300"/>
      <c r="BE90" s="300"/>
      <c r="BF90" s="300"/>
      <c r="BG90" s="300"/>
      <c r="BH90" s="300"/>
      <c r="BI90" s="300"/>
      <c r="BJ90" s="300"/>
      <c r="BK90" s="300"/>
      <c r="BL90" s="300"/>
      <c r="BM90" s="300"/>
      <c r="BN90" s="300"/>
      <c r="BO90" s="300"/>
      <c r="BP90" s="300"/>
      <c r="BQ90" s="300"/>
      <c r="BR90" s="300"/>
      <c r="BS90" s="300"/>
      <c r="BT90" s="300"/>
      <c r="BU90" s="300"/>
      <c r="BV90" s="300"/>
      <c r="BW90" s="300"/>
      <c r="BX90" s="300"/>
      <c r="BY90" s="300"/>
      <c r="BZ90" s="300"/>
      <c r="CA90" s="300"/>
      <c r="CB90" s="300"/>
      <c r="CC90" s="300"/>
      <c r="CD90" s="300"/>
      <c r="CE90" s="300"/>
      <c r="CF90" s="300"/>
      <c r="CG90" s="300"/>
      <c r="CH90" s="300"/>
      <c r="CI90" s="300"/>
      <c r="CJ90" s="300"/>
      <c r="CK90" s="300"/>
      <c r="CL90" s="300"/>
      <c r="CM90" s="300"/>
      <c r="CN90" s="300"/>
      <c r="CO90" s="300"/>
      <c r="CP90" s="300"/>
      <c r="CQ90" s="300"/>
      <c r="CR90" s="300"/>
      <c r="CS90" s="300"/>
      <c r="CT90" s="300"/>
      <c r="CU90" s="300"/>
      <c r="CV90" s="300"/>
      <c r="CW90" s="300"/>
      <c r="CX90" s="300"/>
      <c r="CY90" s="300"/>
      <c r="CZ90" s="300"/>
      <c r="DA90" s="300"/>
      <c r="DB90" s="300"/>
      <c r="DC90" s="300"/>
      <c r="DD90" s="300"/>
      <c r="DE90" s="300"/>
      <c r="DF90" s="300"/>
      <c r="DG90" s="300"/>
      <c r="DH90" s="300"/>
      <c r="DI90" s="300"/>
      <c r="DJ90" s="300"/>
      <c r="DK90" s="300"/>
      <c r="DL90" s="300"/>
      <c r="DM90" s="300"/>
      <c r="DN90" s="300"/>
      <c r="DO90" s="300"/>
      <c r="DP90" s="300"/>
      <c r="DQ90" s="300"/>
      <c r="DR90" s="300"/>
      <c r="DS90" s="300"/>
      <c r="DT90" s="300"/>
      <c r="DU90" s="300"/>
      <c r="DV90" s="300"/>
      <c r="DW90" s="300"/>
      <c r="DX90" s="300"/>
      <c r="DY90" s="300"/>
      <c r="DZ90" s="300"/>
      <c r="EA90" s="300"/>
      <c r="EB90" s="300"/>
      <c r="EC90" s="300"/>
      <c r="ED90" s="300"/>
      <c r="EE90" s="300"/>
      <c r="EF90" s="300"/>
      <c r="EG90" s="300"/>
      <c r="EH90" s="300"/>
      <c r="EI90" s="300"/>
      <c r="EJ90" s="300"/>
      <c r="EK90" s="300"/>
      <c r="EL90" s="300"/>
      <c r="EM90" s="300"/>
      <c r="EN90" s="300"/>
      <c r="EO90" s="300"/>
      <c r="EP90" s="300"/>
      <c r="EQ90" s="300"/>
      <c r="ER90" s="300"/>
      <c r="ES90" s="300"/>
      <c r="ET90" s="300"/>
      <c r="EU90" s="300"/>
      <c r="EV90" s="300"/>
      <c r="EW90" s="300"/>
      <c r="EX90" s="300"/>
      <c r="EY90" s="300"/>
      <c r="EZ90" s="300"/>
      <c r="FA90" s="300"/>
      <c r="FB90" s="300"/>
      <c r="FC90" s="300"/>
      <c r="FD90" s="300"/>
      <c r="FE90" s="300"/>
      <c r="FF90" s="300"/>
    </row>
    <row r="91" spans="1:162">
      <c r="A91" s="300"/>
      <c r="B91" s="300"/>
      <c r="C91" s="300"/>
      <c r="D91" s="300"/>
      <c r="E91" s="300"/>
      <c r="F91" s="300"/>
      <c r="G91" s="300"/>
      <c r="H91" s="300"/>
      <c r="I91" s="300"/>
      <c r="J91" s="300"/>
      <c r="K91" s="300"/>
      <c r="L91" s="300"/>
      <c r="M91" s="300"/>
      <c r="N91" s="300"/>
      <c r="O91" s="300"/>
      <c r="P91" s="300"/>
      <c r="Q91" s="300"/>
      <c r="R91" s="300"/>
      <c r="S91" s="300"/>
      <c r="T91" s="300"/>
      <c r="U91" s="300"/>
      <c r="V91" s="300"/>
      <c r="W91" s="300"/>
      <c r="X91" s="300"/>
      <c r="Y91" s="300"/>
      <c r="Z91" s="300"/>
      <c r="AA91" s="300"/>
      <c r="AB91" s="300"/>
      <c r="AC91" s="300"/>
      <c r="AD91" s="300"/>
      <c r="AE91" s="300"/>
      <c r="AF91" s="300"/>
      <c r="AG91" s="300"/>
      <c r="AH91" s="300"/>
      <c r="AI91" s="300"/>
      <c r="AJ91" s="300"/>
      <c r="AK91" s="300"/>
      <c r="AL91" s="300"/>
      <c r="AM91" s="300"/>
      <c r="AN91" s="300"/>
      <c r="AO91" s="300"/>
      <c r="AP91" s="300"/>
      <c r="AQ91" s="300"/>
      <c r="AR91" s="300"/>
      <c r="AS91" s="300"/>
      <c r="AT91" s="300"/>
      <c r="AU91" s="300"/>
      <c r="AV91" s="300"/>
      <c r="AW91" s="300"/>
      <c r="AX91" s="300"/>
      <c r="AY91" s="300"/>
      <c r="AZ91" s="300"/>
      <c r="BA91" s="300"/>
      <c r="BB91" s="300"/>
      <c r="BC91" s="300"/>
      <c r="BD91" s="300"/>
      <c r="BE91" s="300"/>
      <c r="BF91" s="300"/>
      <c r="BG91" s="300"/>
      <c r="BH91" s="300"/>
      <c r="BI91" s="300"/>
      <c r="BJ91" s="300"/>
      <c r="BK91" s="300"/>
      <c r="BL91" s="300"/>
      <c r="BM91" s="300"/>
      <c r="BN91" s="300"/>
      <c r="BO91" s="300"/>
      <c r="BP91" s="300"/>
      <c r="BQ91" s="300"/>
      <c r="BR91" s="300"/>
      <c r="BS91" s="300"/>
      <c r="BT91" s="300"/>
      <c r="BU91" s="300"/>
      <c r="BV91" s="300"/>
      <c r="BW91" s="300"/>
      <c r="BX91" s="300"/>
      <c r="BY91" s="300"/>
      <c r="BZ91" s="300"/>
      <c r="CA91" s="300"/>
      <c r="CB91" s="300"/>
      <c r="CC91" s="300"/>
      <c r="CD91" s="300"/>
      <c r="CE91" s="300"/>
      <c r="CF91" s="300"/>
      <c r="CG91" s="300"/>
      <c r="CH91" s="300"/>
      <c r="CI91" s="300"/>
      <c r="CJ91" s="300"/>
      <c r="CK91" s="300"/>
      <c r="CL91" s="300"/>
      <c r="CM91" s="300"/>
      <c r="CN91" s="300"/>
      <c r="CO91" s="300"/>
      <c r="CP91" s="300"/>
      <c r="CQ91" s="300"/>
      <c r="CR91" s="300"/>
      <c r="CS91" s="300"/>
      <c r="CT91" s="300"/>
      <c r="CU91" s="300"/>
      <c r="CV91" s="300"/>
      <c r="CW91" s="300"/>
      <c r="CX91" s="300"/>
      <c r="CY91" s="300"/>
      <c r="CZ91" s="300"/>
      <c r="DA91" s="300"/>
      <c r="DB91" s="300"/>
      <c r="DC91" s="300"/>
      <c r="DD91" s="300"/>
      <c r="DE91" s="300"/>
      <c r="DF91" s="300"/>
      <c r="DG91" s="300"/>
      <c r="DH91" s="300"/>
      <c r="DI91" s="300"/>
      <c r="DJ91" s="300"/>
      <c r="DK91" s="300"/>
      <c r="DL91" s="300"/>
      <c r="DM91" s="300"/>
      <c r="DN91" s="300"/>
      <c r="DO91" s="300"/>
      <c r="DP91" s="300"/>
      <c r="DQ91" s="300"/>
      <c r="DR91" s="300"/>
      <c r="DS91" s="300"/>
      <c r="DT91" s="300"/>
      <c r="DU91" s="300"/>
      <c r="DV91" s="300"/>
      <c r="DW91" s="300"/>
      <c r="DX91" s="300"/>
      <c r="DY91" s="300"/>
      <c r="DZ91" s="300"/>
      <c r="EA91" s="300"/>
      <c r="EB91" s="300"/>
      <c r="EC91" s="300"/>
      <c r="ED91" s="300"/>
      <c r="EE91" s="300"/>
      <c r="EF91" s="300"/>
      <c r="EG91" s="300"/>
      <c r="EH91" s="300"/>
      <c r="EI91" s="300"/>
      <c r="EJ91" s="300"/>
      <c r="EK91" s="300"/>
      <c r="EL91" s="300"/>
      <c r="EM91" s="300"/>
      <c r="EN91" s="300"/>
      <c r="EO91" s="300"/>
      <c r="EP91" s="300"/>
      <c r="EQ91" s="300"/>
      <c r="ER91" s="300"/>
      <c r="ES91" s="300"/>
      <c r="ET91" s="300"/>
      <c r="EU91" s="300"/>
      <c r="EV91" s="300"/>
      <c r="EW91" s="300"/>
      <c r="EX91" s="300"/>
      <c r="EY91" s="300"/>
      <c r="EZ91" s="300"/>
      <c r="FA91" s="300"/>
      <c r="FB91" s="300"/>
      <c r="FC91" s="300"/>
      <c r="FD91" s="300"/>
      <c r="FE91" s="300"/>
      <c r="FF91" s="300"/>
    </row>
    <row r="92" spans="1:162">
      <c r="A92" s="300"/>
      <c r="B92" s="300"/>
      <c r="C92" s="300"/>
      <c r="D92" s="300"/>
      <c r="E92" s="300"/>
      <c r="F92" s="300"/>
      <c r="G92" s="300"/>
      <c r="H92" s="300"/>
      <c r="I92" s="300"/>
      <c r="J92" s="300"/>
      <c r="K92" s="300"/>
      <c r="L92" s="300"/>
      <c r="M92" s="300"/>
      <c r="N92" s="300"/>
      <c r="O92" s="300"/>
      <c r="P92" s="300"/>
      <c r="Q92" s="300"/>
      <c r="R92" s="300"/>
      <c r="S92" s="300"/>
      <c r="T92" s="300"/>
      <c r="U92" s="300"/>
      <c r="V92" s="300"/>
      <c r="W92" s="300"/>
      <c r="X92" s="300"/>
      <c r="Y92" s="300"/>
      <c r="Z92" s="300"/>
      <c r="AA92" s="300"/>
      <c r="AB92" s="300"/>
      <c r="AC92" s="300"/>
      <c r="AD92" s="300"/>
      <c r="AE92" s="300"/>
      <c r="AF92" s="300"/>
      <c r="AG92" s="300"/>
      <c r="AH92" s="300"/>
      <c r="AI92" s="300"/>
      <c r="AJ92" s="300"/>
      <c r="AK92" s="300"/>
      <c r="AL92" s="300"/>
      <c r="AM92" s="300"/>
      <c r="AN92" s="300"/>
      <c r="AO92" s="300"/>
      <c r="AP92" s="300"/>
      <c r="AQ92" s="300"/>
      <c r="AR92" s="300"/>
      <c r="AS92" s="300"/>
      <c r="AT92" s="300"/>
      <c r="AU92" s="300"/>
      <c r="AV92" s="300"/>
      <c r="AW92" s="300"/>
      <c r="AX92" s="300"/>
      <c r="AY92" s="300"/>
      <c r="AZ92" s="300"/>
      <c r="BA92" s="300"/>
      <c r="BB92" s="300"/>
      <c r="BC92" s="300"/>
      <c r="BD92" s="300"/>
      <c r="BE92" s="300"/>
      <c r="BF92" s="300"/>
      <c r="BG92" s="300"/>
      <c r="BH92" s="300"/>
      <c r="BI92" s="300"/>
      <c r="BJ92" s="300"/>
      <c r="BK92" s="300"/>
      <c r="BL92" s="300"/>
      <c r="BM92" s="300"/>
      <c r="BN92" s="300"/>
      <c r="BO92" s="300"/>
      <c r="BP92" s="300"/>
      <c r="BQ92" s="300"/>
      <c r="BR92" s="300"/>
      <c r="BS92" s="300"/>
      <c r="BT92" s="300"/>
      <c r="BU92" s="300"/>
      <c r="BV92" s="300"/>
      <c r="BW92" s="300"/>
      <c r="BX92" s="300"/>
      <c r="BY92" s="300"/>
      <c r="BZ92" s="300"/>
      <c r="CA92" s="300"/>
      <c r="CB92" s="300"/>
      <c r="CC92" s="300"/>
      <c r="CD92" s="300"/>
      <c r="CE92" s="300"/>
      <c r="CF92" s="300"/>
      <c r="CG92" s="300"/>
      <c r="CH92" s="300"/>
      <c r="CI92" s="300"/>
      <c r="CJ92" s="300"/>
      <c r="CK92" s="300"/>
      <c r="CL92" s="300"/>
      <c r="CM92" s="300"/>
      <c r="CN92" s="300"/>
      <c r="CO92" s="300"/>
      <c r="CP92" s="300"/>
      <c r="CQ92" s="300"/>
      <c r="CR92" s="300"/>
      <c r="CS92" s="300"/>
      <c r="CT92" s="300"/>
      <c r="CU92" s="300"/>
      <c r="CV92" s="300"/>
      <c r="CW92" s="300"/>
      <c r="CX92" s="300"/>
      <c r="CY92" s="300"/>
      <c r="CZ92" s="300"/>
      <c r="DA92" s="300"/>
      <c r="DB92" s="300"/>
      <c r="DC92" s="300"/>
      <c r="DD92" s="300"/>
      <c r="DE92" s="300"/>
      <c r="DF92" s="300"/>
      <c r="DG92" s="300"/>
      <c r="DH92" s="300"/>
      <c r="DI92" s="300"/>
      <c r="DJ92" s="300"/>
      <c r="DK92" s="300"/>
      <c r="DL92" s="300"/>
      <c r="DM92" s="300"/>
      <c r="DN92" s="300"/>
      <c r="DO92" s="300"/>
      <c r="DP92" s="300"/>
      <c r="DQ92" s="300"/>
      <c r="DR92" s="300"/>
      <c r="DS92" s="300"/>
      <c r="DT92" s="300"/>
      <c r="DU92" s="300"/>
      <c r="DV92" s="300"/>
      <c r="DW92" s="300"/>
      <c r="DX92" s="300"/>
      <c r="DY92" s="300"/>
      <c r="DZ92" s="300"/>
      <c r="EA92" s="300"/>
      <c r="EB92" s="300"/>
      <c r="EC92" s="300"/>
      <c r="ED92" s="300"/>
      <c r="EE92" s="300"/>
      <c r="EF92" s="300"/>
      <c r="EG92" s="300"/>
      <c r="EH92" s="300"/>
      <c r="EI92" s="300"/>
      <c r="EJ92" s="300"/>
      <c r="EK92" s="300"/>
      <c r="EL92" s="300"/>
      <c r="EM92" s="300"/>
      <c r="EN92" s="300"/>
      <c r="EO92" s="300"/>
      <c r="EP92" s="300"/>
      <c r="EQ92" s="300"/>
      <c r="ER92" s="300"/>
      <c r="ES92" s="300"/>
      <c r="ET92" s="300"/>
      <c r="EU92" s="300"/>
      <c r="EV92" s="300"/>
      <c r="EW92" s="300"/>
      <c r="EX92" s="300"/>
      <c r="EY92" s="300"/>
      <c r="EZ92" s="300"/>
      <c r="FA92" s="300"/>
      <c r="FB92" s="300"/>
      <c r="FC92" s="300"/>
      <c r="FD92" s="300"/>
      <c r="FE92" s="300"/>
      <c r="FF92" s="300"/>
    </row>
    <row r="93" spans="1:162">
      <c r="A93" s="300"/>
      <c r="B93" s="300"/>
      <c r="C93" s="300"/>
      <c r="D93" s="300"/>
      <c r="E93" s="300"/>
      <c r="F93" s="300"/>
      <c r="G93" s="300"/>
      <c r="H93" s="300"/>
      <c r="I93" s="300"/>
      <c r="J93" s="300"/>
      <c r="K93" s="300"/>
      <c r="L93" s="300"/>
      <c r="M93" s="300"/>
      <c r="N93" s="300"/>
      <c r="O93" s="300"/>
      <c r="P93" s="300"/>
      <c r="Q93" s="300"/>
      <c r="R93" s="300"/>
      <c r="S93" s="300"/>
      <c r="T93" s="300"/>
      <c r="U93" s="300"/>
      <c r="V93" s="300"/>
      <c r="W93" s="300"/>
      <c r="X93" s="300"/>
      <c r="Y93" s="300"/>
      <c r="Z93" s="300"/>
      <c r="AA93" s="300"/>
      <c r="AB93" s="300"/>
      <c r="AC93" s="300"/>
      <c r="AD93" s="300"/>
      <c r="AE93" s="300"/>
      <c r="AF93" s="300"/>
      <c r="AG93" s="300"/>
      <c r="AH93" s="300"/>
      <c r="AI93" s="300"/>
      <c r="AJ93" s="300"/>
      <c r="AK93" s="300"/>
      <c r="AL93" s="300"/>
      <c r="AM93" s="300"/>
      <c r="AN93" s="300"/>
      <c r="AO93" s="300"/>
      <c r="AP93" s="300"/>
      <c r="AQ93" s="300"/>
      <c r="AR93" s="300"/>
      <c r="AS93" s="300"/>
      <c r="AT93" s="300"/>
      <c r="AU93" s="300"/>
      <c r="AV93" s="300"/>
      <c r="AW93" s="300"/>
      <c r="AX93" s="300"/>
      <c r="AY93" s="300"/>
      <c r="AZ93" s="300"/>
      <c r="BA93" s="300"/>
      <c r="BB93" s="300"/>
      <c r="BC93" s="300"/>
      <c r="BD93" s="300"/>
      <c r="BE93" s="300"/>
      <c r="BF93" s="300"/>
      <c r="BG93" s="300"/>
      <c r="BH93" s="300"/>
      <c r="BI93" s="300"/>
      <c r="BJ93" s="300"/>
      <c r="BK93" s="300"/>
      <c r="BL93" s="300"/>
      <c r="BM93" s="300"/>
      <c r="BN93" s="300"/>
      <c r="BO93" s="300"/>
      <c r="BP93" s="300"/>
      <c r="BQ93" s="300"/>
      <c r="BR93" s="300"/>
      <c r="BS93" s="300"/>
      <c r="BT93" s="300"/>
      <c r="BU93" s="300"/>
      <c r="BV93" s="300"/>
      <c r="BW93" s="300"/>
      <c r="BX93" s="300"/>
      <c r="BY93" s="300"/>
      <c r="BZ93" s="300"/>
      <c r="CA93" s="300"/>
      <c r="CB93" s="300"/>
      <c r="CC93" s="300"/>
      <c r="CD93" s="300"/>
      <c r="CE93" s="300"/>
      <c r="CF93" s="300"/>
      <c r="CG93" s="300"/>
      <c r="CH93" s="300"/>
      <c r="CI93" s="300"/>
      <c r="CJ93" s="300"/>
      <c r="CK93" s="300"/>
      <c r="CL93" s="300"/>
      <c r="CM93" s="300"/>
      <c r="CN93" s="300"/>
      <c r="CO93" s="300"/>
      <c r="CP93" s="300"/>
      <c r="CQ93" s="300"/>
      <c r="CR93" s="300"/>
      <c r="CS93" s="300"/>
      <c r="CT93" s="300"/>
      <c r="CU93" s="300"/>
      <c r="CV93" s="300"/>
      <c r="CW93" s="300"/>
      <c r="CX93" s="300"/>
      <c r="CY93" s="300"/>
      <c r="CZ93" s="300"/>
      <c r="DA93" s="300"/>
      <c r="DB93" s="300"/>
      <c r="DC93" s="300"/>
      <c r="DD93" s="300"/>
      <c r="DE93" s="300"/>
      <c r="DF93" s="300"/>
      <c r="DG93" s="300"/>
      <c r="DH93" s="300"/>
      <c r="DI93" s="300"/>
      <c r="DJ93" s="300"/>
      <c r="DK93" s="300"/>
      <c r="DL93" s="300"/>
      <c r="DM93" s="300"/>
      <c r="DN93" s="300"/>
      <c r="DO93" s="300"/>
      <c r="DP93" s="300"/>
      <c r="DQ93" s="300"/>
      <c r="DR93" s="300"/>
      <c r="DS93" s="300"/>
      <c r="DT93" s="300"/>
      <c r="DU93" s="300"/>
      <c r="DV93" s="300"/>
      <c r="DW93" s="300"/>
      <c r="DX93" s="300"/>
      <c r="DY93" s="300"/>
      <c r="DZ93" s="300"/>
      <c r="EA93" s="300"/>
      <c r="EB93" s="300"/>
      <c r="EC93" s="300"/>
      <c r="ED93" s="300"/>
      <c r="EE93" s="300"/>
      <c r="EF93" s="300"/>
      <c r="EG93" s="300"/>
      <c r="EH93" s="300"/>
      <c r="EI93" s="300"/>
      <c r="EJ93" s="300"/>
      <c r="EK93" s="300"/>
      <c r="EL93" s="300"/>
      <c r="EM93" s="300"/>
      <c r="EN93" s="300"/>
      <c r="EO93" s="300"/>
      <c r="EP93" s="300"/>
      <c r="EQ93" s="300"/>
      <c r="ER93" s="300"/>
      <c r="ES93" s="300"/>
      <c r="ET93" s="300"/>
      <c r="EU93" s="300"/>
      <c r="EV93" s="300"/>
      <c r="EW93" s="300"/>
      <c r="EX93" s="300"/>
      <c r="EY93" s="300"/>
      <c r="EZ93" s="300"/>
      <c r="FA93" s="300"/>
      <c r="FB93" s="300"/>
      <c r="FC93" s="300"/>
      <c r="FD93" s="300"/>
      <c r="FE93" s="300"/>
      <c r="FF93" s="300"/>
    </row>
    <row r="94" spans="1:162">
      <c r="A94" s="300"/>
      <c r="B94" s="300"/>
      <c r="C94" s="300"/>
      <c r="D94" s="300"/>
      <c r="E94" s="300"/>
      <c r="F94" s="300"/>
      <c r="G94" s="300"/>
      <c r="H94" s="300"/>
      <c r="I94" s="300"/>
      <c r="J94" s="300"/>
      <c r="K94" s="300"/>
      <c r="L94" s="300"/>
      <c r="M94" s="300"/>
      <c r="N94" s="300"/>
      <c r="O94" s="300"/>
      <c r="P94" s="300"/>
      <c r="Q94" s="300"/>
      <c r="R94" s="300"/>
      <c r="S94" s="300"/>
      <c r="T94" s="300"/>
      <c r="U94" s="300"/>
      <c r="V94" s="300"/>
      <c r="W94" s="300"/>
      <c r="X94" s="300"/>
      <c r="Y94" s="300"/>
      <c r="Z94" s="300"/>
      <c r="AA94" s="300"/>
      <c r="AB94" s="300"/>
      <c r="AC94" s="300"/>
      <c r="AD94" s="300"/>
      <c r="AE94" s="300"/>
      <c r="AF94" s="300"/>
      <c r="AG94" s="300"/>
      <c r="AH94" s="300"/>
      <c r="AI94" s="300"/>
      <c r="AJ94" s="300"/>
      <c r="AK94" s="300"/>
      <c r="AL94" s="300"/>
      <c r="AM94" s="300"/>
      <c r="AN94" s="300"/>
      <c r="AO94" s="300"/>
      <c r="AP94" s="300"/>
      <c r="AQ94" s="300"/>
      <c r="AR94" s="300"/>
      <c r="AS94" s="300"/>
      <c r="AT94" s="300"/>
      <c r="AU94" s="300"/>
      <c r="AV94" s="300"/>
      <c r="AW94" s="300"/>
      <c r="AX94" s="300"/>
      <c r="AY94" s="300"/>
      <c r="AZ94" s="300"/>
      <c r="BA94" s="300"/>
      <c r="BB94" s="300"/>
      <c r="BC94" s="300"/>
      <c r="BD94" s="300"/>
      <c r="BE94" s="300"/>
      <c r="BF94" s="300"/>
      <c r="BG94" s="300"/>
      <c r="BH94" s="300"/>
      <c r="BI94" s="300"/>
      <c r="BJ94" s="300"/>
      <c r="BK94" s="300"/>
      <c r="BL94" s="300"/>
      <c r="BM94" s="300"/>
      <c r="BN94" s="300"/>
      <c r="BO94" s="300"/>
      <c r="BP94" s="300"/>
      <c r="BQ94" s="300"/>
      <c r="BR94" s="300"/>
      <c r="BS94" s="300"/>
      <c r="BT94" s="300"/>
      <c r="BU94" s="300"/>
      <c r="BV94" s="300"/>
      <c r="BW94" s="300"/>
      <c r="BX94" s="300"/>
      <c r="BY94" s="300"/>
      <c r="BZ94" s="300"/>
      <c r="CA94" s="300"/>
      <c r="CB94" s="300"/>
      <c r="CC94" s="300"/>
      <c r="CD94" s="300"/>
      <c r="CE94" s="300"/>
      <c r="CF94" s="300"/>
      <c r="CG94" s="300"/>
      <c r="CH94" s="300"/>
      <c r="CI94" s="300"/>
      <c r="CJ94" s="300"/>
      <c r="CK94" s="300"/>
      <c r="CL94" s="300"/>
      <c r="CM94" s="300"/>
      <c r="CN94" s="300"/>
      <c r="CO94" s="300"/>
      <c r="CP94" s="300"/>
      <c r="CQ94" s="300"/>
      <c r="CR94" s="300"/>
      <c r="CS94" s="300"/>
      <c r="CT94" s="300"/>
      <c r="CU94" s="300"/>
      <c r="CV94" s="300"/>
      <c r="CW94" s="300"/>
      <c r="CX94" s="300"/>
      <c r="CY94" s="300"/>
      <c r="CZ94" s="300"/>
      <c r="DA94" s="300"/>
      <c r="DB94" s="300"/>
      <c r="DC94" s="300"/>
      <c r="DD94" s="300"/>
      <c r="DE94" s="300"/>
      <c r="DF94" s="300"/>
      <c r="DG94" s="300"/>
      <c r="DH94" s="300"/>
      <c r="DI94" s="300"/>
      <c r="DJ94" s="300"/>
      <c r="DK94" s="300"/>
      <c r="DL94" s="300"/>
      <c r="DM94" s="300"/>
      <c r="DN94" s="300"/>
      <c r="DO94" s="300"/>
      <c r="DP94" s="300"/>
      <c r="DQ94" s="300"/>
      <c r="DR94" s="300"/>
      <c r="DS94" s="300"/>
      <c r="DT94" s="300"/>
      <c r="DU94" s="300"/>
      <c r="DV94" s="300"/>
      <c r="DW94" s="300"/>
      <c r="DX94" s="300"/>
      <c r="DY94" s="300"/>
      <c r="DZ94" s="300"/>
      <c r="EA94" s="300"/>
      <c r="EB94" s="300"/>
      <c r="EC94" s="300"/>
      <c r="ED94" s="300"/>
      <c r="EE94" s="300"/>
      <c r="EF94" s="300"/>
      <c r="EG94" s="300"/>
      <c r="EH94" s="300"/>
      <c r="EI94" s="300"/>
      <c r="EJ94" s="300"/>
      <c r="EK94" s="300"/>
      <c r="EL94" s="300"/>
      <c r="EM94" s="300"/>
      <c r="EN94" s="300"/>
      <c r="EO94" s="300"/>
      <c r="EP94" s="300"/>
      <c r="EQ94" s="300"/>
      <c r="ER94" s="300"/>
      <c r="ES94" s="300"/>
      <c r="ET94" s="300"/>
      <c r="EU94" s="300"/>
      <c r="EV94" s="300"/>
      <c r="EW94" s="300"/>
      <c r="EX94" s="300"/>
      <c r="EY94" s="300"/>
      <c r="EZ94" s="300"/>
      <c r="FA94" s="300"/>
      <c r="FB94" s="300"/>
      <c r="FC94" s="300"/>
      <c r="FD94" s="300"/>
      <c r="FE94" s="300"/>
      <c r="FF94" s="300"/>
    </row>
    <row r="95" spans="1:162">
      <c r="A95" s="300"/>
      <c r="B95" s="300"/>
      <c r="C95" s="300"/>
      <c r="D95" s="300"/>
      <c r="E95" s="300"/>
      <c r="F95" s="300"/>
      <c r="G95" s="300"/>
      <c r="H95" s="300"/>
      <c r="I95" s="300"/>
      <c r="J95" s="300"/>
      <c r="K95" s="300"/>
      <c r="L95" s="300"/>
      <c r="M95" s="300"/>
      <c r="N95" s="300"/>
      <c r="O95" s="300"/>
      <c r="P95" s="300"/>
      <c r="Q95" s="300"/>
      <c r="R95" s="300"/>
      <c r="S95" s="300"/>
      <c r="T95" s="300"/>
      <c r="U95" s="300"/>
      <c r="V95" s="300"/>
      <c r="W95" s="300"/>
      <c r="X95" s="300"/>
      <c r="Y95" s="300"/>
      <c r="Z95" s="300"/>
      <c r="AA95" s="300"/>
      <c r="AB95" s="300"/>
      <c r="AC95" s="300"/>
      <c r="AD95" s="300"/>
      <c r="AE95" s="300"/>
      <c r="AF95" s="300"/>
      <c r="AG95" s="300"/>
      <c r="AH95" s="300"/>
      <c r="AI95" s="300"/>
      <c r="AJ95" s="300"/>
      <c r="AK95" s="300"/>
      <c r="AL95" s="300"/>
      <c r="AM95" s="300"/>
      <c r="AN95" s="300"/>
      <c r="AO95" s="300"/>
      <c r="AP95" s="300"/>
      <c r="AQ95" s="300"/>
      <c r="AR95" s="300"/>
      <c r="AS95" s="300"/>
      <c r="AT95" s="300"/>
      <c r="AU95" s="300"/>
      <c r="AV95" s="300"/>
      <c r="AW95" s="300"/>
      <c r="AX95" s="300"/>
      <c r="AY95" s="300"/>
      <c r="AZ95" s="300"/>
      <c r="BA95" s="300"/>
      <c r="BB95" s="300"/>
      <c r="BC95" s="300"/>
      <c r="BD95" s="300"/>
      <c r="BE95" s="300"/>
      <c r="BF95" s="300"/>
      <c r="BG95" s="300"/>
      <c r="BH95" s="300"/>
      <c r="BI95" s="300"/>
      <c r="BJ95" s="300"/>
      <c r="BK95" s="300"/>
      <c r="BL95" s="300"/>
      <c r="BM95" s="300"/>
      <c r="BN95" s="300"/>
      <c r="BO95" s="300"/>
      <c r="BP95" s="300"/>
      <c r="BQ95" s="300"/>
      <c r="BR95" s="300"/>
      <c r="BS95" s="300"/>
      <c r="BT95" s="300"/>
      <c r="BU95" s="300"/>
      <c r="BV95" s="300"/>
      <c r="BW95" s="300"/>
      <c r="BX95" s="300"/>
      <c r="BY95" s="300"/>
      <c r="BZ95" s="300"/>
      <c r="CA95" s="300"/>
      <c r="CB95" s="300"/>
      <c r="CC95" s="300"/>
      <c r="CD95" s="300"/>
      <c r="CE95" s="300"/>
      <c r="CF95" s="300"/>
      <c r="CG95" s="300"/>
      <c r="CH95" s="300"/>
      <c r="CI95" s="300"/>
      <c r="CJ95" s="300"/>
      <c r="CK95" s="300"/>
      <c r="CL95" s="300"/>
      <c r="CM95" s="300"/>
      <c r="CN95" s="300"/>
      <c r="CO95" s="300"/>
      <c r="CP95" s="300"/>
      <c r="CQ95" s="300"/>
      <c r="CR95" s="300"/>
      <c r="CS95" s="300"/>
      <c r="CT95" s="300"/>
      <c r="CU95" s="300"/>
      <c r="CV95" s="300"/>
      <c r="CW95" s="300"/>
      <c r="CX95" s="300"/>
      <c r="CY95" s="300"/>
      <c r="CZ95" s="300"/>
      <c r="DA95" s="300"/>
      <c r="DB95" s="300"/>
      <c r="DC95" s="300"/>
      <c r="DD95" s="300"/>
      <c r="DE95" s="300"/>
      <c r="DF95" s="300"/>
      <c r="DG95" s="300"/>
      <c r="DH95" s="300"/>
      <c r="DI95" s="300"/>
      <c r="DJ95" s="300"/>
      <c r="DK95" s="300"/>
      <c r="DL95" s="300"/>
      <c r="DM95" s="300"/>
      <c r="DN95" s="300"/>
      <c r="DO95" s="300"/>
      <c r="DP95" s="300"/>
      <c r="DQ95" s="300"/>
      <c r="DR95" s="300"/>
      <c r="DS95" s="300"/>
      <c r="DT95" s="300"/>
      <c r="DU95" s="300"/>
      <c r="DV95" s="300"/>
      <c r="DW95" s="300"/>
      <c r="DX95" s="300"/>
      <c r="DY95" s="300"/>
      <c r="DZ95" s="300"/>
      <c r="EA95" s="300"/>
      <c r="EB95" s="300"/>
      <c r="EC95" s="300"/>
      <c r="ED95" s="300"/>
      <c r="EE95" s="300"/>
      <c r="EF95" s="300"/>
      <c r="EG95" s="300"/>
      <c r="EH95" s="300"/>
      <c r="EI95" s="300"/>
      <c r="EJ95" s="300"/>
      <c r="EK95" s="300"/>
      <c r="EL95" s="300"/>
      <c r="EM95" s="300"/>
      <c r="EN95" s="300"/>
      <c r="EO95" s="300"/>
      <c r="EP95" s="300"/>
      <c r="EQ95" s="300"/>
      <c r="ER95" s="300"/>
      <c r="ES95" s="300"/>
      <c r="ET95" s="300"/>
      <c r="EU95" s="300"/>
      <c r="EV95" s="300"/>
      <c r="EW95" s="300"/>
      <c r="EX95" s="300"/>
      <c r="EY95" s="300"/>
      <c r="EZ95" s="300"/>
      <c r="FA95" s="300"/>
      <c r="FB95" s="300"/>
      <c r="FC95" s="300"/>
      <c r="FD95" s="300"/>
      <c r="FE95" s="300"/>
      <c r="FF95" s="300"/>
    </row>
    <row r="96" spans="1:162">
      <c r="A96" s="300"/>
      <c r="B96" s="300"/>
      <c r="C96" s="300"/>
      <c r="D96" s="300"/>
      <c r="E96" s="300"/>
      <c r="F96" s="300"/>
      <c r="G96" s="300"/>
      <c r="H96" s="300"/>
      <c r="I96" s="300"/>
      <c r="J96" s="300"/>
      <c r="K96" s="300"/>
      <c r="L96" s="300"/>
      <c r="M96" s="300"/>
      <c r="N96" s="300"/>
      <c r="O96" s="300"/>
      <c r="P96" s="300"/>
      <c r="Q96" s="300"/>
      <c r="R96" s="300"/>
      <c r="S96" s="300"/>
      <c r="T96" s="300"/>
      <c r="U96" s="300"/>
      <c r="V96" s="300"/>
      <c r="W96" s="300"/>
      <c r="X96" s="300"/>
      <c r="Y96" s="300"/>
      <c r="Z96" s="300"/>
      <c r="AA96" s="300"/>
      <c r="AB96" s="300"/>
      <c r="AC96" s="300"/>
      <c r="AD96" s="300"/>
      <c r="AE96" s="300"/>
      <c r="AF96" s="300"/>
      <c r="AG96" s="300"/>
      <c r="AH96" s="300"/>
      <c r="AI96" s="300"/>
      <c r="AJ96" s="300"/>
      <c r="AK96" s="300"/>
      <c r="AL96" s="300"/>
      <c r="AM96" s="300"/>
      <c r="AN96" s="300"/>
      <c r="AO96" s="300"/>
      <c r="AP96" s="300"/>
      <c r="AQ96" s="300"/>
      <c r="AR96" s="300"/>
      <c r="AS96" s="300"/>
      <c r="AT96" s="300"/>
      <c r="AU96" s="300"/>
      <c r="AV96" s="300"/>
      <c r="AW96" s="300"/>
      <c r="AX96" s="300"/>
      <c r="AY96" s="300"/>
      <c r="AZ96" s="300"/>
      <c r="BA96" s="300"/>
      <c r="BB96" s="300"/>
      <c r="BC96" s="300"/>
      <c r="BD96" s="300"/>
      <c r="BE96" s="300"/>
      <c r="BF96" s="300"/>
      <c r="BG96" s="300"/>
      <c r="BH96" s="300"/>
      <c r="BI96" s="300"/>
      <c r="BJ96" s="300"/>
      <c r="BK96" s="300"/>
      <c r="BL96" s="300"/>
      <c r="BM96" s="300"/>
      <c r="BN96" s="300"/>
      <c r="BO96" s="300"/>
      <c r="BP96" s="300"/>
      <c r="BQ96" s="300"/>
      <c r="BR96" s="300"/>
      <c r="BS96" s="300"/>
      <c r="BT96" s="300"/>
      <c r="BU96" s="300"/>
      <c r="BV96" s="300"/>
      <c r="BW96" s="300"/>
      <c r="BX96" s="300"/>
      <c r="BY96" s="300"/>
      <c r="BZ96" s="300"/>
      <c r="CA96" s="300"/>
      <c r="CB96" s="300"/>
      <c r="CC96" s="300"/>
      <c r="CD96" s="300"/>
      <c r="CE96" s="300"/>
      <c r="CF96" s="300"/>
      <c r="CG96" s="300"/>
      <c r="CH96" s="300"/>
      <c r="CI96" s="300"/>
      <c r="CJ96" s="300"/>
      <c r="CK96" s="300"/>
      <c r="CL96" s="300"/>
      <c r="CM96" s="300"/>
      <c r="CN96" s="300"/>
      <c r="CO96" s="300"/>
      <c r="CP96" s="300"/>
      <c r="CQ96" s="300"/>
      <c r="CR96" s="300"/>
      <c r="CS96" s="300"/>
      <c r="CT96" s="300"/>
      <c r="CU96" s="300"/>
      <c r="CV96" s="300"/>
      <c r="CW96" s="300"/>
      <c r="CX96" s="300"/>
      <c r="CY96" s="300"/>
      <c r="CZ96" s="300"/>
      <c r="DA96" s="300"/>
      <c r="DB96" s="300"/>
      <c r="DC96" s="300"/>
      <c r="DD96" s="300"/>
      <c r="DE96" s="300"/>
      <c r="DF96" s="300"/>
      <c r="DG96" s="300"/>
      <c r="DH96" s="300"/>
      <c r="DI96" s="300"/>
      <c r="DJ96" s="300"/>
      <c r="DK96" s="300"/>
      <c r="DL96" s="300"/>
      <c r="DM96" s="300"/>
      <c r="DN96" s="300"/>
      <c r="DO96" s="300"/>
      <c r="DP96" s="300"/>
      <c r="DQ96" s="300"/>
      <c r="DR96" s="300"/>
      <c r="DS96" s="300"/>
      <c r="DT96" s="300"/>
      <c r="DU96" s="300"/>
      <c r="DV96" s="300"/>
      <c r="DW96" s="300"/>
      <c r="DX96" s="300"/>
      <c r="DY96" s="300"/>
      <c r="DZ96" s="300"/>
      <c r="EA96" s="300"/>
      <c r="EB96" s="300"/>
      <c r="EC96" s="300"/>
      <c r="ED96" s="300"/>
      <c r="EE96" s="300"/>
      <c r="EF96" s="300"/>
      <c r="EG96" s="300"/>
      <c r="EH96" s="300"/>
      <c r="EI96" s="300"/>
      <c r="EJ96" s="300"/>
      <c r="EK96" s="300"/>
      <c r="EL96" s="300"/>
      <c r="EM96" s="300"/>
      <c r="EN96" s="300"/>
      <c r="EO96" s="300"/>
      <c r="EP96" s="300"/>
      <c r="EQ96" s="300"/>
      <c r="ER96" s="300"/>
      <c r="ES96" s="300"/>
      <c r="ET96" s="300"/>
      <c r="EU96" s="300"/>
      <c r="EV96" s="300"/>
      <c r="EW96" s="300"/>
      <c r="EX96" s="300"/>
      <c r="EY96" s="300"/>
      <c r="EZ96" s="300"/>
      <c r="FA96" s="300"/>
      <c r="FB96" s="300"/>
      <c r="FC96" s="300"/>
      <c r="FD96" s="300"/>
      <c r="FE96" s="300"/>
      <c r="FF96" s="300"/>
    </row>
    <row r="97" spans="1:162">
      <c r="A97" s="300"/>
      <c r="B97" s="300"/>
      <c r="C97" s="300"/>
      <c r="D97" s="300"/>
      <c r="E97" s="300"/>
      <c r="F97" s="300"/>
      <c r="G97" s="300"/>
      <c r="H97" s="300"/>
      <c r="I97" s="300"/>
      <c r="J97" s="300"/>
      <c r="K97" s="300"/>
      <c r="L97" s="300"/>
      <c r="M97" s="300"/>
      <c r="N97" s="300"/>
      <c r="O97" s="300"/>
      <c r="P97" s="300"/>
      <c r="Q97" s="300"/>
      <c r="R97" s="300"/>
      <c r="S97" s="300"/>
      <c r="T97" s="300"/>
      <c r="U97" s="300"/>
      <c r="V97" s="300"/>
      <c r="W97" s="300"/>
      <c r="X97" s="300"/>
      <c r="Y97" s="300"/>
      <c r="Z97" s="300"/>
      <c r="AA97" s="300"/>
      <c r="AB97" s="300"/>
      <c r="AC97" s="300"/>
      <c r="AD97" s="300"/>
      <c r="AE97" s="300"/>
      <c r="AF97" s="300"/>
      <c r="AG97" s="300"/>
      <c r="AH97" s="300"/>
      <c r="AI97" s="300"/>
      <c r="AJ97" s="300"/>
      <c r="AK97" s="300"/>
      <c r="AL97" s="300"/>
      <c r="AM97" s="300"/>
      <c r="AN97" s="300"/>
      <c r="AO97" s="300"/>
      <c r="AP97" s="300"/>
      <c r="AQ97" s="300"/>
      <c r="AR97" s="300"/>
      <c r="AS97" s="300"/>
      <c r="AT97" s="300"/>
      <c r="AU97" s="300"/>
      <c r="AV97" s="300"/>
      <c r="AW97" s="300"/>
      <c r="AX97" s="300"/>
      <c r="AY97" s="300"/>
      <c r="AZ97" s="300"/>
      <c r="BA97" s="300"/>
      <c r="BB97" s="300"/>
      <c r="BC97" s="300"/>
      <c r="BD97" s="300"/>
      <c r="BE97" s="300"/>
      <c r="BF97" s="300"/>
      <c r="BG97" s="300"/>
      <c r="BH97" s="300"/>
      <c r="BI97" s="300"/>
      <c r="BJ97" s="300"/>
      <c r="BK97" s="300"/>
      <c r="BL97" s="300"/>
      <c r="BM97" s="300"/>
      <c r="BN97" s="300"/>
      <c r="BO97" s="300"/>
      <c r="BP97" s="300"/>
      <c r="BQ97" s="300"/>
      <c r="BR97" s="300"/>
      <c r="BS97" s="300"/>
      <c r="BT97" s="300"/>
      <c r="BU97" s="300"/>
      <c r="BV97" s="300"/>
      <c r="BW97" s="300"/>
      <c r="BX97" s="300"/>
      <c r="BY97" s="300"/>
      <c r="BZ97" s="300"/>
      <c r="CA97" s="300"/>
      <c r="CB97" s="300"/>
      <c r="CC97" s="300"/>
      <c r="CD97" s="300"/>
      <c r="CE97" s="300"/>
      <c r="CF97" s="300"/>
      <c r="CG97" s="300"/>
      <c r="CH97" s="300"/>
      <c r="CI97" s="300"/>
      <c r="CJ97" s="300"/>
      <c r="CK97" s="300"/>
      <c r="CL97" s="300"/>
      <c r="CM97" s="300"/>
      <c r="CN97" s="300"/>
      <c r="CO97" s="300"/>
      <c r="CP97" s="300"/>
      <c r="CQ97" s="300"/>
      <c r="CR97" s="300"/>
      <c r="CS97" s="300"/>
      <c r="CT97" s="300"/>
      <c r="CU97" s="300"/>
      <c r="CV97" s="300"/>
      <c r="CW97" s="300"/>
      <c r="CX97" s="300"/>
      <c r="CY97" s="300"/>
      <c r="CZ97" s="300"/>
      <c r="DA97" s="300"/>
      <c r="DB97" s="300"/>
      <c r="DC97" s="300"/>
      <c r="DD97" s="300"/>
      <c r="DE97" s="300"/>
      <c r="DF97" s="300"/>
      <c r="DG97" s="300"/>
      <c r="DH97" s="300"/>
      <c r="DI97" s="300"/>
      <c r="DJ97" s="300"/>
      <c r="DK97" s="300"/>
      <c r="DL97" s="300"/>
      <c r="DM97" s="300"/>
      <c r="DN97" s="300"/>
      <c r="DO97" s="300"/>
      <c r="DP97" s="300"/>
      <c r="DQ97" s="300"/>
      <c r="DR97" s="300"/>
      <c r="DS97" s="300"/>
      <c r="DT97" s="300"/>
      <c r="DU97" s="300"/>
      <c r="DV97" s="300"/>
      <c r="DW97" s="300"/>
      <c r="DX97" s="300"/>
      <c r="DY97" s="300"/>
      <c r="DZ97" s="300"/>
      <c r="EA97" s="300"/>
      <c r="EB97" s="300"/>
      <c r="EC97" s="300"/>
      <c r="ED97" s="300"/>
      <c r="EE97" s="300"/>
      <c r="EF97" s="300"/>
      <c r="EG97" s="300"/>
      <c r="EH97" s="300"/>
      <c r="EI97" s="300"/>
      <c r="EJ97" s="300"/>
      <c r="EK97" s="300"/>
      <c r="EL97" s="300"/>
      <c r="EM97" s="300"/>
      <c r="EN97" s="300"/>
      <c r="EO97" s="300"/>
      <c r="EP97" s="300"/>
      <c r="EQ97" s="300"/>
      <c r="ER97" s="300"/>
      <c r="ES97" s="300"/>
      <c r="ET97" s="300"/>
      <c r="EU97" s="300"/>
      <c r="EV97" s="300"/>
      <c r="EW97" s="300"/>
      <c r="EX97" s="300"/>
      <c r="EY97" s="300"/>
      <c r="EZ97" s="300"/>
      <c r="FA97" s="300"/>
      <c r="FB97" s="300"/>
      <c r="FC97" s="300"/>
      <c r="FD97" s="300"/>
      <c r="FE97" s="300"/>
      <c r="FF97" s="300"/>
    </row>
    <row r="98" spans="1:162">
      <c r="A98" s="300"/>
      <c r="B98" s="300"/>
      <c r="C98" s="300"/>
      <c r="D98" s="300"/>
      <c r="E98" s="300"/>
      <c r="F98" s="300"/>
      <c r="G98" s="300"/>
      <c r="H98" s="300"/>
      <c r="I98" s="300"/>
      <c r="J98" s="300"/>
      <c r="K98" s="300"/>
      <c r="L98" s="300"/>
      <c r="M98" s="300"/>
      <c r="N98" s="300"/>
      <c r="O98" s="300"/>
      <c r="P98" s="300"/>
      <c r="Q98" s="300"/>
      <c r="R98" s="300"/>
      <c r="S98" s="300"/>
      <c r="T98" s="300"/>
      <c r="U98" s="300"/>
      <c r="V98" s="300"/>
      <c r="W98" s="300"/>
      <c r="X98" s="300"/>
      <c r="Y98" s="300"/>
      <c r="Z98" s="300"/>
      <c r="AA98" s="300"/>
      <c r="AB98" s="300"/>
      <c r="AC98" s="300"/>
      <c r="AD98" s="300"/>
      <c r="AE98" s="300"/>
      <c r="AF98" s="300"/>
      <c r="AG98" s="300"/>
      <c r="AH98" s="300"/>
      <c r="AI98" s="300"/>
      <c r="AJ98" s="300"/>
      <c r="AK98" s="300"/>
      <c r="AL98" s="300"/>
      <c r="AM98" s="300"/>
      <c r="AN98" s="300"/>
      <c r="AO98" s="300"/>
      <c r="AP98" s="300"/>
      <c r="AQ98" s="300"/>
      <c r="AR98" s="300"/>
      <c r="AS98" s="300"/>
      <c r="AT98" s="300"/>
      <c r="AU98" s="300"/>
      <c r="AV98" s="300"/>
      <c r="AW98" s="300"/>
      <c r="AX98" s="300"/>
      <c r="AY98" s="300"/>
      <c r="AZ98" s="300"/>
      <c r="BA98" s="300"/>
      <c r="BB98" s="300"/>
      <c r="BC98" s="300"/>
      <c r="BD98" s="300"/>
      <c r="BE98" s="300"/>
      <c r="BF98" s="300"/>
      <c r="BG98" s="300"/>
      <c r="BH98" s="300"/>
      <c r="BI98" s="300"/>
      <c r="BJ98" s="300"/>
      <c r="BK98" s="300"/>
      <c r="BL98" s="300"/>
      <c r="BM98" s="300"/>
      <c r="BN98" s="300"/>
      <c r="BO98" s="300"/>
      <c r="BP98" s="300"/>
      <c r="BQ98" s="300"/>
      <c r="BR98" s="300"/>
      <c r="BS98" s="300"/>
      <c r="BT98" s="300"/>
      <c r="BU98" s="300"/>
      <c r="BV98" s="300"/>
      <c r="BW98" s="300"/>
      <c r="BX98" s="300"/>
      <c r="BY98" s="300"/>
      <c r="BZ98" s="300"/>
      <c r="CA98" s="300"/>
      <c r="CB98" s="300"/>
      <c r="CC98" s="300"/>
      <c r="CD98" s="300"/>
      <c r="CE98" s="300"/>
      <c r="CF98" s="300"/>
      <c r="CG98" s="300"/>
      <c r="CH98" s="300"/>
      <c r="CI98" s="300"/>
      <c r="CJ98" s="300"/>
      <c r="CK98" s="300"/>
      <c r="CL98" s="300"/>
      <c r="CM98" s="300"/>
      <c r="CN98" s="300"/>
      <c r="CO98" s="300"/>
      <c r="CP98" s="300"/>
      <c r="CQ98" s="300"/>
      <c r="CR98" s="300"/>
      <c r="CS98" s="300"/>
      <c r="CT98" s="300"/>
      <c r="CU98" s="300"/>
      <c r="CV98" s="300"/>
      <c r="CW98" s="300"/>
      <c r="CX98" s="300"/>
      <c r="CY98" s="300"/>
      <c r="CZ98" s="300"/>
      <c r="DA98" s="300"/>
      <c r="DB98" s="300"/>
      <c r="DC98" s="300"/>
      <c r="DD98" s="300"/>
      <c r="DE98" s="300"/>
      <c r="DF98" s="300"/>
      <c r="DG98" s="300"/>
      <c r="DH98" s="300"/>
      <c r="DI98" s="300"/>
      <c r="DJ98" s="300"/>
      <c r="DK98" s="300"/>
      <c r="DL98" s="300"/>
      <c r="DM98" s="300"/>
      <c r="DN98" s="300"/>
      <c r="DO98" s="300"/>
      <c r="DP98" s="300"/>
      <c r="DQ98" s="300"/>
      <c r="DR98" s="300"/>
      <c r="DS98" s="300"/>
      <c r="DT98" s="300"/>
      <c r="DU98" s="300"/>
      <c r="DV98" s="300"/>
      <c r="DW98" s="300"/>
      <c r="DX98" s="300"/>
      <c r="DY98" s="300"/>
      <c r="DZ98" s="300"/>
      <c r="EA98" s="300"/>
      <c r="EB98" s="300"/>
      <c r="EC98" s="300"/>
      <c r="ED98" s="300"/>
      <c r="EE98" s="300"/>
      <c r="EF98" s="300"/>
      <c r="EG98" s="300"/>
      <c r="EH98" s="300"/>
      <c r="EI98" s="300"/>
      <c r="EJ98" s="300"/>
      <c r="EK98" s="300"/>
      <c r="EL98" s="300"/>
      <c r="EM98" s="300"/>
      <c r="EN98" s="300"/>
      <c r="EO98" s="300"/>
      <c r="EP98" s="300"/>
      <c r="EQ98" s="300"/>
      <c r="ER98" s="300"/>
      <c r="ES98" s="300"/>
      <c r="ET98" s="300"/>
      <c r="EU98" s="300"/>
      <c r="EV98" s="300"/>
      <c r="EW98" s="300"/>
      <c r="EX98" s="300"/>
      <c r="EY98" s="300"/>
      <c r="EZ98" s="300"/>
      <c r="FA98" s="300"/>
      <c r="FB98" s="300"/>
      <c r="FC98" s="300"/>
      <c r="FD98" s="300"/>
      <c r="FE98" s="300"/>
      <c r="FF98" s="300"/>
    </row>
    <row r="99" spans="1:162">
      <c r="A99" s="300"/>
      <c r="B99" s="300"/>
      <c r="C99" s="300"/>
      <c r="D99" s="300"/>
      <c r="E99" s="300"/>
      <c r="F99" s="300"/>
      <c r="G99" s="300"/>
      <c r="H99" s="300"/>
      <c r="I99" s="300"/>
      <c r="J99" s="300"/>
      <c r="K99" s="300"/>
      <c r="L99" s="300"/>
      <c r="M99" s="300"/>
      <c r="N99" s="300"/>
      <c r="O99" s="300"/>
      <c r="P99" s="300"/>
      <c r="Q99" s="300"/>
      <c r="R99" s="300"/>
      <c r="S99" s="300"/>
      <c r="T99" s="300"/>
      <c r="U99" s="300"/>
      <c r="V99" s="300"/>
      <c r="W99" s="300"/>
      <c r="X99" s="300"/>
      <c r="Y99" s="300"/>
      <c r="Z99" s="300"/>
      <c r="AA99" s="300"/>
      <c r="AB99" s="300"/>
      <c r="AC99" s="300"/>
      <c r="AD99" s="300"/>
      <c r="AE99" s="300"/>
      <c r="AF99" s="300"/>
      <c r="AG99" s="300"/>
      <c r="AH99" s="300"/>
      <c r="AI99" s="300"/>
      <c r="AJ99" s="300"/>
      <c r="AK99" s="300"/>
      <c r="AL99" s="300"/>
      <c r="AM99" s="300"/>
      <c r="AN99" s="300"/>
      <c r="AO99" s="300"/>
      <c r="AP99" s="300"/>
      <c r="AQ99" s="300"/>
      <c r="AR99" s="300"/>
      <c r="AS99" s="300"/>
      <c r="AT99" s="300"/>
      <c r="AU99" s="300"/>
      <c r="AV99" s="300"/>
      <c r="AW99" s="300"/>
      <c r="AX99" s="300"/>
      <c r="AY99" s="300"/>
      <c r="AZ99" s="300"/>
      <c r="BA99" s="300"/>
      <c r="BB99" s="300"/>
      <c r="BC99" s="300"/>
      <c r="BD99" s="300"/>
      <c r="BE99" s="300"/>
      <c r="BF99" s="300"/>
      <c r="BG99" s="300"/>
      <c r="BH99" s="300"/>
      <c r="BI99" s="300"/>
      <c r="BJ99" s="300"/>
      <c r="BK99" s="300"/>
      <c r="BL99" s="300"/>
      <c r="BM99" s="300"/>
      <c r="BN99" s="300"/>
      <c r="BO99" s="300"/>
      <c r="BP99" s="300"/>
      <c r="BQ99" s="300"/>
      <c r="BR99" s="300"/>
      <c r="BS99" s="300"/>
      <c r="BT99" s="300"/>
      <c r="BU99" s="300"/>
      <c r="BV99" s="300"/>
      <c r="BW99" s="300"/>
      <c r="BX99" s="300"/>
      <c r="BY99" s="300"/>
      <c r="BZ99" s="300"/>
      <c r="CA99" s="300"/>
      <c r="CB99" s="300"/>
      <c r="CC99" s="300"/>
      <c r="CD99" s="300"/>
      <c r="CE99" s="300"/>
      <c r="CF99" s="300"/>
      <c r="CG99" s="300"/>
      <c r="CH99" s="300"/>
      <c r="CI99" s="300"/>
      <c r="CJ99" s="300"/>
      <c r="CK99" s="300"/>
      <c r="CL99" s="300"/>
      <c r="CM99" s="300"/>
      <c r="CN99" s="300"/>
      <c r="CO99" s="300"/>
      <c r="CP99" s="300"/>
      <c r="CQ99" s="300"/>
      <c r="CR99" s="300"/>
      <c r="CS99" s="300"/>
      <c r="CT99" s="300"/>
      <c r="CU99" s="300"/>
      <c r="CV99" s="300"/>
      <c r="CW99" s="300"/>
      <c r="CX99" s="300"/>
      <c r="CY99" s="300"/>
      <c r="CZ99" s="300"/>
      <c r="DA99" s="300"/>
      <c r="DB99" s="300"/>
      <c r="DC99" s="300"/>
      <c r="DD99" s="300"/>
      <c r="DE99" s="300"/>
      <c r="DF99" s="300"/>
      <c r="DG99" s="300"/>
      <c r="DH99" s="300"/>
      <c r="DI99" s="300"/>
      <c r="DJ99" s="300"/>
      <c r="DK99" s="300"/>
      <c r="DL99" s="300"/>
      <c r="DM99" s="300"/>
      <c r="DN99" s="300"/>
      <c r="DO99" s="300"/>
      <c r="DP99" s="300"/>
      <c r="DQ99" s="300"/>
      <c r="DR99" s="300"/>
      <c r="DS99" s="300"/>
      <c r="DT99" s="300"/>
      <c r="DU99" s="300"/>
      <c r="DV99" s="300"/>
      <c r="DW99" s="300"/>
      <c r="DX99" s="300"/>
      <c r="DY99" s="300"/>
      <c r="DZ99" s="300"/>
      <c r="EA99" s="300"/>
      <c r="EB99" s="300"/>
      <c r="EC99" s="300"/>
      <c r="ED99" s="300"/>
      <c r="EE99" s="300"/>
      <c r="EF99" s="300"/>
      <c r="EG99" s="300"/>
      <c r="EH99" s="300"/>
      <c r="EI99" s="300"/>
      <c r="EJ99" s="300"/>
      <c r="EK99" s="300"/>
      <c r="EL99" s="300"/>
      <c r="EM99" s="300"/>
      <c r="EN99" s="300"/>
      <c r="EO99" s="300"/>
      <c r="EP99" s="300"/>
      <c r="EQ99" s="300"/>
      <c r="ER99" s="300"/>
      <c r="ES99" s="300"/>
      <c r="ET99" s="300"/>
      <c r="EU99" s="300"/>
      <c r="EV99" s="300"/>
      <c r="EW99" s="300"/>
      <c r="EX99" s="300"/>
      <c r="EY99" s="300"/>
      <c r="EZ99" s="300"/>
      <c r="FA99" s="300"/>
      <c r="FB99" s="300"/>
      <c r="FC99" s="300"/>
      <c r="FD99" s="300"/>
      <c r="FE99" s="300"/>
      <c r="FF99" s="300"/>
    </row>
    <row r="100" spans="1:162">
      <c r="A100" s="300"/>
      <c r="B100" s="300"/>
      <c r="C100" s="300"/>
      <c r="D100" s="300"/>
      <c r="E100" s="300"/>
      <c r="F100" s="300"/>
      <c r="G100" s="300"/>
      <c r="H100" s="300"/>
      <c r="I100" s="300"/>
      <c r="J100" s="300"/>
      <c r="K100" s="300"/>
      <c r="L100" s="300"/>
      <c r="M100" s="300"/>
      <c r="N100" s="300"/>
      <c r="O100" s="300"/>
      <c r="P100" s="300"/>
      <c r="Q100" s="300"/>
      <c r="R100" s="300"/>
      <c r="S100" s="300"/>
      <c r="T100" s="300"/>
      <c r="U100" s="300"/>
      <c r="V100" s="300"/>
      <c r="W100" s="300"/>
      <c r="X100" s="300"/>
      <c r="Y100" s="300"/>
      <c r="Z100" s="300"/>
      <c r="AA100" s="300"/>
      <c r="AB100" s="300"/>
      <c r="AC100" s="300"/>
      <c r="AD100" s="300"/>
      <c r="AE100" s="300"/>
      <c r="AF100" s="300"/>
      <c r="AG100" s="300"/>
      <c r="AH100" s="300"/>
      <c r="AI100" s="300"/>
      <c r="AJ100" s="300"/>
      <c r="AK100" s="300"/>
      <c r="AL100" s="300"/>
      <c r="AM100" s="300"/>
      <c r="AN100" s="300"/>
      <c r="AO100" s="300"/>
      <c r="AP100" s="300"/>
      <c r="AQ100" s="300"/>
      <c r="AR100" s="300"/>
      <c r="AS100" s="300"/>
      <c r="AT100" s="300"/>
      <c r="AU100" s="300"/>
      <c r="AV100" s="300"/>
      <c r="AW100" s="300"/>
      <c r="AX100" s="300"/>
      <c r="AY100" s="300"/>
      <c r="AZ100" s="300"/>
      <c r="BA100" s="300"/>
      <c r="BB100" s="300"/>
      <c r="BC100" s="300"/>
      <c r="BD100" s="300"/>
      <c r="BE100" s="300"/>
      <c r="BF100" s="300"/>
      <c r="BG100" s="300"/>
      <c r="BH100" s="300"/>
      <c r="BI100" s="300"/>
      <c r="BJ100" s="300"/>
      <c r="BK100" s="300"/>
      <c r="BL100" s="300"/>
      <c r="BM100" s="300"/>
      <c r="BN100" s="300"/>
      <c r="BO100" s="300"/>
      <c r="BP100" s="300"/>
      <c r="BQ100" s="300"/>
      <c r="BR100" s="300"/>
      <c r="BS100" s="300"/>
      <c r="BT100" s="300"/>
      <c r="BU100" s="300"/>
      <c r="BV100" s="300"/>
      <c r="BW100" s="300"/>
      <c r="BX100" s="300"/>
      <c r="BY100" s="300"/>
      <c r="BZ100" s="300"/>
      <c r="CA100" s="300"/>
      <c r="CB100" s="300"/>
      <c r="CC100" s="300"/>
      <c r="CD100" s="300"/>
      <c r="CE100" s="300"/>
      <c r="CF100" s="300"/>
      <c r="CG100" s="300"/>
      <c r="CH100" s="300"/>
      <c r="CI100" s="300"/>
      <c r="CJ100" s="300"/>
      <c r="CK100" s="300"/>
      <c r="CL100" s="300"/>
      <c r="CM100" s="300"/>
      <c r="CN100" s="300"/>
      <c r="CO100" s="300"/>
      <c r="CP100" s="300"/>
      <c r="CQ100" s="300"/>
      <c r="CR100" s="300"/>
      <c r="CS100" s="300"/>
      <c r="CT100" s="300"/>
      <c r="CU100" s="300"/>
      <c r="CV100" s="300"/>
      <c r="CW100" s="300"/>
      <c r="CX100" s="300"/>
      <c r="CY100" s="300"/>
      <c r="CZ100" s="300"/>
      <c r="DA100" s="300"/>
      <c r="DB100" s="300"/>
      <c r="DC100" s="300"/>
      <c r="DD100" s="300"/>
      <c r="DE100" s="300"/>
      <c r="DF100" s="300"/>
      <c r="DG100" s="300"/>
      <c r="DH100" s="300"/>
      <c r="DI100" s="300"/>
      <c r="DJ100" s="300"/>
      <c r="DK100" s="300"/>
      <c r="DL100" s="300"/>
      <c r="DM100" s="300"/>
      <c r="DN100" s="300"/>
      <c r="DO100" s="300"/>
      <c r="DP100" s="300"/>
      <c r="DQ100" s="300"/>
      <c r="DR100" s="300"/>
      <c r="DS100" s="300"/>
      <c r="DT100" s="300"/>
      <c r="DU100" s="300"/>
      <c r="DV100" s="300"/>
      <c r="DW100" s="300"/>
      <c r="DX100" s="300"/>
      <c r="DY100" s="300"/>
      <c r="DZ100" s="300"/>
      <c r="EA100" s="300"/>
      <c r="EB100" s="300"/>
      <c r="EC100" s="300"/>
      <c r="ED100" s="300"/>
      <c r="EE100" s="300"/>
      <c r="EF100" s="300"/>
      <c r="EG100" s="300"/>
      <c r="EH100" s="300"/>
      <c r="EI100" s="300"/>
      <c r="EJ100" s="300"/>
      <c r="EK100" s="300"/>
      <c r="EL100" s="300"/>
      <c r="EM100" s="300"/>
      <c r="EN100" s="300"/>
      <c r="EO100" s="300"/>
      <c r="EP100" s="300"/>
      <c r="EQ100" s="300"/>
      <c r="ER100" s="300"/>
      <c r="ES100" s="300"/>
      <c r="ET100" s="300"/>
      <c r="EU100" s="300"/>
      <c r="EV100" s="300"/>
      <c r="EW100" s="300"/>
      <c r="EX100" s="300"/>
      <c r="EY100" s="300"/>
      <c r="EZ100" s="300"/>
      <c r="FA100" s="300"/>
      <c r="FB100" s="300"/>
      <c r="FC100" s="300"/>
      <c r="FD100" s="300"/>
      <c r="FE100" s="300"/>
      <c r="FF100" s="300"/>
    </row>
    <row r="101" spans="1:162">
      <c r="A101" s="300"/>
      <c r="B101" s="300"/>
      <c r="C101" s="300"/>
      <c r="D101" s="300"/>
      <c r="E101" s="300"/>
      <c r="F101" s="300"/>
      <c r="G101" s="300"/>
      <c r="H101" s="300"/>
      <c r="I101" s="300"/>
      <c r="J101" s="300"/>
      <c r="K101" s="300"/>
      <c r="L101" s="300"/>
      <c r="M101" s="300"/>
      <c r="N101" s="300"/>
      <c r="O101" s="300"/>
      <c r="P101" s="300"/>
      <c r="Q101" s="300"/>
      <c r="R101" s="300"/>
      <c r="S101" s="300"/>
      <c r="T101" s="300"/>
      <c r="U101" s="300"/>
      <c r="V101" s="300"/>
      <c r="W101" s="300"/>
      <c r="X101" s="300"/>
      <c r="Y101" s="300"/>
      <c r="Z101" s="300"/>
      <c r="AA101" s="300"/>
      <c r="AB101" s="300"/>
      <c r="AC101" s="300"/>
      <c r="AD101" s="300"/>
      <c r="AE101" s="300"/>
      <c r="AF101" s="300"/>
      <c r="AG101" s="300"/>
      <c r="AH101" s="300"/>
      <c r="AI101" s="300"/>
      <c r="AJ101" s="300"/>
      <c r="AK101" s="300"/>
      <c r="AL101" s="300"/>
      <c r="AM101" s="300"/>
      <c r="AN101" s="300"/>
      <c r="AO101" s="300"/>
      <c r="AP101" s="300"/>
      <c r="AQ101" s="300"/>
      <c r="AR101" s="300"/>
      <c r="AS101" s="300"/>
      <c r="AT101" s="300"/>
      <c r="AU101" s="300"/>
      <c r="AV101" s="300"/>
      <c r="AW101" s="300"/>
      <c r="AX101" s="300"/>
      <c r="AY101" s="300"/>
      <c r="AZ101" s="300"/>
      <c r="BA101" s="300"/>
      <c r="BB101" s="300"/>
      <c r="BC101" s="300"/>
      <c r="BD101" s="300"/>
      <c r="BE101" s="300"/>
      <c r="BF101" s="300"/>
      <c r="BG101" s="300"/>
      <c r="BH101" s="300"/>
      <c r="BI101" s="300"/>
      <c r="BJ101" s="300"/>
      <c r="BK101" s="300"/>
      <c r="BL101" s="300"/>
      <c r="BM101" s="300"/>
      <c r="BN101" s="300"/>
      <c r="BO101" s="300"/>
      <c r="BP101" s="300"/>
      <c r="BQ101" s="300"/>
      <c r="BR101" s="300"/>
      <c r="BS101" s="300"/>
      <c r="BT101" s="300"/>
      <c r="BU101" s="300"/>
      <c r="BV101" s="300"/>
      <c r="BW101" s="300"/>
      <c r="BX101" s="300"/>
      <c r="BY101" s="300"/>
      <c r="BZ101" s="300"/>
      <c r="CA101" s="300"/>
      <c r="CB101" s="300"/>
      <c r="CC101" s="300"/>
      <c r="CD101" s="300"/>
      <c r="CE101" s="300"/>
      <c r="CF101" s="300"/>
      <c r="CG101" s="300"/>
      <c r="CH101" s="300"/>
      <c r="CI101" s="300"/>
      <c r="CJ101" s="300"/>
      <c r="CK101" s="300"/>
      <c r="CL101" s="300"/>
      <c r="CM101" s="300"/>
      <c r="CN101" s="300"/>
      <c r="CO101" s="300"/>
      <c r="CP101" s="300"/>
      <c r="CQ101" s="300"/>
      <c r="CR101" s="300"/>
      <c r="CS101" s="300"/>
      <c r="CT101" s="300"/>
      <c r="CU101" s="300"/>
      <c r="CV101" s="300"/>
      <c r="CW101" s="300"/>
      <c r="CX101" s="300"/>
      <c r="CY101" s="300"/>
      <c r="CZ101" s="300"/>
      <c r="DA101" s="300"/>
      <c r="DB101" s="300"/>
      <c r="DC101" s="300"/>
      <c r="DD101" s="300"/>
      <c r="DE101" s="300"/>
      <c r="DF101" s="300"/>
      <c r="DG101" s="300"/>
      <c r="DH101" s="300"/>
      <c r="DI101" s="300"/>
      <c r="DJ101" s="300"/>
      <c r="DK101" s="300"/>
      <c r="DL101" s="300"/>
      <c r="DM101" s="300"/>
      <c r="DN101" s="300"/>
      <c r="DO101" s="300"/>
      <c r="DP101" s="300"/>
      <c r="DQ101" s="300"/>
      <c r="DR101" s="300"/>
      <c r="DS101" s="300"/>
      <c r="DT101" s="300"/>
      <c r="DU101" s="300"/>
      <c r="DV101" s="300"/>
      <c r="DW101" s="300"/>
      <c r="DX101" s="300"/>
      <c r="DY101" s="300"/>
      <c r="DZ101" s="300"/>
      <c r="EA101" s="300"/>
      <c r="EB101" s="300"/>
      <c r="EC101" s="300"/>
      <c r="ED101" s="300"/>
      <c r="EE101" s="300"/>
      <c r="EF101" s="300"/>
      <c r="EG101" s="300"/>
      <c r="EH101" s="300"/>
      <c r="EI101" s="300"/>
      <c r="EJ101" s="300"/>
      <c r="EK101" s="300"/>
      <c r="EL101" s="300"/>
      <c r="EM101" s="300"/>
      <c r="EN101" s="300"/>
      <c r="EO101" s="300"/>
      <c r="EP101" s="300"/>
      <c r="EQ101" s="300"/>
      <c r="ER101" s="300"/>
      <c r="ES101" s="300"/>
      <c r="ET101" s="300"/>
      <c r="EU101" s="300"/>
      <c r="EV101" s="300"/>
      <c r="EW101" s="300"/>
      <c r="EX101" s="300"/>
      <c r="EY101" s="300"/>
      <c r="EZ101" s="300"/>
      <c r="FA101" s="300"/>
      <c r="FB101" s="300"/>
      <c r="FC101" s="300"/>
      <c r="FD101" s="300"/>
      <c r="FE101" s="300"/>
      <c r="FF101" s="300"/>
    </row>
    <row r="102" spans="1:162">
      <c r="A102" s="300"/>
      <c r="B102" s="300"/>
      <c r="C102" s="300"/>
      <c r="D102" s="300"/>
      <c r="E102" s="300"/>
      <c r="F102" s="300"/>
      <c r="G102" s="300"/>
      <c r="H102" s="300"/>
      <c r="I102" s="300"/>
      <c r="J102" s="300"/>
      <c r="K102" s="300"/>
      <c r="L102" s="300"/>
      <c r="M102" s="300"/>
      <c r="N102" s="300"/>
      <c r="O102" s="300"/>
      <c r="P102" s="300"/>
      <c r="Q102" s="300"/>
      <c r="R102" s="300"/>
      <c r="S102" s="300"/>
      <c r="T102" s="300"/>
      <c r="U102" s="300"/>
      <c r="V102" s="300"/>
      <c r="W102" s="300"/>
      <c r="X102" s="300"/>
      <c r="Y102" s="300"/>
      <c r="Z102" s="300"/>
      <c r="AA102" s="300"/>
      <c r="AB102" s="300"/>
      <c r="AC102" s="300"/>
      <c r="AD102" s="300"/>
      <c r="AE102" s="300"/>
      <c r="AF102" s="300"/>
      <c r="AG102" s="300"/>
      <c r="AH102" s="300"/>
      <c r="AI102" s="300"/>
      <c r="AJ102" s="300"/>
      <c r="AK102" s="300"/>
      <c r="AL102" s="300"/>
      <c r="AM102" s="300"/>
      <c r="AN102" s="300"/>
      <c r="AO102" s="300"/>
      <c r="AP102" s="300"/>
      <c r="AQ102" s="300"/>
      <c r="AR102" s="300"/>
      <c r="AS102" s="300"/>
      <c r="AT102" s="300"/>
      <c r="AU102" s="300"/>
      <c r="AV102" s="300"/>
      <c r="AW102" s="300"/>
      <c r="AX102" s="300"/>
      <c r="AY102" s="300"/>
      <c r="AZ102" s="300"/>
      <c r="BA102" s="300"/>
      <c r="BB102" s="300"/>
      <c r="BC102" s="300"/>
      <c r="BD102" s="300"/>
      <c r="BE102" s="300"/>
      <c r="BF102" s="300"/>
      <c r="BG102" s="300"/>
      <c r="BH102" s="300"/>
      <c r="BI102" s="300"/>
      <c r="BJ102" s="300"/>
      <c r="BK102" s="300"/>
      <c r="BL102" s="300"/>
      <c r="BM102" s="300"/>
      <c r="BN102" s="300"/>
      <c r="BO102" s="300"/>
      <c r="BP102" s="300"/>
      <c r="BQ102" s="300"/>
      <c r="BR102" s="300"/>
      <c r="BS102" s="300"/>
      <c r="BT102" s="300"/>
      <c r="BU102" s="300"/>
      <c r="BV102" s="300"/>
      <c r="BW102" s="300"/>
      <c r="BX102" s="300"/>
      <c r="BY102" s="300"/>
      <c r="BZ102" s="300"/>
      <c r="CA102" s="300"/>
      <c r="CB102" s="300"/>
      <c r="CC102" s="300"/>
      <c r="CD102" s="300"/>
      <c r="CE102" s="300"/>
      <c r="CF102" s="300"/>
      <c r="CG102" s="300"/>
      <c r="CH102" s="300"/>
      <c r="CI102" s="300"/>
      <c r="CJ102" s="300"/>
      <c r="CK102" s="300"/>
      <c r="CL102" s="300"/>
      <c r="CM102" s="300"/>
      <c r="CN102" s="300"/>
      <c r="CO102" s="300"/>
      <c r="CP102" s="300"/>
      <c r="CQ102" s="300"/>
      <c r="CR102" s="300"/>
      <c r="CS102" s="300"/>
      <c r="CT102" s="300"/>
      <c r="CU102" s="300"/>
      <c r="CV102" s="300"/>
      <c r="CW102" s="300"/>
      <c r="CX102" s="300"/>
      <c r="CY102" s="300"/>
      <c r="CZ102" s="300"/>
      <c r="DA102" s="300"/>
      <c r="DB102" s="300"/>
      <c r="DC102" s="300"/>
      <c r="DD102" s="300"/>
      <c r="DE102" s="300"/>
      <c r="DF102" s="300"/>
      <c r="DG102" s="300"/>
      <c r="DH102" s="300"/>
      <c r="DI102" s="300"/>
      <c r="DJ102" s="300"/>
      <c r="DK102" s="300"/>
      <c r="DL102" s="300"/>
      <c r="DM102" s="300"/>
      <c r="DN102" s="300"/>
      <c r="DO102" s="300"/>
      <c r="DP102" s="300"/>
      <c r="DQ102" s="300"/>
      <c r="DR102" s="300"/>
      <c r="DS102" s="300"/>
      <c r="DT102" s="300"/>
      <c r="DU102" s="300"/>
      <c r="DV102" s="300"/>
      <c r="DW102" s="300"/>
      <c r="DX102" s="300"/>
      <c r="DY102" s="300"/>
      <c r="DZ102" s="300"/>
      <c r="EA102" s="300"/>
      <c r="EB102" s="300"/>
      <c r="EC102" s="300"/>
      <c r="ED102" s="300"/>
      <c r="EE102" s="300"/>
      <c r="EF102" s="300"/>
      <c r="EG102" s="300"/>
      <c r="EH102" s="300"/>
      <c r="EI102" s="300"/>
      <c r="EJ102" s="300"/>
      <c r="EK102" s="300"/>
      <c r="EL102" s="300"/>
      <c r="EM102" s="300"/>
      <c r="EN102" s="300"/>
      <c r="EO102" s="300"/>
      <c r="EP102" s="300"/>
      <c r="EQ102" s="300"/>
      <c r="ER102" s="300"/>
      <c r="ES102" s="300"/>
      <c r="ET102" s="300"/>
      <c r="EU102" s="300"/>
      <c r="EV102" s="300"/>
      <c r="EW102" s="300"/>
      <c r="EX102" s="300"/>
      <c r="EY102" s="300"/>
      <c r="EZ102" s="300"/>
      <c r="FA102" s="300"/>
      <c r="FB102" s="300"/>
      <c r="FC102" s="300"/>
      <c r="FD102" s="300"/>
      <c r="FE102" s="300"/>
      <c r="FF102" s="300"/>
    </row>
    <row r="103" spans="1:162">
      <c r="A103" s="300"/>
      <c r="B103" s="300"/>
      <c r="C103" s="300"/>
      <c r="D103" s="300"/>
      <c r="E103" s="300"/>
      <c r="F103" s="300"/>
      <c r="G103" s="300"/>
      <c r="H103" s="300"/>
      <c r="I103" s="300"/>
      <c r="J103" s="300"/>
      <c r="K103" s="300"/>
      <c r="L103" s="300"/>
      <c r="M103" s="300"/>
      <c r="N103" s="300"/>
      <c r="O103" s="300"/>
      <c r="P103" s="300"/>
      <c r="Q103" s="300"/>
      <c r="R103" s="300"/>
      <c r="S103" s="300"/>
      <c r="T103" s="300"/>
      <c r="U103" s="300"/>
      <c r="V103" s="300"/>
      <c r="W103" s="300"/>
      <c r="X103" s="300"/>
      <c r="Y103" s="300"/>
      <c r="Z103" s="300"/>
      <c r="AA103" s="300"/>
      <c r="AB103" s="300"/>
      <c r="AC103" s="300"/>
      <c r="AD103" s="300"/>
      <c r="AE103" s="300"/>
      <c r="AF103" s="300"/>
      <c r="AG103" s="300"/>
      <c r="AH103" s="300"/>
      <c r="AI103" s="300"/>
      <c r="AJ103" s="300"/>
      <c r="AK103" s="300"/>
      <c r="AL103" s="300"/>
      <c r="AM103" s="300"/>
      <c r="AN103" s="300"/>
      <c r="AO103" s="300"/>
      <c r="AP103" s="300"/>
      <c r="AQ103" s="300"/>
      <c r="AR103" s="300"/>
      <c r="AS103" s="300"/>
      <c r="AT103" s="300"/>
      <c r="AU103" s="300"/>
      <c r="AV103" s="300"/>
      <c r="AW103" s="300"/>
      <c r="AX103" s="300"/>
      <c r="AY103" s="300"/>
      <c r="AZ103" s="300"/>
      <c r="BA103" s="300"/>
      <c r="BB103" s="300"/>
      <c r="BC103" s="300"/>
      <c r="BD103" s="300"/>
      <c r="BE103" s="300"/>
      <c r="BF103" s="300"/>
      <c r="BG103" s="300"/>
      <c r="BH103" s="300"/>
      <c r="BI103" s="300"/>
      <c r="BJ103" s="300"/>
      <c r="BK103" s="300"/>
      <c r="BL103" s="300"/>
      <c r="BM103" s="300"/>
      <c r="BN103" s="300"/>
      <c r="BO103" s="300"/>
      <c r="BP103" s="300"/>
      <c r="BQ103" s="300"/>
      <c r="BR103" s="300"/>
      <c r="BS103" s="300"/>
      <c r="BT103" s="300"/>
      <c r="BU103" s="300"/>
      <c r="BV103" s="300"/>
      <c r="BW103" s="300"/>
      <c r="BX103" s="300"/>
      <c r="BY103" s="300"/>
      <c r="BZ103" s="300"/>
      <c r="CA103" s="300"/>
      <c r="CB103" s="300"/>
      <c r="CC103" s="300"/>
      <c r="CD103" s="300"/>
      <c r="CE103" s="300"/>
      <c r="CF103" s="300"/>
      <c r="CG103" s="300"/>
      <c r="CH103" s="300"/>
      <c r="CI103" s="300"/>
      <c r="CJ103" s="300"/>
      <c r="CK103" s="300"/>
      <c r="CL103" s="300"/>
      <c r="CM103" s="300"/>
      <c r="CN103" s="300"/>
      <c r="CO103" s="300"/>
      <c r="CP103" s="300"/>
      <c r="CQ103" s="300"/>
      <c r="CR103" s="300"/>
      <c r="CS103" s="300"/>
      <c r="CT103" s="300"/>
      <c r="CU103" s="300"/>
      <c r="CV103" s="300"/>
      <c r="CW103" s="300"/>
      <c r="CX103" s="300"/>
      <c r="CY103" s="300"/>
      <c r="CZ103" s="300"/>
      <c r="DA103" s="300"/>
      <c r="DB103" s="300"/>
      <c r="DC103" s="300"/>
      <c r="DD103" s="300"/>
      <c r="DE103" s="300"/>
      <c r="DF103" s="300"/>
      <c r="DG103" s="300"/>
      <c r="DH103" s="300"/>
      <c r="DI103" s="300"/>
      <c r="DJ103" s="300"/>
      <c r="DK103" s="300"/>
      <c r="DL103" s="300"/>
      <c r="DM103" s="300"/>
      <c r="DN103" s="300"/>
      <c r="DO103" s="300"/>
      <c r="DP103" s="300"/>
      <c r="DQ103" s="300"/>
      <c r="DR103" s="300"/>
      <c r="DS103" s="300"/>
      <c r="DT103" s="300"/>
      <c r="DU103" s="300"/>
      <c r="DV103" s="300"/>
      <c r="DW103" s="300"/>
      <c r="DX103" s="300"/>
      <c r="DY103" s="300"/>
      <c r="DZ103" s="300"/>
      <c r="EA103" s="300"/>
      <c r="EB103" s="300"/>
      <c r="EC103" s="300"/>
      <c r="ED103" s="300"/>
      <c r="EE103" s="300"/>
      <c r="EF103" s="300"/>
      <c r="EG103" s="300"/>
      <c r="EH103" s="300"/>
      <c r="EI103" s="300"/>
      <c r="EJ103" s="300"/>
      <c r="EK103" s="300"/>
      <c r="EL103" s="300"/>
      <c r="EM103" s="300"/>
      <c r="EN103" s="300"/>
      <c r="EO103" s="300"/>
      <c r="EP103" s="300"/>
      <c r="EQ103" s="300"/>
      <c r="ER103" s="300"/>
      <c r="ES103" s="300"/>
      <c r="ET103" s="300"/>
      <c r="EU103" s="300"/>
      <c r="EV103" s="300"/>
      <c r="EW103" s="300"/>
      <c r="EX103" s="300"/>
      <c r="EY103" s="300"/>
      <c r="EZ103" s="300"/>
      <c r="FA103" s="300"/>
      <c r="FB103" s="300"/>
      <c r="FC103" s="300"/>
      <c r="FD103" s="300"/>
      <c r="FE103" s="300"/>
      <c r="FF103" s="300"/>
    </row>
    <row r="104" spans="1:162">
      <c r="A104" s="300"/>
      <c r="B104" s="300"/>
      <c r="C104" s="300"/>
      <c r="D104" s="300"/>
      <c r="E104" s="300"/>
      <c r="F104" s="300"/>
      <c r="G104" s="300"/>
      <c r="H104" s="300"/>
      <c r="I104" s="300"/>
      <c r="J104" s="300"/>
      <c r="K104" s="300"/>
      <c r="L104" s="300"/>
      <c r="M104" s="300"/>
      <c r="N104" s="300"/>
      <c r="O104" s="300"/>
      <c r="P104" s="300"/>
      <c r="Q104" s="300"/>
      <c r="R104" s="300"/>
      <c r="S104" s="300"/>
      <c r="T104" s="300"/>
      <c r="U104" s="300"/>
      <c r="V104" s="300"/>
      <c r="W104" s="300"/>
      <c r="X104" s="300"/>
      <c r="Y104" s="300"/>
      <c r="Z104" s="300"/>
      <c r="AA104" s="300"/>
      <c r="AB104" s="300"/>
      <c r="AC104" s="300"/>
      <c r="AD104" s="300"/>
      <c r="AE104" s="300"/>
      <c r="AF104" s="300"/>
      <c r="AG104" s="300"/>
      <c r="AH104" s="300"/>
      <c r="AI104" s="300"/>
      <c r="AJ104" s="300"/>
      <c r="AK104" s="300"/>
      <c r="AL104" s="300"/>
      <c r="AM104" s="300"/>
      <c r="AN104" s="300"/>
      <c r="AO104" s="300"/>
      <c r="AP104" s="300"/>
      <c r="AQ104" s="300"/>
      <c r="AR104" s="300"/>
      <c r="AS104" s="300"/>
      <c r="AT104" s="300"/>
      <c r="AU104" s="300"/>
      <c r="AV104" s="300"/>
      <c r="AW104" s="300"/>
      <c r="AX104" s="300"/>
      <c r="AY104" s="300"/>
      <c r="AZ104" s="300"/>
      <c r="BA104" s="300"/>
      <c r="BB104" s="300"/>
      <c r="BC104" s="300"/>
      <c r="BD104" s="300"/>
      <c r="BE104" s="300"/>
      <c r="BF104" s="300"/>
      <c r="BG104" s="300"/>
      <c r="BH104" s="300"/>
      <c r="BI104" s="300"/>
      <c r="BJ104" s="300"/>
      <c r="BK104" s="300"/>
      <c r="BL104" s="300"/>
      <c r="BM104" s="300"/>
      <c r="BN104" s="300"/>
      <c r="BO104" s="300"/>
      <c r="BP104" s="300"/>
      <c r="BQ104" s="300"/>
      <c r="BR104" s="300"/>
      <c r="BS104" s="300"/>
      <c r="BT104" s="300"/>
      <c r="BU104" s="300"/>
      <c r="BV104" s="300"/>
      <c r="BW104" s="300"/>
      <c r="BX104" s="300"/>
      <c r="BY104" s="300"/>
      <c r="BZ104" s="300"/>
      <c r="CA104" s="300"/>
      <c r="CB104" s="300"/>
      <c r="CC104" s="300"/>
      <c r="CD104" s="300"/>
      <c r="CE104" s="300"/>
      <c r="CF104" s="300"/>
      <c r="CG104" s="300"/>
      <c r="CH104" s="300"/>
      <c r="CI104" s="300"/>
      <c r="CJ104" s="300"/>
      <c r="CK104" s="300"/>
      <c r="CL104" s="300"/>
      <c r="CM104" s="300"/>
      <c r="CN104" s="300"/>
      <c r="CO104" s="300"/>
      <c r="CP104" s="300"/>
      <c r="CQ104" s="300"/>
      <c r="CR104" s="300"/>
      <c r="CS104" s="300"/>
      <c r="CT104" s="300"/>
      <c r="CU104" s="300"/>
      <c r="CV104" s="300"/>
      <c r="CW104" s="300"/>
      <c r="CX104" s="300"/>
      <c r="CY104" s="300"/>
      <c r="CZ104" s="300"/>
      <c r="DA104" s="300"/>
      <c r="DB104" s="300"/>
      <c r="DC104" s="300"/>
      <c r="DD104" s="300"/>
      <c r="DE104" s="300"/>
      <c r="DF104" s="300"/>
      <c r="DG104" s="300"/>
      <c r="DH104" s="300"/>
      <c r="DI104" s="300"/>
      <c r="DJ104" s="300"/>
      <c r="DK104" s="300"/>
      <c r="DL104" s="300"/>
      <c r="DM104" s="300"/>
      <c r="DN104" s="300"/>
      <c r="DO104" s="300"/>
      <c r="DP104" s="300"/>
      <c r="DQ104" s="300"/>
      <c r="DR104" s="300"/>
      <c r="DS104" s="300"/>
      <c r="DT104" s="300"/>
      <c r="DU104" s="300"/>
      <c r="DV104" s="300"/>
      <c r="DW104" s="300"/>
      <c r="DX104" s="300"/>
      <c r="DY104" s="300"/>
      <c r="DZ104" s="300"/>
      <c r="EA104" s="300"/>
      <c r="EB104" s="300"/>
      <c r="EC104" s="300"/>
      <c r="ED104" s="300"/>
      <c r="EE104" s="300"/>
      <c r="EF104" s="300"/>
      <c r="EG104" s="300"/>
      <c r="EH104" s="300"/>
      <c r="EI104" s="300"/>
      <c r="EJ104" s="300"/>
      <c r="EK104" s="300"/>
      <c r="EL104" s="300"/>
      <c r="EM104" s="300"/>
      <c r="EN104" s="300"/>
      <c r="EO104" s="300"/>
      <c r="EP104" s="300"/>
      <c r="EQ104" s="300"/>
      <c r="ER104" s="300"/>
      <c r="ES104" s="300"/>
      <c r="ET104" s="300"/>
      <c r="EU104" s="300"/>
      <c r="EV104" s="300"/>
      <c r="EW104" s="300"/>
      <c r="EX104" s="300"/>
      <c r="EY104" s="300"/>
      <c r="EZ104" s="300"/>
      <c r="FA104" s="300"/>
      <c r="FB104" s="300"/>
      <c r="FC104" s="300"/>
      <c r="FD104" s="300"/>
      <c r="FE104" s="300"/>
      <c r="FF104" s="300"/>
    </row>
    <row r="105" spans="1:162">
      <c r="A105" s="300"/>
      <c r="B105" s="300"/>
      <c r="C105" s="300"/>
      <c r="D105" s="300"/>
      <c r="E105" s="300"/>
      <c r="F105" s="300"/>
      <c r="G105" s="300"/>
      <c r="H105" s="300"/>
      <c r="I105" s="300"/>
      <c r="J105" s="300"/>
      <c r="K105" s="300"/>
      <c r="L105" s="300"/>
      <c r="M105" s="300"/>
      <c r="N105" s="300"/>
      <c r="O105" s="300"/>
      <c r="P105" s="300"/>
      <c r="Q105" s="300"/>
      <c r="R105" s="300"/>
      <c r="S105" s="300"/>
      <c r="T105" s="300"/>
      <c r="U105" s="300"/>
      <c r="V105" s="300"/>
      <c r="W105" s="300"/>
      <c r="X105" s="300"/>
      <c r="Y105" s="300"/>
      <c r="Z105" s="300"/>
      <c r="AA105" s="300"/>
      <c r="AB105" s="300"/>
      <c r="AC105" s="300"/>
      <c r="AD105" s="300"/>
      <c r="AE105" s="300"/>
      <c r="AF105" s="300"/>
      <c r="AG105" s="300"/>
      <c r="AH105" s="300"/>
      <c r="AI105" s="300"/>
      <c r="AJ105" s="300"/>
      <c r="AK105" s="300"/>
      <c r="AL105" s="300"/>
      <c r="AM105" s="300"/>
      <c r="AN105" s="300"/>
      <c r="AO105" s="300"/>
      <c r="AP105" s="300"/>
      <c r="AQ105" s="300"/>
      <c r="AR105" s="300"/>
      <c r="AS105" s="300"/>
      <c r="AT105" s="300"/>
      <c r="AU105" s="300"/>
      <c r="AV105" s="300"/>
      <c r="AW105" s="300"/>
      <c r="AX105" s="300"/>
      <c r="AY105" s="300"/>
      <c r="AZ105" s="300"/>
      <c r="BA105" s="300"/>
      <c r="BB105" s="300"/>
      <c r="BC105" s="300"/>
      <c r="BD105" s="300"/>
      <c r="BE105" s="300"/>
      <c r="BF105" s="300"/>
      <c r="BG105" s="300"/>
      <c r="BH105" s="300"/>
      <c r="BI105" s="300"/>
      <c r="BJ105" s="300"/>
      <c r="BK105" s="300"/>
      <c r="BL105" s="300"/>
      <c r="BM105" s="300"/>
      <c r="BN105" s="300"/>
      <c r="BO105" s="300"/>
      <c r="BP105" s="300"/>
      <c r="BQ105" s="300"/>
      <c r="BR105" s="300"/>
      <c r="BS105" s="300"/>
      <c r="BT105" s="300"/>
      <c r="BU105" s="300"/>
      <c r="BV105" s="300"/>
      <c r="BW105" s="300"/>
      <c r="BX105" s="300"/>
      <c r="BY105" s="300"/>
      <c r="BZ105" s="300"/>
      <c r="CA105" s="300"/>
      <c r="CB105" s="300"/>
      <c r="CC105" s="300"/>
      <c r="CD105" s="300"/>
      <c r="CE105" s="300"/>
      <c r="CF105" s="300"/>
      <c r="CG105" s="300"/>
      <c r="CH105" s="300"/>
      <c r="CI105" s="300"/>
      <c r="CJ105" s="300"/>
      <c r="CK105" s="300"/>
      <c r="CL105" s="300"/>
      <c r="CM105" s="300"/>
      <c r="CN105" s="300"/>
      <c r="CO105" s="300"/>
      <c r="CP105" s="300"/>
      <c r="CQ105" s="300"/>
      <c r="CR105" s="300"/>
      <c r="CS105" s="300"/>
      <c r="CT105" s="300"/>
      <c r="CU105" s="300"/>
      <c r="CV105" s="300"/>
      <c r="CW105" s="300"/>
      <c r="CX105" s="300"/>
      <c r="CY105" s="300"/>
      <c r="CZ105" s="300"/>
      <c r="DA105" s="300"/>
      <c r="DB105" s="300"/>
      <c r="DC105" s="300"/>
      <c r="DD105" s="300"/>
      <c r="DE105" s="300"/>
      <c r="DF105" s="300"/>
      <c r="DG105" s="300"/>
      <c r="DH105" s="300"/>
      <c r="DI105" s="300"/>
      <c r="DJ105" s="300"/>
      <c r="DK105" s="300"/>
      <c r="DL105" s="300"/>
      <c r="DM105" s="300"/>
      <c r="DN105" s="300"/>
      <c r="DO105" s="300"/>
      <c r="DP105" s="300"/>
      <c r="DQ105" s="300"/>
      <c r="DR105" s="300"/>
      <c r="DS105" s="300"/>
      <c r="DT105" s="300"/>
      <c r="DU105" s="300"/>
      <c r="DV105" s="300"/>
      <c r="DW105" s="300"/>
      <c r="DX105" s="300"/>
      <c r="DY105" s="300"/>
      <c r="DZ105" s="300"/>
      <c r="EA105" s="300"/>
      <c r="EB105" s="300"/>
      <c r="EC105" s="300"/>
      <c r="ED105" s="300"/>
      <c r="EE105" s="300"/>
      <c r="EF105" s="300"/>
      <c r="EG105" s="300"/>
      <c r="EH105" s="300"/>
      <c r="EI105" s="300"/>
      <c r="EJ105" s="300"/>
      <c r="EK105" s="300"/>
      <c r="EL105" s="300"/>
      <c r="EM105" s="300"/>
      <c r="EN105" s="300"/>
      <c r="EO105" s="300"/>
      <c r="EP105" s="300"/>
      <c r="EQ105" s="300"/>
      <c r="ER105" s="300"/>
      <c r="ES105" s="300"/>
      <c r="ET105" s="300"/>
      <c r="EU105" s="300"/>
      <c r="EV105" s="300"/>
      <c r="EW105" s="300"/>
      <c r="EX105" s="300"/>
      <c r="EY105" s="300"/>
      <c r="EZ105" s="300"/>
      <c r="FA105" s="300"/>
      <c r="FB105" s="300"/>
      <c r="FC105" s="300"/>
      <c r="FD105" s="300"/>
      <c r="FE105" s="300"/>
      <c r="FF105" s="300"/>
    </row>
    <row r="106" spans="1:162">
      <c r="A106" s="300"/>
      <c r="B106" s="300"/>
      <c r="C106" s="300"/>
      <c r="D106" s="300"/>
      <c r="E106" s="300"/>
      <c r="F106" s="300"/>
      <c r="G106" s="300"/>
      <c r="H106" s="300"/>
      <c r="I106" s="300"/>
      <c r="J106" s="300"/>
      <c r="K106" s="300"/>
      <c r="L106" s="300"/>
      <c r="M106" s="300"/>
      <c r="N106" s="300"/>
      <c r="O106" s="300"/>
      <c r="P106" s="300"/>
      <c r="Q106" s="300"/>
      <c r="R106" s="300"/>
      <c r="S106" s="300"/>
      <c r="T106" s="300"/>
      <c r="U106" s="300"/>
      <c r="V106" s="300"/>
      <c r="W106" s="300"/>
      <c r="X106" s="300"/>
      <c r="Y106" s="300"/>
      <c r="Z106" s="300"/>
      <c r="AA106" s="300"/>
      <c r="AB106" s="300"/>
      <c r="AC106" s="300"/>
      <c r="AD106" s="300"/>
      <c r="AE106" s="300"/>
      <c r="AF106" s="300"/>
      <c r="AG106" s="300"/>
      <c r="AH106" s="300"/>
      <c r="AI106" s="300"/>
      <c r="AJ106" s="300"/>
      <c r="AK106" s="300"/>
      <c r="AL106" s="300"/>
      <c r="AM106" s="300"/>
      <c r="AN106" s="300"/>
      <c r="AO106" s="300"/>
      <c r="AP106" s="300"/>
      <c r="AQ106" s="300"/>
      <c r="AR106" s="300"/>
      <c r="AS106" s="300"/>
      <c r="AT106" s="300"/>
      <c r="AU106" s="300"/>
      <c r="AV106" s="300"/>
      <c r="AW106" s="300"/>
      <c r="AX106" s="300"/>
      <c r="AY106" s="300"/>
      <c r="AZ106" s="300"/>
      <c r="BA106" s="300"/>
      <c r="BB106" s="300"/>
      <c r="BC106" s="300"/>
      <c r="BD106" s="300"/>
      <c r="BE106" s="300"/>
      <c r="BF106" s="300"/>
      <c r="BG106" s="300"/>
      <c r="BH106" s="300"/>
      <c r="BI106" s="300"/>
      <c r="BJ106" s="300"/>
      <c r="BK106" s="300"/>
      <c r="BL106" s="300"/>
      <c r="BM106" s="300"/>
      <c r="BN106" s="300"/>
      <c r="BO106" s="300"/>
      <c r="BP106" s="300"/>
      <c r="BQ106" s="300"/>
      <c r="BR106" s="300"/>
      <c r="BS106" s="300"/>
      <c r="BT106" s="300"/>
      <c r="BU106" s="300"/>
      <c r="BV106" s="300"/>
      <c r="BW106" s="300"/>
      <c r="BX106" s="300"/>
      <c r="BY106" s="300"/>
      <c r="BZ106" s="300"/>
      <c r="CA106" s="300"/>
      <c r="CB106" s="300"/>
      <c r="CC106" s="300"/>
      <c r="CD106" s="300"/>
      <c r="CE106" s="300"/>
      <c r="CF106" s="300"/>
      <c r="CG106" s="300"/>
      <c r="CH106" s="300"/>
      <c r="CI106" s="300"/>
      <c r="CJ106" s="300"/>
      <c r="CK106" s="300"/>
      <c r="CL106" s="300"/>
      <c r="CM106" s="300"/>
      <c r="CN106" s="300"/>
      <c r="CO106" s="300"/>
      <c r="CP106" s="300"/>
      <c r="CQ106" s="300"/>
      <c r="CR106" s="300"/>
      <c r="CS106" s="300"/>
      <c r="CT106" s="300"/>
      <c r="CU106" s="300"/>
      <c r="CV106" s="300"/>
      <c r="CW106" s="300"/>
      <c r="CX106" s="300"/>
      <c r="CY106" s="300"/>
      <c r="CZ106" s="300"/>
      <c r="DA106" s="300"/>
      <c r="DB106" s="300"/>
      <c r="DC106" s="300"/>
      <c r="DD106" s="300"/>
      <c r="DE106" s="300"/>
      <c r="DF106" s="300"/>
      <c r="DG106" s="300"/>
      <c r="DH106" s="300"/>
      <c r="DI106" s="300"/>
      <c r="DJ106" s="300"/>
      <c r="DK106" s="300"/>
      <c r="DL106" s="300"/>
      <c r="DM106" s="300"/>
      <c r="DN106" s="300"/>
      <c r="DO106" s="300"/>
      <c r="DP106" s="300"/>
      <c r="DQ106" s="300"/>
      <c r="DR106" s="300"/>
      <c r="DS106" s="300"/>
      <c r="DT106" s="300"/>
      <c r="DU106" s="300"/>
      <c r="DV106" s="300"/>
      <c r="DW106" s="300"/>
      <c r="DX106" s="300"/>
      <c r="DY106" s="300"/>
      <c r="DZ106" s="300"/>
      <c r="EA106" s="300"/>
      <c r="EB106" s="300"/>
      <c r="EC106" s="300"/>
      <c r="ED106" s="300"/>
      <c r="EE106" s="300"/>
      <c r="EF106" s="300"/>
      <c r="EG106" s="300"/>
      <c r="EH106" s="300"/>
      <c r="EI106" s="300"/>
      <c r="EJ106" s="300"/>
      <c r="EK106" s="300"/>
      <c r="EL106" s="300"/>
      <c r="EM106" s="300"/>
      <c r="EN106" s="300"/>
      <c r="EO106" s="300"/>
      <c r="EP106" s="300"/>
      <c r="EQ106" s="300"/>
      <c r="ER106" s="300"/>
      <c r="ES106" s="300"/>
      <c r="ET106" s="300"/>
      <c r="EU106" s="300"/>
      <c r="EV106" s="300"/>
      <c r="EW106" s="300"/>
      <c r="EX106" s="300"/>
      <c r="EY106" s="300"/>
      <c r="EZ106" s="300"/>
      <c r="FA106" s="300"/>
      <c r="FB106" s="300"/>
      <c r="FC106" s="300"/>
      <c r="FD106" s="300"/>
      <c r="FE106" s="300"/>
      <c r="FF106" s="300"/>
    </row>
    <row r="107" spans="1:162">
      <c r="A107" s="300"/>
      <c r="B107" s="300"/>
      <c r="C107" s="300"/>
      <c r="D107" s="300"/>
      <c r="E107" s="300"/>
      <c r="F107" s="300"/>
      <c r="G107" s="300"/>
      <c r="H107" s="300"/>
      <c r="I107" s="300"/>
      <c r="J107" s="300"/>
      <c r="K107" s="300"/>
      <c r="L107" s="300"/>
      <c r="M107" s="300"/>
      <c r="N107" s="300"/>
      <c r="O107" s="300"/>
      <c r="P107" s="300"/>
      <c r="Q107" s="300"/>
      <c r="R107" s="300"/>
      <c r="S107" s="300"/>
      <c r="T107" s="300"/>
      <c r="U107" s="300"/>
      <c r="V107" s="300"/>
      <c r="W107" s="300"/>
      <c r="X107" s="300"/>
      <c r="Y107" s="300"/>
      <c r="Z107" s="300"/>
      <c r="AA107" s="300"/>
      <c r="AB107" s="300"/>
      <c r="AC107" s="300"/>
      <c r="AD107" s="300"/>
      <c r="AE107" s="300"/>
      <c r="AF107" s="300"/>
      <c r="AG107" s="300"/>
      <c r="AH107" s="300"/>
      <c r="AI107" s="300"/>
      <c r="AJ107" s="300"/>
      <c r="AK107" s="300"/>
      <c r="AL107" s="300"/>
      <c r="AM107" s="300"/>
      <c r="AN107" s="300"/>
      <c r="AO107" s="300"/>
      <c r="AP107" s="300"/>
      <c r="AQ107" s="300"/>
      <c r="AR107" s="300"/>
      <c r="AS107" s="300"/>
      <c r="AT107" s="300"/>
      <c r="AU107" s="300"/>
      <c r="AV107" s="300"/>
      <c r="AW107" s="300"/>
      <c r="AX107" s="300"/>
      <c r="AY107" s="300"/>
      <c r="AZ107" s="300"/>
      <c r="BA107" s="300"/>
      <c r="BB107" s="300"/>
      <c r="BC107" s="300"/>
      <c r="BD107" s="300"/>
      <c r="BE107" s="300"/>
      <c r="BF107" s="300"/>
      <c r="BG107" s="300"/>
      <c r="BH107" s="300"/>
      <c r="BI107" s="300"/>
      <c r="BJ107" s="300"/>
      <c r="BK107" s="300"/>
      <c r="BL107" s="300"/>
      <c r="BM107" s="300"/>
      <c r="BN107" s="300"/>
      <c r="BO107" s="300"/>
      <c r="BP107" s="300"/>
      <c r="BQ107" s="300"/>
      <c r="BR107" s="300"/>
      <c r="BS107" s="300"/>
      <c r="BT107" s="300"/>
      <c r="BU107" s="300"/>
      <c r="BV107" s="300"/>
      <c r="BW107" s="300"/>
      <c r="BX107" s="300"/>
      <c r="BY107" s="300"/>
      <c r="BZ107" s="300"/>
      <c r="CA107" s="300"/>
      <c r="CB107" s="300"/>
      <c r="CC107" s="300"/>
      <c r="CD107" s="300"/>
      <c r="CE107" s="300"/>
      <c r="CF107" s="300"/>
      <c r="CG107" s="300"/>
      <c r="CH107" s="300"/>
      <c r="CI107" s="300"/>
      <c r="CJ107" s="300"/>
      <c r="CK107" s="300"/>
      <c r="CL107" s="300"/>
      <c r="CM107" s="300"/>
      <c r="CN107" s="300"/>
      <c r="CO107" s="300"/>
      <c r="CP107" s="300"/>
      <c r="CQ107" s="300"/>
      <c r="CR107" s="300"/>
      <c r="CS107" s="300"/>
      <c r="CT107" s="300"/>
      <c r="CU107" s="300"/>
      <c r="CV107" s="300"/>
      <c r="CW107" s="300"/>
      <c r="CX107" s="300"/>
      <c r="CY107" s="300"/>
      <c r="CZ107" s="300"/>
      <c r="DA107" s="300"/>
      <c r="DB107" s="300"/>
      <c r="DC107" s="300"/>
      <c r="DD107" s="300"/>
      <c r="DE107" s="300"/>
      <c r="DF107" s="300"/>
      <c r="DG107" s="300"/>
      <c r="DH107" s="300"/>
      <c r="DI107" s="300"/>
      <c r="DJ107" s="300"/>
      <c r="DK107" s="300"/>
      <c r="DL107" s="300"/>
      <c r="DM107" s="300"/>
      <c r="DN107" s="300"/>
      <c r="DO107" s="300"/>
      <c r="DP107" s="300"/>
      <c r="DQ107" s="300"/>
      <c r="DR107" s="300"/>
      <c r="DS107" s="300"/>
      <c r="DT107" s="300"/>
      <c r="DU107" s="300"/>
      <c r="DV107" s="300"/>
      <c r="DW107" s="300"/>
      <c r="DX107" s="300"/>
      <c r="DY107" s="300"/>
      <c r="DZ107" s="300"/>
      <c r="EA107" s="300"/>
      <c r="EB107" s="300"/>
      <c r="EC107" s="300"/>
      <c r="ED107" s="300"/>
      <c r="EE107" s="300"/>
      <c r="EF107" s="300"/>
      <c r="EG107" s="300"/>
      <c r="EH107" s="300"/>
      <c r="EI107" s="300"/>
      <c r="EJ107" s="300"/>
      <c r="EK107" s="300"/>
      <c r="EL107" s="300"/>
      <c r="EM107" s="300"/>
      <c r="EN107" s="300"/>
      <c r="EO107" s="300"/>
      <c r="EP107" s="300"/>
      <c r="EQ107" s="300"/>
      <c r="ER107" s="300"/>
      <c r="ES107" s="300"/>
      <c r="ET107" s="300"/>
      <c r="EU107" s="300"/>
      <c r="EV107" s="300"/>
      <c r="EW107" s="300"/>
      <c r="EX107" s="300"/>
      <c r="EY107" s="300"/>
      <c r="EZ107" s="300"/>
      <c r="FA107" s="300"/>
      <c r="FB107" s="300"/>
      <c r="FC107" s="300"/>
      <c r="FD107" s="300"/>
      <c r="FE107" s="300"/>
      <c r="FF107" s="300"/>
    </row>
    <row r="108" spans="1:162">
      <c r="A108" s="300"/>
      <c r="B108" s="300"/>
      <c r="C108" s="300"/>
      <c r="D108" s="300"/>
      <c r="E108" s="300"/>
      <c r="F108" s="300"/>
      <c r="G108" s="300"/>
      <c r="H108" s="300"/>
      <c r="I108" s="300"/>
      <c r="J108" s="300"/>
      <c r="K108" s="300"/>
      <c r="L108" s="300"/>
      <c r="M108" s="300"/>
      <c r="N108" s="300"/>
      <c r="O108" s="300"/>
      <c r="P108" s="300"/>
      <c r="Q108" s="300"/>
      <c r="R108" s="300"/>
      <c r="S108" s="300"/>
      <c r="T108" s="300"/>
      <c r="U108" s="300"/>
      <c r="V108" s="300"/>
      <c r="W108" s="300"/>
      <c r="X108" s="300"/>
      <c r="Y108" s="300"/>
      <c r="Z108" s="300"/>
      <c r="AA108" s="300"/>
      <c r="AB108" s="300"/>
      <c r="AC108" s="300"/>
      <c r="AD108" s="300"/>
      <c r="AE108" s="300"/>
      <c r="AF108" s="300"/>
      <c r="AG108" s="300"/>
      <c r="AH108" s="300"/>
      <c r="AI108" s="300"/>
      <c r="AJ108" s="300"/>
      <c r="AK108" s="300"/>
      <c r="AL108" s="300"/>
      <c r="AM108" s="300"/>
      <c r="AN108" s="300"/>
      <c r="AO108" s="300"/>
      <c r="AP108" s="300"/>
      <c r="AQ108" s="300"/>
      <c r="AR108" s="300"/>
      <c r="AS108" s="300"/>
      <c r="AT108" s="300"/>
      <c r="AU108" s="300"/>
      <c r="AV108" s="300"/>
      <c r="AW108" s="300"/>
      <c r="AX108" s="300"/>
      <c r="AY108" s="300"/>
      <c r="AZ108" s="300"/>
      <c r="BA108" s="300"/>
      <c r="BB108" s="300"/>
      <c r="BC108" s="300"/>
      <c r="BD108" s="300"/>
      <c r="BE108" s="300"/>
      <c r="BF108" s="300"/>
      <c r="BG108" s="300"/>
      <c r="BH108" s="300"/>
      <c r="BI108" s="300"/>
      <c r="BJ108" s="300"/>
      <c r="BK108" s="300"/>
      <c r="BL108" s="300"/>
      <c r="BM108" s="300"/>
      <c r="BN108" s="300"/>
      <c r="BO108" s="300"/>
      <c r="BP108" s="300"/>
      <c r="BQ108" s="300"/>
      <c r="BR108" s="300"/>
      <c r="BS108" s="300"/>
      <c r="BT108" s="300"/>
      <c r="BU108" s="300"/>
      <c r="BV108" s="300"/>
      <c r="BW108" s="300"/>
      <c r="BX108" s="300"/>
      <c r="BY108" s="300"/>
      <c r="BZ108" s="300"/>
      <c r="CA108" s="300"/>
      <c r="CB108" s="300"/>
      <c r="CC108" s="300"/>
      <c r="CD108" s="300"/>
      <c r="CE108" s="300"/>
      <c r="CF108" s="300"/>
      <c r="CG108" s="300"/>
      <c r="CH108" s="300"/>
      <c r="CI108" s="300"/>
      <c r="CJ108" s="300"/>
      <c r="CK108" s="300"/>
      <c r="CL108" s="300"/>
      <c r="CM108" s="300"/>
      <c r="CN108" s="300"/>
      <c r="CO108" s="300"/>
      <c r="CP108" s="300"/>
      <c r="CQ108" s="300"/>
      <c r="CR108" s="300"/>
      <c r="CS108" s="300"/>
      <c r="CT108" s="300"/>
      <c r="CU108" s="300"/>
      <c r="CV108" s="300"/>
      <c r="CW108" s="300"/>
      <c r="CX108" s="300"/>
      <c r="CY108" s="300"/>
      <c r="CZ108" s="300"/>
      <c r="DA108" s="300"/>
      <c r="DB108" s="300"/>
      <c r="DC108" s="300"/>
      <c r="DD108" s="300"/>
      <c r="DE108" s="300"/>
      <c r="DF108" s="300"/>
      <c r="DG108" s="300"/>
      <c r="DH108" s="300"/>
      <c r="DI108" s="300"/>
      <c r="DJ108" s="300"/>
      <c r="DK108" s="300"/>
      <c r="DL108" s="300"/>
      <c r="DM108" s="300"/>
      <c r="DN108" s="300"/>
      <c r="DO108" s="300"/>
      <c r="DP108" s="300"/>
      <c r="DQ108" s="300"/>
      <c r="DR108" s="300"/>
      <c r="DS108" s="300"/>
      <c r="DT108" s="300"/>
      <c r="DU108" s="300"/>
      <c r="DV108" s="300"/>
      <c r="DW108" s="300"/>
      <c r="DX108" s="300"/>
      <c r="DY108" s="300"/>
      <c r="DZ108" s="300"/>
      <c r="EA108" s="300"/>
      <c r="EB108" s="300"/>
      <c r="EC108" s="300"/>
      <c r="ED108" s="300"/>
      <c r="EE108" s="300"/>
      <c r="EF108" s="300"/>
      <c r="EG108" s="300"/>
      <c r="EH108" s="300"/>
      <c r="EI108" s="300"/>
      <c r="EJ108" s="300"/>
      <c r="EK108" s="300"/>
      <c r="EL108" s="300"/>
      <c r="EM108" s="300"/>
      <c r="EN108" s="300"/>
      <c r="EO108" s="300"/>
      <c r="EP108" s="300"/>
      <c r="EQ108" s="300"/>
      <c r="ER108" s="300"/>
      <c r="ES108" s="300"/>
      <c r="ET108" s="300"/>
      <c r="EU108" s="300"/>
      <c r="EV108" s="300"/>
      <c r="EW108" s="300"/>
      <c r="EX108" s="300"/>
      <c r="EY108" s="300"/>
      <c r="EZ108" s="300"/>
      <c r="FA108" s="300"/>
      <c r="FB108" s="300"/>
      <c r="FC108" s="300"/>
      <c r="FD108" s="300"/>
      <c r="FE108" s="300"/>
      <c r="FF108" s="300"/>
    </row>
    <row r="109" spans="1:162">
      <c r="A109" s="300"/>
      <c r="B109" s="300"/>
      <c r="C109" s="300"/>
      <c r="D109" s="300"/>
      <c r="E109" s="300"/>
      <c r="F109" s="300"/>
      <c r="G109" s="300"/>
      <c r="H109" s="300"/>
      <c r="I109" s="300"/>
      <c r="J109" s="300"/>
      <c r="K109" s="300"/>
      <c r="L109" s="300"/>
      <c r="M109" s="300"/>
      <c r="N109" s="300"/>
      <c r="O109" s="300"/>
      <c r="P109" s="300"/>
      <c r="Q109" s="300"/>
      <c r="R109" s="300"/>
      <c r="S109" s="300"/>
      <c r="T109" s="300"/>
      <c r="U109" s="300"/>
      <c r="V109" s="300"/>
      <c r="W109" s="300"/>
      <c r="X109" s="300"/>
      <c r="Y109" s="300"/>
      <c r="Z109" s="300"/>
      <c r="AA109" s="300"/>
      <c r="AB109" s="300"/>
      <c r="AC109" s="300"/>
      <c r="AD109" s="300"/>
      <c r="AE109" s="300"/>
      <c r="AF109" s="300"/>
      <c r="AG109" s="300"/>
      <c r="AH109" s="300"/>
      <c r="AI109" s="300"/>
      <c r="AJ109" s="300"/>
      <c r="AK109" s="300"/>
      <c r="AL109" s="300"/>
      <c r="AM109" s="300"/>
      <c r="AN109" s="300"/>
      <c r="AO109" s="300"/>
      <c r="AP109" s="300"/>
      <c r="AQ109" s="300"/>
      <c r="AR109" s="300"/>
      <c r="AS109" s="300"/>
      <c r="AT109" s="300"/>
      <c r="AU109" s="300"/>
      <c r="AV109" s="300"/>
      <c r="AW109" s="300"/>
      <c r="AX109" s="300"/>
      <c r="AY109" s="300"/>
      <c r="AZ109" s="300"/>
      <c r="BA109" s="300"/>
      <c r="BB109" s="300"/>
      <c r="BC109" s="300"/>
      <c r="BD109" s="300"/>
      <c r="BE109" s="300"/>
      <c r="BF109" s="300"/>
      <c r="BG109" s="300"/>
      <c r="BH109" s="300"/>
      <c r="BI109" s="300"/>
      <c r="BJ109" s="300"/>
      <c r="BK109" s="300"/>
      <c r="BL109" s="300"/>
      <c r="BM109" s="300"/>
      <c r="BN109" s="300"/>
      <c r="BO109" s="300"/>
      <c r="BP109" s="300"/>
      <c r="BQ109" s="300"/>
      <c r="BR109" s="300"/>
      <c r="BS109" s="300"/>
      <c r="BT109" s="300"/>
      <c r="BU109" s="300"/>
      <c r="BV109" s="300"/>
      <c r="BW109" s="300"/>
      <c r="BX109" s="300"/>
      <c r="BY109" s="300"/>
      <c r="BZ109" s="300"/>
      <c r="CA109" s="300"/>
      <c r="CB109" s="300"/>
      <c r="CC109" s="300"/>
      <c r="CD109" s="300"/>
      <c r="CE109" s="300"/>
      <c r="CF109" s="300"/>
      <c r="CG109" s="300"/>
      <c r="CH109" s="300"/>
      <c r="CI109" s="300"/>
      <c r="CJ109" s="300"/>
      <c r="CK109" s="300"/>
      <c r="CL109" s="300"/>
      <c r="CM109" s="300"/>
      <c r="CN109" s="300"/>
      <c r="CO109" s="300"/>
      <c r="CP109" s="300"/>
      <c r="CQ109" s="300"/>
      <c r="CR109" s="300"/>
      <c r="CS109" s="300"/>
      <c r="CT109" s="300"/>
      <c r="CU109" s="300"/>
      <c r="CV109" s="300"/>
      <c r="CW109" s="300"/>
      <c r="CX109" s="300"/>
      <c r="CY109" s="300"/>
      <c r="CZ109" s="300"/>
      <c r="DA109" s="300"/>
      <c r="DB109" s="300"/>
      <c r="DC109" s="300"/>
      <c r="DD109" s="300"/>
      <c r="DE109" s="300"/>
      <c r="DF109" s="300"/>
      <c r="DG109" s="300"/>
      <c r="DH109" s="300"/>
      <c r="DI109" s="300"/>
      <c r="DJ109" s="300"/>
      <c r="DK109" s="300"/>
      <c r="DL109" s="300"/>
      <c r="DM109" s="300"/>
      <c r="DN109" s="300"/>
      <c r="DO109" s="300"/>
      <c r="DP109" s="300"/>
      <c r="DQ109" s="300"/>
      <c r="DR109" s="300"/>
      <c r="DS109" s="300"/>
      <c r="DT109" s="300"/>
      <c r="DU109" s="300"/>
      <c r="DV109" s="300"/>
      <c r="DW109" s="300"/>
      <c r="DX109" s="300"/>
      <c r="DY109" s="300"/>
      <c r="DZ109" s="300"/>
      <c r="EA109" s="300"/>
      <c r="EB109" s="300"/>
      <c r="EC109" s="300"/>
      <c r="ED109" s="300"/>
      <c r="EE109" s="300"/>
      <c r="EF109" s="300"/>
      <c r="EG109" s="300"/>
      <c r="EH109" s="300"/>
      <c r="EI109" s="300"/>
      <c r="EJ109" s="300"/>
      <c r="EK109" s="300"/>
      <c r="EL109" s="300"/>
      <c r="EM109" s="300"/>
      <c r="EN109" s="300"/>
      <c r="EO109" s="300"/>
      <c r="EP109" s="300"/>
      <c r="EQ109" s="300"/>
      <c r="ER109" s="300"/>
      <c r="ES109" s="300"/>
      <c r="ET109" s="300"/>
      <c r="EU109" s="300"/>
      <c r="EV109" s="300"/>
      <c r="EW109" s="300"/>
      <c r="EX109" s="300"/>
      <c r="EY109" s="300"/>
      <c r="EZ109" s="300"/>
      <c r="FA109" s="300"/>
      <c r="FB109" s="300"/>
      <c r="FC109" s="300"/>
      <c r="FD109" s="300"/>
      <c r="FE109" s="300"/>
      <c r="FF109" s="300"/>
    </row>
    <row r="110" spans="1:162">
      <c r="A110" s="300"/>
      <c r="B110" s="300"/>
      <c r="C110" s="300"/>
      <c r="D110" s="300"/>
      <c r="E110" s="300"/>
      <c r="F110" s="300"/>
      <c r="G110" s="300"/>
      <c r="H110" s="300"/>
      <c r="I110" s="300"/>
      <c r="J110" s="300"/>
      <c r="K110" s="300"/>
      <c r="L110" s="300"/>
      <c r="M110" s="300"/>
      <c r="N110" s="300"/>
      <c r="O110" s="300"/>
      <c r="P110" s="300"/>
      <c r="Q110" s="300"/>
      <c r="R110" s="300"/>
      <c r="S110" s="300"/>
      <c r="T110" s="300"/>
      <c r="U110" s="300"/>
      <c r="V110" s="300"/>
      <c r="W110" s="300"/>
      <c r="X110" s="300"/>
      <c r="Y110" s="300"/>
      <c r="Z110" s="300"/>
      <c r="AA110" s="300"/>
      <c r="AB110" s="300"/>
      <c r="AC110" s="300"/>
      <c r="AD110" s="300"/>
      <c r="AE110" s="300"/>
      <c r="AF110" s="300"/>
      <c r="AG110" s="300"/>
      <c r="AH110" s="300"/>
      <c r="AI110" s="300"/>
      <c r="AJ110" s="300"/>
      <c r="AK110" s="300"/>
      <c r="AL110" s="300"/>
      <c r="AM110" s="300"/>
      <c r="AN110" s="300"/>
      <c r="AO110" s="300"/>
      <c r="AP110" s="300"/>
      <c r="AQ110" s="300"/>
      <c r="AR110" s="300"/>
      <c r="AS110" s="300"/>
      <c r="AT110" s="300"/>
      <c r="AU110" s="300"/>
      <c r="AV110" s="300"/>
      <c r="AW110" s="300"/>
      <c r="AX110" s="300"/>
      <c r="AY110" s="300"/>
      <c r="AZ110" s="300"/>
      <c r="BA110" s="300"/>
      <c r="BB110" s="300"/>
      <c r="BC110" s="300"/>
      <c r="BD110" s="300"/>
      <c r="BE110" s="300"/>
      <c r="BF110" s="300"/>
      <c r="BG110" s="300"/>
      <c r="BH110" s="300"/>
      <c r="BI110" s="300"/>
      <c r="BJ110" s="300"/>
      <c r="BK110" s="300"/>
      <c r="BL110" s="300"/>
      <c r="BM110" s="300"/>
      <c r="BN110" s="300"/>
      <c r="BO110" s="300"/>
      <c r="BP110" s="300"/>
      <c r="BQ110" s="300"/>
      <c r="BR110" s="300"/>
      <c r="BS110" s="300"/>
      <c r="BT110" s="300"/>
      <c r="BU110" s="300"/>
      <c r="BV110" s="300"/>
      <c r="BW110" s="300"/>
      <c r="BX110" s="300"/>
      <c r="BY110" s="300"/>
      <c r="BZ110" s="300"/>
      <c r="CA110" s="300"/>
      <c r="CB110" s="300"/>
      <c r="CC110" s="300"/>
      <c r="CD110" s="300"/>
      <c r="CE110" s="300"/>
      <c r="CF110" s="300"/>
      <c r="CG110" s="300"/>
      <c r="CH110" s="300"/>
      <c r="CI110" s="300"/>
      <c r="CJ110" s="300"/>
      <c r="CK110" s="300"/>
      <c r="CL110" s="300"/>
      <c r="CM110" s="300"/>
      <c r="CN110" s="300"/>
      <c r="CO110" s="300"/>
      <c r="CP110" s="300"/>
      <c r="CQ110" s="300"/>
      <c r="CR110" s="300"/>
      <c r="CS110" s="300"/>
      <c r="CT110" s="300"/>
      <c r="CU110" s="300"/>
      <c r="CV110" s="300"/>
      <c r="CW110" s="300"/>
      <c r="CX110" s="300"/>
      <c r="CY110" s="300"/>
      <c r="CZ110" s="300"/>
      <c r="DA110" s="300"/>
      <c r="DB110" s="300"/>
      <c r="DC110" s="300"/>
      <c r="DD110" s="300"/>
      <c r="DE110" s="300"/>
      <c r="DF110" s="300"/>
      <c r="DG110" s="300"/>
      <c r="DH110" s="300"/>
      <c r="DI110" s="300"/>
      <c r="DJ110" s="300"/>
      <c r="DK110" s="300"/>
      <c r="DL110" s="300"/>
      <c r="DM110" s="300"/>
      <c r="DN110" s="300"/>
      <c r="DO110" s="300"/>
      <c r="DP110" s="300"/>
      <c r="DQ110" s="300"/>
      <c r="DR110" s="300"/>
      <c r="DS110" s="300"/>
      <c r="DT110" s="300"/>
      <c r="DU110" s="300"/>
      <c r="DV110" s="300"/>
      <c r="DW110" s="300"/>
      <c r="DX110" s="300"/>
      <c r="DY110" s="300"/>
      <c r="DZ110" s="300"/>
      <c r="EA110" s="300"/>
      <c r="EB110" s="300"/>
      <c r="EC110" s="300"/>
      <c r="ED110" s="300"/>
      <c r="EE110" s="300"/>
      <c r="EF110" s="300"/>
      <c r="EG110" s="300"/>
      <c r="EH110" s="300"/>
      <c r="EI110" s="300"/>
      <c r="EJ110" s="300"/>
      <c r="EK110" s="300"/>
      <c r="EL110" s="300"/>
      <c r="EM110" s="300"/>
      <c r="EN110" s="300"/>
      <c r="EO110" s="300"/>
      <c r="EP110" s="300"/>
      <c r="EQ110" s="300"/>
      <c r="ER110" s="300"/>
      <c r="ES110" s="300"/>
      <c r="ET110" s="300"/>
      <c r="EU110" s="300"/>
      <c r="EV110" s="300"/>
      <c r="EW110" s="300"/>
      <c r="EX110" s="300"/>
      <c r="EY110" s="300"/>
      <c r="EZ110" s="300"/>
      <c r="FA110" s="300"/>
      <c r="FB110" s="300"/>
      <c r="FC110" s="300"/>
      <c r="FD110" s="300"/>
      <c r="FE110" s="300"/>
      <c r="FF110" s="300"/>
    </row>
    <row r="111" spans="1:162">
      <c r="A111" s="300"/>
      <c r="B111" s="300"/>
      <c r="C111" s="300"/>
      <c r="D111" s="300"/>
      <c r="E111" s="300"/>
      <c r="F111" s="300"/>
      <c r="G111" s="300"/>
      <c r="H111" s="300"/>
      <c r="I111" s="300"/>
      <c r="J111" s="300"/>
      <c r="K111" s="300"/>
      <c r="L111" s="300"/>
      <c r="M111" s="300"/>
      <c r="N111" s="300"/>
      <c r="O111" s="300"/>
      <c r="P111" s="300"/>
      <c r="Q111" s="300"/>
      <c r="R111" s="300"/>
      <c r="S111" s="300"/>
      <c r="T111" s="300"/>
      <c r="U111" s="300"/>
      <c r="V111" s="300"/>
      <c r="W111" s="300"/>
      <c r="X111" s="300"/>
      <c r="Y111" s="300"/>
      <c r="Z111" s="300"/>
      <c r="AA111" s="300"/>
      <c r="AB111" s="300"/>
      <c r="AC111" s="300"/>
      <c r="AD111" s="300"/>
      <c r="AE111" s="300"/>
      <c r="AF111" s="300"/>
      <c r="AG111" s="300"/>
      <c r="AH111" s="300"/>
      <c r="AI111" s="300"/>
      <c r="AJ111" s="300"/>
      <c r="AK111" s="300"/>
      <c r="AL111" s="300"/>
      <c r="AM111" s="300"/>
      <c r="AN111" s="300"/>
      <c r="AO111" s="300"/>
      <c r="AP111" s="300"/>
      <c r="AQ111" s="300"/>
      <c r="AR111" s="300"/>
      <c r="AS111" s="300"/>
      <c r="AT111" s="300"/>
      <c r="AU111" s="300"/>
      <c r="AV111" s="300"/>
      <c r="AW111" s="300"/>
      <c r="AX111" s="300"/>
      <c r="AY111" s="300"/>
      <c r="AZ111" s="300"/>
      <c r="BA111" s="300"/>
      <c r="BB111" s="300"/>
      <c r="BC111" s="300"/>
      <c r="BD111" s="300"/>
      <c r="BE111" s="300"/>
      <c r="BF111" s="300"/>
      <c r="BG111" s="300"/>
      <c r="BH111" s="300"/>
      <c r="BI111" s="300"/>
      <c r="BJ111" s="300"/>
      <c r="BK111" s="300"/>
      <c r="BL111" s="300"/>
      <c r="BM111" s="300"/>
      <c r="BN111" s="300"/>
      <c r="BO111" s="300"/>
      <c r="BP111" s="300"/>
      <c r="BQ111" s="300"/>
      <c r="BR111" s="300"/>
      <c r="BS111" s="300"/>
      <c r="BT111" s="300"/>
      <c r="BU111" s="300"/>
      <c r="BV111" s="300"/>
      <c r="BW111" s="300"/>
      <c r="BX111" s="300"/>
      <c r="BY111" s="300"/>
      <c r="BZ111" s="300"/>
      <c r="CA111" s="300"/>
      <c r="CB111" s="300"/>
      <c r="CC111" s="300"/>
      <c r="CD111" s="300"/>
      <c r="CE111" s="300"/>
      <c r="CF111" s="300"/>
      <c r="CG111" s="300"/>
      <c r="CH111" s="300"/>
      <c r="CI111" s="300"/>
      <c r="CJ111" s="300"/>
      <c r="CK111" s="300"/>
      <c r="CL111" s="300"/>
      <c r="CM111" s="300"/>
      <c r="CN111" s="300"/>
      <c r="CO111" s="300"/>
      <c r="CP111" s="300"/>
      <c r="CQ111" s="300"/>
      <c r="CR111" s="300"/>
      <c r="CS111" s="300"/>
      <c r="CT111" s="300"/>
      <c r="CU111" s="300"/>
      <c r="CV111" s="300"/>
      <c r="CW111" s="300"/>
      <c r="CX111" s="300"/>
      <c r="CY111" s="300"/>
      <c r="CZ111" s="300"/>
      <c r="DA111" s="300"/>
      <c r="DB111" s="300"/>
      <c r="DC111" s="300"/>
      <c r="DD111" s="300"/>
      <c r="DE111" s="300"/>
      <c r="DF111" s="300"/>
      <c r="DG111" s="300"/>
      <c r="DH111" s="300"/>
      <c r="DI111" s="300"/>
      <c r="DJ111" s="300"/>
      <c r="DK111" s="300"/>
      <c r="DL111" s="300"/>
      <c r="DM111" s="300"/>
      <c r="DN111" s="300"/>
      <c r="DO111" s="300"/>
      <c r="DP111" s="300"/>
      <c r="DQ111" s="300"/>
      <c r="DR111" s="300"/>
      <c r="DS111" s="300"/>
      <c r="DT111" s="300"/>
      <c r="DU111" s="300"/>
      <c r="DV111" s="300"/>
      <c r="DW111" s="300"/>
      <c r="DX111" s="300"/>
      <c r="DY111" s="300"/>
      <c r="DZ111" s="300"/>
      <c r="EA111" s="300"/>
      <c r="EB111" s="300"/>
      <c r="EC111" s="300"/>
      <c r="ED111" s="300"/>
      <c r="EE111" s="300"/>
      <c r="EF111" s="300"/>
      <c r="EG111" s="300"/>
      <c r="EH111" s="300"/>
      <c r="EI111" s="300"/>
      <c r="EJ111" s="300"/>
      <c r="EK111" s="300"/>
      <c r="EL111" s="300"/>
      <c r="EM111" s="300"/>
      <c r="EN111" s="300"/>
      <c r="EO111" s="300"/>
      <c r="EP111" s="300"/>
      <c r="EQ111" s="300"/>
      <c r="ER111" s="300"/>
      <c r="ES111" s="300"/>
      <c r="ET111" s="300"/>
      <c r="EU111" s="300"/>
      <c r="EV111" s="300"/>
      <c r="EW111" s="300"/>
      <c r="EX111" s="300"/>
      <c r="EY111" s="300"/>
      <c r="EZ111" s="300"/>
      <c r="FA111" s="300"/>
      <c r="FB111" s="300"/>
      <c r="FC111" s="300"/>
      <c r="FD111" s="300"/>
      <c r="FE111" s="300"/>
      <c r="FF111" s="300"/>
    </row>
    <row r="112" spans="1:162">
      <c r="A112" s="300"/>
      <c r="B112" s="300"/>
      <c r="C112" s="300"/>
      <c r="D112" s="300"/>
      <c r="E112" s="300"/>
      <c r="F112" s="300"/>
      <c r="G112" s="300"/>
      <c r="H112" s="300"/>
      <c r="I112" s="300"/>
      <c r="J112" s="300"/>
      <c r="K112" s="300"/>
      <c r="L112" s="300"/>
      <c r="M112" s="300"/>
      <c r="N112" s="300"/>
      <c r="O112" s="300"/>
      <c r="P112" s="300"/>
      <c r="Q112" s="300"/>
      <c r="R112" s="300"/>
      <c r="S112" s="300"/>
      <c r="T112" s="300"/>
      <c r="U112" s="300"/>
      <c r="V112" s="300"/>
      <c r="W112" s="300"/>
      <c r="X112" s="300"/>
      <c r="Y112" s="300"/>
      <c r="Z112" s="300"/>
      <c r="AA112" s="300"/>
      <c r="AB112" s="300"/>
      <c r="AC112" s="300"/>
      <c r="AD112" s="300"/>
      <c r="AE112" s="300"/>
      <c r="AF112" s="300"/>
      <c r="AG112" s="300"/>
      <c r="AH112" s="300"/>
      <c r="AI112" s="300"/>
      <c r="AJ112" s="300"/>
      <c r="AK112" s="300"/>
      <c r="AL112" s="300"/>
      <c r="AM112" s="300"/>
      <c r="AN112" s="300"/>
      <c r="AO112" s="300"/>
      <c r="AP112" s="300"/>
      <c r="AQ112" s="300"/>
      <c r="AR112" s="300"/>
      <c r="AS112" s="300"/>
      <c r="AT112" s="300"/>
      <c r="AU112" s="300"/>
      <c r="AV112" s="300"/>
      <c r="AW112" s="300"/>
      <c r="AX112" s="300"/>
      <c r="AY112" s="300"/>
      <c r="AZ112" s="300"/>
      <c r="BA112" s="300"/>
      <c r="BB112" s="300"/>
      <c r="BC112" s="300"/>
      <c r="BD112" s="300"/>
      <c r="BE112" s="300"/>
      <c r="BF112" s="300"/>
      <c r="BG112" s="300"/>
      <c r="BH112" s="300"/>
      <c r="BI112" s="300"/>
      <c r="BJ112" s="300"/>
      <c r="BK112" s="300"/>
      <c r="BL112" s="300"/>
      <c r="BM112" s="300"/>
      <c r="BN112" s="300"/>
      <c r="BO112" s="300"/>
      <c r="BP112" s="300"/>
      <c r="BQ112" s="300"/>
      <c r="BR112" s="300"/>
      <c r="BS112" s="300"/>
      <c r="BT112" s="300"/>
      <c r="BU112" s="300"/>
      <c r="BV112" s="300"/>
      <c r="BW112" s="300"/>
      <c r="BX112" s="300"/>
      <c r="BY112" s="300"/>
      <c r="BZ112" s="300"/>
      <c r="CA112" s="300"/>
      <c r="CB112" s="300"/>
      <c r="CC112" s="300"/>
      <c r="CD112" s="300"/>
      <c r="CE112" s="300"/>
      <c r="CF112" s="300"/>
      <c r="CG112" s="300"/>
      <c r="CH112" s="300"/>
      <c r="CI112" s="300"/>
      <c r="CJ112" s="300"/>
      <c r="CK112" s="300"/>
      <c r="CL112" s="300"/>
      <c r="CM112" s="300"/>
      <c r="CN112" s="300"/>
      <c r="CO112" s="300"/>
      <c r="CP112" s="300"/>
      <c r="CQ112" s="300"/>
      <c r="CR112" s="300"/>
      <c r="CS112" s="300"/>
      <c r="CT112" s="300"/>
      <c r="CU112" s="300"/>
      <c r="CV112" s="300"/>
      <c r="CW112" s="300"/>
      <c r="CX112" s="300"/>
      <c r="CY112" s="300"/>
      <c r="CZ112" s="300"/>
      <c r="DA112" s="300"/>
      <c r="DB112" s="300"/>
      <c r="DC112" s="300"/>
      <c r="DD112" s="300"/>
      <c r="DE112" s="300"/>
      <c r="DF112" s="300"/>
      <c r="DG112" s="300"/>
      <c r="DH112" s="300"/>
      <c r="DI112" s="300"/>
      <c r="DJ112" s="300"/>
      <c r="DK112" s="300"/>
      <c r="DL112" s="300"/>
      <c r="DM112" s="300"/>
      <c r="DN112" s="300"/>
      <c r="DO112" s="300"/>
      <c r="DP112" s="300"/>
      <c r="DQ112" s="300"/>
      <c r="DR112" s="300"/>
      <c r="DS112" s="300"/>
      <c r="DT112" s="300"/>
      <c r="DU112" s="300"/>
      <c r="DV112" s="300"/>
      <c r="DW112" s="300"/>
      <c r="DX112" s="300"/>
      <c r="DY112" s="300"/>
      <c r="DZ112" s="300"/>
      <c r="EA112" s="300"/>
      <c r="EB112" s="300"/>
      <c r="EC112" s="300"/>
      <c r="ED112" s="300"/>
      <c r="EE112" s="300"/>
      <c r="EF112" s="300"/>
      <c r="EG112" s="300"/>
      <c r="EH112" s="300"/>
      <c r="EI112" s="300"/>
      <c r="EJ112" s="300"/>
      <c r="EK112" s="300"/>
      <c r="EL112" s="300"/>
      <c r="EM112" s="300"/>
      <c r="EN112" s="300"/>
      <c r="EO112" s="300"/>
      <c r="EP112" s="300"/>
      <c r="EQ112" s="300"/>
      <c r="ER112" s="300"/>
      <c r="ES112" s="300"/>
      <c r="ET112" s="300"/>
      <c r="EU112" s="300"/>
      <c r="EV112" s="300"/>
      <c r="EW112" s="300"/>
      <c r="EX112" s="300"/>
      <c r="EY112" s="300"/>
      <c r="EZ112" s="300"/>
      <c r="FA112" s="300"/>
      <c r="FB112" s="300"/>
      <c r="FC112" s="300"/>
      <c r="FD112" s="300"/>
      <c r="FE112" s="300"/>
      <c r="FF112" s="300"/>
    </row>
    <row r="113" spans="1:162">
      <c r="A113" s="300"/>
      <c r="B113" s="300"/>
      <c r="C113" s="300"/>
      <c r="D113" s="300"/>
      <c r="E113" s="300"/>
      <c r="F113" s="300"/>
      <c r="G113" s="300"/>
      <c r="H113" s="300"/>
      <c r="I113" s="300"/>
      <c r="J113" s="300"/>
      <c r="K113" s="300"/>
      <c r="L113" s="300"/>
      <c r="M113" s="300"/>
      <c r="N113" s="300"/>
      <c r="O113" s="300"/>
      <c r="P113" s="300"/>
      <c r="Q113" s="300"/>
      <c r="R113" s="300"/>
      <c r="S113" s="300"/>
      <c r="T113" s="300"/>
      <c r="U113" s="300"/>
      <c r="V113" s="300"/>
      <c r="W113" s="300"/>
      <c r="X113" s="300"/>
      <c r="Y113" s="300"/>
      <c r="Z113" s="300"/>
      <c r="AA113" s="300"/>
      <c r="AB113" s="300"/>
      <c r="AC113" s="300"/>
      <c r="AD113" s="300"/>
      <c r="AE113" s="300"/>
      <c r="AF113" s="300"/>
      <c r="AG113" s="300"/>
      <c r="AH113" s="300"/>
      <c r="AI113" s="300"/>
      <c r="AJ113" s="300"/>
      <c r="AK113" s="300"/>
      <c r="AL113" s="300"/>
      <c r="AM113" s="300"/>
      <c r="AN113" s="300"/>
      <c r="AO113" s="300"/>
      <c r="AP113" s="300"/>
      <c r="AQ113" s="300"/>
      <c r="AR113" s="300"/>
      <c r="AS113" s="300"/>
      <c r="AT113" s="300"/>
      <c r="AU113" s="300"/>
      <c r="AV113" s="300"/>
      <c r="AW113" s="300"/>
      <c r="AX113" s="300"/>
      <c r="AY113" s="300"/>
      <c r="AZ113" s="300"/>
      <c r="BA113" s="300"/>
      <c r="BB113" s="300"/>
      <c r="BC113" s="300"/>
      <c r="BD113" s="300"/>
      <c r="BE113" s="300"/>
      <c r="BF113" s="300"/>
      <c r="BG113" s="300"/>
      <c r="BH113" s="300"/>
      <c r="BI113" s="300"/>
      <c r="BJ113" s="300"/>
      <c r="BK113" s="300"/>
      <c r="BL113" s="300"/>
      <c r="BM113" s="300"/>
      <c r="BN113" s="300"/>
      <c r="BO113" s="300"/>
      <c r="BP113" s="300"/>
      <c r="BQ113" s="300"/>
      <c r="BR113" s="300"/>
      <c r="BS113" s="300"/>
      <c r="BT113" s="300"/>
      <c r="BU113" s="300"/>
      <c r="BV113" s="300"/>
      <c r="BW113" s="300"/>
      <c r="BX113" s="300"/>
      <c r="BY113" s="300"/>
      <c r="BZ113" s="300"/>
      <c r="CA113" s="300"/>
      <c r="CB113" s="300"/>
      <c r="CC113" s="300"/>
      <c r="CD113" s="300"/>
      <c r="CE113" s="300"/>
      <c r="CF113" s="300"/>
      <c r="CG113" s="300"/>
      <c r="CH113" s="300"/>
      <c r="CI113" s="300"/>
      <c r="CJ113" s="300"/>
      <c r="CK113" s="300"/>
      <c r="CL113" s="300"/>
      <c r="CM113" s="300"/>
      <c r="CN113" s="300"/>
      <c r="CO113" s="300"/>
      <c r="CP113" s="300"/>
      <c r="CQ113" s="300"/>
      <c r="CR113" s="300"/>
      <c r="CS113" s="300"/>
      <c r="CT113" s="300"/>
      <c r="CU113" s="300"/>
      <c r="CV113" s="300"/>
      <c r="CW113" s="300"/>
      <c r="CX113" s="300"/>
      <c r="CY113" s="300"/>
      <c r="CZ113" s="300"/>
      <c r="DA113" s="300"/>
      <c r="DB113" s="300"/>
      <c r="DC113" s="300"/>
      <c r="DD113" s="300"/>
      <c r="DE113" s="300"/>
      <c r="DF113" s="300"/>
      <c r="DG113" s="300"/>
      <c r="DH113" s="300"/>
      <c r="DI113" s="300"/>
      <c r="DJ113" s="300"/>
      <c r="DK113" s="300"/>
      <c r="DL113" s="300"/>
      <c r="DM113" s="300"/>
      <c r="DN113" s="300"/>
      <c r="DO113" s="300"/>
      <c r="DP113" s="300"/>
      <c r="DQ113" s="300"/>
      <c r="DR113" s="300"/>
      <c r="DS113" s="300"/>
      <c r="DT113" s="300"/>
      <c r="DU113" s="300"/>
      <c r="DV113" s="300"/>
      <c r="DW113" s="300"/>
      <c r="DX113" s="300"/>
      <c r="DY113" s="300"/>
      <c r="DZ113" s="300"/>
      <c r="EA113" s="300"/>
      <c r="EB113" s="300"/>
      <c r="EC113" s="300"/>
      <c r="ED113" s="300"/>
      <c r="EE113" s="300"/>
      <c r="EF113" s="300"/>
      <c r="EG113" s="300"/>
      <c r="EH113" s="300"/>
      <c r="EI113" s="300"/>
      <c r="EJ113" s="300"/>
      <c r="EK113" s="300"/>
      <c r="EL113" s="300"/>
      <c r="EM113" s="300"/>
      <c r="EN113" s="300"/>
      <c r="EO113" s="300"/>
      <c r="EP113" s="300"/>
      <c r="EQ113" s="300"/>
      <c r="ER113" s="300"/>
      <c r="ES113" s="300"/>
      <c r="ET113" s="300"/>
      <c r="EU113" s="300"/>
      <c r="EV113" s="300"/>
      <c r="EW113" s="300"/>
      <c r="EX113" s="300"/>
      <c r="EY113" s="300"/>
      <c r="EZ113" s="300"/>
      <c r="FA113" s="300"/>
      <c r="FB113" s="300"/>
      <c r="FC113" s="300"/>
      <c r="FD113" s="300"/>
      <c r="FE113" s="300"/>
      <c r="FF113" s="300"/>
    </row>
    <row r="114" spans="1:162">
      <c r="A114" s="300"/>
      <c r="B114" s="300"/>
      <c r="C114" s="300"/>
      <c r="D114" s="300"/>
      <c r="E114" s="300"/>
      <c r="F114" s="300"/>
      <c r="G114" s="300"/>
      <c r="H114" s="300"/>
      <c r="I114" s="300"/>
      <c r="J114" s="300"/>
      <c r="K114" s="300"/>
      <c r="L114" s="300"/>
      <c r="M114" s="300"/>
      <c r="N114" s="300"/>
      <c r="O114" s="300"/>
      <c r="P114" s="300"/>
      <c r="Q114" s="300"/>
      <c r="R114" s="300"/>
      <c r="S114" s="300"/>
      <c r="T114" s="300"/>
      <c r="U114" s="300"/>
      <c r="V114" s="300"/>
      <c r="W114" s="300"/>
      <c r="X114" s="300"/>
      <c r="Y114" s="300"/>
      <c r="Z114" s="300"/>
      <c r="AA114" s="300"/>
      <c r="AB114" s="300"/>
      <c r="AC114" s="300"/>
      <c r="AD114" s="300"/>
      <c r="AE114" s="300"/>
      <c r="AF114" s="300"/>
      <c r="AG114" s="300"/>
      <c r="AH114" s="300"/>
      <c r="AI114" s="300"/>
      <c r="AJ114" s="300"/>
      <c r="AK114" s="300"/>
      <c r="AL114" s="300"/>
      <c r="AM114" s="300"/>
      <c r="AN114" s="300"/>
      <c r="AO114" s="300"/>
      <c r="AP114" s="300"/>
      <c r="AQ114" s="300"/>
      <c r="AR114" s="300"/>
      <c r="AS114" s="300"/>
      <c r="AT114" s="300"/>
      <c r="AU114" s="300"/>
      <c r="AV114" s="300"/>
      <c r="AW114" s="300"/>
      <c r="AX114" s="300"/>
      <c r="AY114" s="300"/>
      <c r="AZ114" s="300"/>
      <c r="BA114" s="300"/>
      <c r="BB114" s="300"/>
      <c r="BC114" s="300"/>
      <c r="BD114" s="300"/>
      <c r="BE114" s="300"/>
      <c r="BF114" s="300"/>
      <c r="BG114" s="300"/>
      <c r="BH114" s="300"/>
      <c r="BI114" s="300"/>
      <c r="BJ114" s="300"/>
      <c r="BK114" s="300"/>
      <c r="BL114" s="300"/>
      <c r="BM114" s="300"/>
      <c r="BN114" s="300"/>
      <c r="BO114" s="300"/>
      <c r="BP114" s="300"/>
      <c r="BQ114" s="300"/>
      <c r="BR114" s="300"/>
      <c r="BS114" s="300"/>
      <c r="BT114" s="300"/>
      <c r="BU114" s="300"/>
      <c r="BV114" s="300"/>
      <c r="BW114" s="300"/>
      <c r="BX114" s="300"/>
      <c r="BY114" s="300"/>
      <c r="BZ114" s="300"/>
      <c r="CA114" s="300"/>
      <c r="CB114" s="300"/>
      <c r="CC114" s="300"/>
      <c r="CD114" s="300"/>
      <c r="CE114" s="300"/>
      <c r="CF114" s="300"/>
      <c r="CG114" s="300"/>
      <c r="CH114" s="300"/>
      <c r="CI114" s="300"/>
      <c r="CJ114" s="300"/>
      <c r="CK114" s="300"/>
      <c r="CL114" s="300"/>
      <c r="CM114" s="300"/>
      <c r="CN114" s="300"/>
      <c r="CO114" s="300"/>
      <c r="CP114" s="300"/>
      <c r="CQ114" s="300"/>
      <c r="CR114" s="300"/>
      <c r="CS114" s="300"/>
      <c r="CT114" s="300"/>
      <c r="CU114" s="300"/>
      <c r="CV114" s="300"/>
      <c r="CW114" s="300"/>
      <c r="CX114" s="300"/>
      <c r="CY114" s="300"/>
      <c r="CZ114" s="300"/>
      <c r="DA114" s="300"/>
      <c r="DB114" s="300"/>
      <c r="DC114" s="300"/>
      <c r="DD114" s="300"/>
      <c r="DE114" s="300"/>
      <c r="DF114" s="300"/>
      <c r="DG114" s="300"/>
      <c r="DH114" s="300"/>
      <c r="DI114" s="300"/>
      <c r="DJ114" s="300"/>
      <c r="DK114" s="300"/>
      <c r="DL114" s="300"/>
      <c r="DM114" s="300"/>
      <c r="DN114" s="300"/>
      <c r="DO114" s="300"/>
      <c r="DP114" s="300"/>
      <c r="DQ114" s="300"/>
      <c r="DR114" s="300"/>
      <c r="DS114" s="300"/>
      <c r="DT114" s="300"/>
      <c r="DU114" s="300"/>
      <c r="DV114" s="300"/>
      <c r="DW114" s="300"/>
      <c r="DX114" s="300"/>
      <c r="DY114" s="300"/>
      <c r="DZ114" s="300"/>
      <c r="EA114" s="300"/>
      <c r="EB114" s="300"/>
      <c r="EC114" s="300"/>
      <c r="ED114" s="300"/>
      <c r="EE114" s="300"/>
      <c r="EF114" s="300"/>
      <c r="EG114" s="300"/>
      <c r="EH114" s="300"/>
      <c r="EI114" s="300"/>
      <c r="EJ114" s="300"/>
      <c r="EK114" s="300"/>
      <c r="EL114" s="300"/>
      <c r="EM114" s="300"/>
      <c r="EN114" s="300"/>
      <c r="EO114" s="300"/>
      <c r="EP114" s="300"/>
      <c r="EQ114" s="300"/>
      <c r="ER114" s="300"/>
      <c r="ES114" s="300"/>
      <c r="ET114" s="300"/>
      <c r="EU114" s="300"/>
      <c r="EV114" s="300"/>
      <c r="EW114" s="300"/>
      <c r="EX114" s="300"/>
      <c r="EY114" s="300"/>
      <c r="EZ114" s="300"/>
      <c r="FA114" s="300"/>
      <c r="FB114" s="300"/>
      <c r="FC114" s="300"/>
      <c r="FD114" s="300"/>
      <c r="FE114" s="300"/>
      <c r="FF114" s="300"/>
    </row>
    <row r="115" spans="1:162">
      <c r="A115" s="300"/>
      <c r="B115" s="300"/>
      <c r="C115" s="300"/>
      <c r="D115" s="300"/>
      <c r="E115" s="300"/>
      <c r="F115" s="300"/>
      <c r="G115" s="300"/>
      <c r="H115" s="300"/>
      <c r="I115" s="300"/>
      <c r="J115" s="300"/>
      <c r="K115" s="300"/>
      <c r="L115" s="300"/>
      <c r="M115" s="300"/>
      <c r="N115" s="300"/>
      <c r="O115" s="300"/>
      <c r="P115" s="300"/>
      <c r="Q115" s="300"/>
      <c r="R115" s="300"/>
      <c r="S115" s="300"/>
      <c r="T115" s="300"/>
      <c r="U115" s="300"/>
      <c r="V115" s="300"/>
      <c r="W115" s="300"/>
      <c r="X115" s="300"/>
      <c r="Y115" s="300"/>
      <c r="Z115" s="300"/>
      <c r="AA115" s="300"/>
      <c r="AB115" s="300"/>
      <c r="AC115" s="300"/>
      <c r="AD115" s="300"/>
      <c r="AE115" s="300"/>
      <c r="AF115" s="300"/>
      <c r="AG115" s="300"/>
      <c r="AH115" s="300"/>
      <c r="AI115" s="300"/>
      <c r="AJ115" s="300"/>
      <c r="AK115" s="300"/>
      <c r="AL115" s="300"/>
      <c r="AM115" s="300"/>
      <c r="AN115" s="300"/>
      <c r="AO115" s="300"/>
      <c r="AP115" s="300"/>
      <c r="AQ115" s="300"/>
      <c r="AR115" s="300"/>
      <c r="AS115" s="300"/>
      <c r="AT115" s="300"/>
      <c r="AU115" s="300"/>
      <c r="AV115" s="300"/>
      <c r="AW115" s="300"/>
      <c r="AX115" s="300"/>
      <c r="AY115" s="300"/>
      <c r="AZ115" s="300"/>
      <c r="BA115" s="300"/>
      <c r="BB115" s="300"/>
      <c r="BC115" s="300"/>
      <c r="BD115" s="300"/>
      <c r="BE115" s="300"/>
      <c r="BF115" s="300"/>
      <c r="BG115" s="300"/>
      <c r="BH115" s="300"/>
      <c r="BI115" s="300"/>
      <c r="BJ115" s="300"/>
      <c r="BK115" s="300"/>
      <c r="BL115" s="300"/>
      <c r="BM115" s="300"/>
      <c r="BN115" s="300"/>
      <c r="BO115" s="300"/>
      <c r="BP115" s="300"/>
      <c r="BQ115" s="300"/>
      <c r="BR115" s="300"/>
      <c r="BS115" s="300"/>
      <c r="BT115" s="300"/>
      <c r="BU115" s="300"/>
      <c r="BV115" s="300"/>
      <c r="BW115" s="300"/>
      <c r="BX115" s="300"/>
      <c r="BY115" s="300"/>
      <c r="BZ115" s="300"/>
      <c r="CA115" s="300"/>
      <c r="CB115" s="300"/>
      <c r="CC115" s="300"/>
      <c r="CD115" s="300"/>
      <c r="CE115" s="300"/>
      <c r="CF115" s="300"/>
      <c r="CG115" s="300"/>
      <c r="CH115" s="300"/>
      <c r="CI115" s="300"/>
      <c r="CJ115" s="300"/>
      <c r="CK115" s="300"/>
      <c r="CL115" s="300"/>
      <c r="CM115" s="300"/>
      <c r="CN115" s="300"/>
      <c r="CO115" s="300"/>
      <c r="CP115" s="300"/>
      <c r="CQ115" s="300"/>
      <c r="CR115" s="300"/>
      <c r="CS115" s="300"/>
      <c r="CT115" s="300"/>
      <c r="CU115" s="300"/>
      <c r="CV115" s="300"/>
      <c r="CW115" s="300"/>
      <c r="CX115" s="300"/>
      <c r="CY115" s="300"/>
      <c r="CZ115" s="300"/>
      <c r="DA115" s="300"/>
      <c r="DB115" s="300"/>
      <c r="DC115" s="300"/>
      <c r="DD115" s="300"/>
      <c r="DE115" s="300"/>
      <c r="DF115" s="300"/>
      <c r="DG115" s="300"/>
      <c r="DH115" s="300"/>
      <c r="DI115" s="300"/>
      <c r="DJ115" s="300"/>
      <c r="DK115" s="300"/>
      <c r="DL115" s="300"/>
      <c r="DM115" s="300"/>
      <c r="DN115" s="300"/>
      <c r="DO115" s="300"/>
      <c r="DP115" s="300"/>
      <c r="DQ115" s="300"/>
      <c r="DR115" s="300"/>
      <c r="DS115" s="300"/>
      <c r="DT115" s="300"/>
      <c r="DU115" s="300"/>
      <c r="DV115" s="300"/>
      <c r="DW115" s="300"/>
      <c r="DX115" s="300"/>
      <c r="DY115" s="300"/>
      <c r="DZ115" s="300"/>
      <c r="EA115" s="300"/>
      <c r="EB115" s="300"/>
      <c r="EC115" s="300"/>
      <c r="ED115" s="300"/>
      <c r="EE115" s="300"/>
      <c r="EF115" s="300"/>
      <c r="EG115" s="300"/>
      <c r="EH115" s="300"/>
      <c r="EI115" s="300"/>
      <c r="EJ115" s="300"/>
      <c r="EK115" s="300"/>
      <c r="EL115" s="300"/>
      <c r="EM115" s="300"/>
      <c r="EN115" s="300"/>
      <c r="EO115" s="300"/>
      <c r="EP115" s="300"/>
      <c r="EQ115" s="300"/>
      <c r="ER115" s="300"/>
      <c r="ES115" s="300"/>
      <c r="ET115" s="300"/>
      <c r="EU115" s="300"/>
      <c r="EV115" s="300"/>
      <c r="EW115" s="300"/>
      <c r="EX115" s="300"/>
      <c r="EY115" s="300"/>
      <c r="EZ115" s="300"/>
      <c r="FA115" s="300"/>
      <c r="FB115" s="300"/>
      <c r="FC115" s="300"/>
      <c r="FD115" s="300"/>
      <c r="FE115" s="300"/>
      <c r="FF115" s="300"/>
    </row>
    <row r="116" spans="1:162">
      <c r="A116" s="300"/>
      <c r="B116" s="300"/>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c r="AA116" s="300"/>
      <c r="AB116" s="300"/>
      <c r="AC116" s="300"/>
      <c r="AD116" s="300"/>
      <c r="AE116" s="300"/>
      <c r="AF116" s="300"/>
      <c r="AG116" s="300"/>
      <c r="AH116" s="300"/>
      <c r="AI116" s="300"/>
      <c r="AJ116" s="300"/>
      <c r="AK116" s="300"/>
      <c r="AL116" s="300"/>
      <c r="AM116" s="300"/>
      <c r="AN116" s="300"/>
      <c r="AO116" s="300"/>
      <c r="AP116" s="300"/>
      <c r="AQ116" s="300"/>
      <c r="AR116" s="300"/>
      <c r="AS116" s="300"/>
      <c r="AT116" s="300"/>
      <c r="AU116" s="300"/>
      <c r="AV116" s="300"/>
      <c r="AW116" s="300"/>
      <c r="AX116" s="300"/>
      <c r="AY116" s="300"/>
      <c r="AZ116" s="300"/>
      <c r="BA116" s="300"/>
      <c r="BB116" s="300"/>
      <c r="BC116" s="300"/>
      <c r="BD116" s="300"/>
      <c r="BE116" s="300"/>
      <c r="BF116" s="300"/>
      <c r="BG116" s="300"/>
      <c r="BH116" s="300"/>
      <c r="BI116" s="300"/>
      <c r="BJ116" s="300"/>
      <c r="BK116" s="300"/>
      <c r="BL116" s="300"/>
      <c r="BM116" s="300"/>
      <c r="BN116" s="300"/>
      <c r="BO116" s="300"/>
      <c r="BP116" s="300"/>
      <c r="BQ116" s="300"/>
      <c r="BR116" s="300"/>
      <c r="BS116" s="300"/>
      <c r="BT116" s="300"/>
      <c r="BU116" s="300"/>
      <c r="BV116" s="300"/>
      <c r="BW116" s="300"/>
      <c r="BX116" s="300"/>
      <c r="BY116" s="300"/>
      <c r="BZ116" s="300"/>
      <c r="CA116" s="300"/>
      <c r="CB116" s="300"/>
      <c r="CC116" s="300"/>
      <c r="CD116" s="300"/>
      <c r="CE116" s="300"/>
      <c r="CF116" s="300"/>
      <c r="CG116" s="300"/>
      <c r="CH116" s="300"/>
      <c r="CI116" s="300"/>
      <c r="CJ116" s="300"/>
      <c r="CK116" s="300"/>
      <c r="CL116" s="300"/>
      <c r="CM116" s="300"/>
      <c r="CN116" s="300"/>
      <c r="CO116" s="300"/>
      <c r="CP116" s="300"/>
      <c r="CQ116" s="300"/>
      <c r="CR116" s="300"/>
      <c r="CS116" s="300"/>
      <c r="CT116" s="300"/>
      <c r="CU116" s="300"/>
      <c r="CV116" s="300"/>
      <c r="CW116" s="300"/>
      <c r="CX116" s="300"/>
      <c r="CY116" s="300"/>
      <c r="CZ116" s="300"/>
      <c r="DA116" s="300"/>
      <c r="DB116" s="300"/>
      <c r="DC116" s="300"/>
      <c r="DD116" s="300"/>
      <c r="DE116" s="300"/>
      <c r="DF116" s="300"/>
      <c r="DG116" s="300"/>
      <c r="DH116" s="300"/>
      <c r="DI116" s="300"/>
      <c r="DJ116" s="300"/>
      <c r="DK116" s="300"/>
      <c r="DL116" s="300"/>
      <c r="DM116" s="300"/>
      <c r="DN116" s="300"/>
      <c r="DO116" s="300"/>
      <c r="DP116" s="300"/>
      <c r="DQ116" s="300"/>
      <c r="DR116" s="300"/>
      <c r="DS116" s="300"/>
      <c r="DT116" s="300"/>
      <c r="DU116" s="300"/>
      <c r="DV116" s="300"/>
      <c r="DW116" s="300"/>
      <c r="DX116" s="300"/>
      <c r="DY116" s="300"/>
      <c r="DZ116" s="300"/>
      <c r="EA116" s="300"/>
      <c r="EB116" s="300"/>
      <c r="EC116" s="300"/>
      <c r="ED116" s="300"/>
      <c r="EE116" s="300"/>
      <c r="EF116" s="300"/>
      <c r="EG116" s="300"/>
      <c r="EH116" s="300"/>
      <c r="EI116" s="300"/>
      <c r="EJ116" s="300"/>
      <c r="EK116" s="300"/>
      <c r="EL116" s="300"/>
      <c r="EM116" s="300"/>
      <c r="EN116" s="300"/>
      <c r="EO116" s="300"/>
      <c r="EP116" s="300"/>
      <c r="EQ116" s="300"/>
      <c r="ER116" s="300"/>
      <c r="ES116" s="300"/>
      <c r="ET116" s="300"/>
      <c r="EU116" s="300"/>
      <c r="EV116" s="300"/>
      <c r="EW116" s="300"/>
      <c r="EX116" s="300"/>
      <c r="EY116" s="300"/>
      <c r="EZ116" s="300"/>
      <c r="FA116" s="300"/>
      <c r="FB116" s="300"/>
      <c r="FC116" s="300"/>
      <c r="FD116" s="300"/>
      <c r="FE116" s="300"/>
      <c r="FF116" s="300"/>
    </row>
    <row r="117" spans="1:162">
      <c r="A117" s="300"/>
      <c r="B117" s="300"/>
      <c r="C117" s="300"/>
      <c r="D117" s="300"/>
      <c r="E117" s="300"/>
      <c r="F117" s="300"/>
      <c r="G117" s="300"/>
      <c r="H117" s="300"/>
      <c r="I117" s="300"/>
      <c r="J117" s="300"/>
      <c r="K117" s="300"/>
      <c r="L117" s="300"/>
      <c r="M117" s="300"/>
      <c r="N117" s="300"/>
      <c r="O117" s="300"/>
      <c r="P117" s="300"/>
      <c r="Q117" s="300"/>
      <c r="R117" s="300"/>
      <c r="S117" s="300"/>
      <c r="T117" s="300"/>
      <c r="U117" s="300"/>
      <c r="V117" s="300"/>
      <c r="W117" s="300"/>
      <c r="X117" s="300"/>
      <c r="Y117" s="300"/>
      <c r="Z117" s="300"/>
      <c r="AA117" s="300"/>
      <c r="AB117" s="300"/>
      <c r="AC117" s="300"/>
      <c r="AD117" s="300"/>
      <c r="AE117" s="300"/>
      <c r="AF117" s="300"/>
      <c r="AG117" s="300"/>
      <c r="AH117" s="300"/>
      <c r="AI117" s="300"/>
      <c r="AJ117" s="300"/>
      <c r="AK117" s="300"/>
      <c r="AL117" s="300"/>
      <c r="AM117" s="300"/>
      <c r="AN117" s="300"/>
      <c r="AO117" s="300"/>
      <c r="AP117" s="300"/>
      <c r="AQ117" s="300"/>
      <c r="AR117" s="300"/>
      <c r="AS117" s="300"/>
      <c r="AT117" s="300"/>
      <c r="AU117" s="300"/>
      <c r="AV117" s="300"/>
      <c r="AW117" s="300"/>
      <c r="AX117" s="300"/>
      <c r="AY117" s="300"/>
      <c r="AZ117" s="300"/>
      <c r="BA117" s="300"/>
      <c r="BB117" s="300"/>
      <c r="BC117" s="300"/>
      <c r="BD117" s="300"/>
      <c r="BE117" s="300"/>
      <c r="BF117" s="300"/>
      <c r="BG117" s="300"/>
      <c r="BH117" s="300"/>
      <c r="BI117" s="300"/>
      <c r="BJ117" s="300"/>
      <c r="BK117" s="300"/>
      <c r="BL117" s="300"/>
      <c r="BM117" s="300"/>
      <c r="BN117" s="300"/>
      <c r="BO117" s="300"/>
      <c r="BP117" s="300"/>
      <c r="BQ117" s="300"/>
      <c r="BR117" s="300"/>
      <c r="BS117" s="300"/>
      <c r="BT117" s="300"/>
      <c r="BU117" s="300"/>
      <c r="BV117" s="300"/>
      <c r="BW117" s="300"/>
      <c r="BX117" s="300"/>
      <c r="BY117" s="300"/>
      <c r="BZ117" s="300"/>
      <c r="CA117" s="300"/>
      <c r="CB117" s="300"/>
      <c r="CC117" s="300"/>
      <c r="CD117" s="300"/>
      <c r="CE117" s="300"/>
      <c r="CF117" s="300"/>
      <c r="CG117" s="300"/>
      <c r="CH117" s="300"/>
      <c r="CI117" s="300"/>
      <c r="CJ117" s="300"/>
      <c r="CK117" s="300"/>
      <c r="CL117" s="300"/>
      <c r="CM117" s="300"/>
      <c r="CN117" s="300"/>
      <c r="CO117" s="300"/>
      <c r="CP117" s="300"/>
      <c r="CQ117" s="300"/>
      <c r="CR117" s="300"/>
      <c r="CS117" s="300"/>
      <c r="CT117" s="300"/>
      <c r="CU117" s="300"/>
      <c r="CV117" s="300"/>
      <c r="CW117" s="300"/>
      <c r="CX117" s="300"/>
      <c r="CY117" s="300"/>
      <c r="CZ117" s="300"/>
      <c r="DA117" s="300"/>
      <c r="DB117" s="300"/>
      <c r="DC117" s="300"/>
      <c r="DD117" s="300"/>
      <c r="DE117" s="300"/>
      <c r="DF117" s="300"/>
      <c r="DG117" s="300"/>
      <c r="DH117" s="300"/>
      <c r="DI117" s="300"/>
      <c r="DJ117" s="300"/>
      <c r="DK117" s="300"/>
      <c r="DL117" s="300"/>
      <c r="DM117" s="300"/>
      <c r="DN117" s="300"/>
      <c r="DO117" s="300"/>
      <c r="DP117" s="300"/>
      <c r="DQ117" s="300"/>
      <c r="DR117" s="300"/>
      <c r="DS117" s="300"/>
      <c r="DT117" s="300"/>
      <c r="DU117" s="300"/>
      <c r="DV117" s="300"/>
      <c r="DW117" s="300"/>
      <c r="DX117" s="300"/>
      <c r="DY117" s="300"/>
      <c r="DZ117" s="300"/>
      <c r="EA117" s="300"/>
      <c r="EB117" s="300"/>
      <c r="EC117" s="300"/>
      <c r="ED117" s="300"/>
      <c r="EE117" s="300"/>
      <c r="EF117" s="300"/>
      <c r="EG117" s="300"/>
      <c r="EH117" s="300"/>
      <c r="EI117" s="300"/>
      <c r="EJ117" s="300"/>
      <c r="EK117" s="300"/>
      <c r="EL117" s="300"/>
      <c r="EM117" s="300"/>
      <c r="EN117" s="300"/>
      <c r="EO117" s="300"/>
      <c r="EP117" s="300"/>
      <c r="EQ117" s="300"/>
      <c r="ER117" s="300"/>
      <c r="ES117" s="300"/>
      <c r="ET117" s="300"/>
      <c r="EU117" s="300"/>
      <c r="EV117" s="300"/>
      <c r="EW117" s="300"/>
      <c r="EX117" s="300"/>
      <c r="EY117" s="300"/>
      <c r="EZ117" s="300"/>
      <c r="FA117" s="300"/>
      <c r="FB117" s="300"/>
      <c r="FC117" s="300"/>
      <c r="FD117" s="300"/>
      <c r="FE117" s="300"/>
      <c r="FF117" s="300"/>
    </row>
    <row r="118" spans="1:162">
      <c r="A118" s="300"/>
      <c r="B118" s="300"/>
      <c r="C118" s="300"/>
      <c r="D118" s="300"/>
      <c r="E118" s="300"/>
      <c r="F118" s="300"/>
      <c r="G118" s="300"/>
      <c r="H118" s="300"/>
      <c r="I118" s="300"/>
      <c r="J118" s="300"/>
      <c r="K118" s="300"/>
      <c r="L118" s="300"/>
      <c r="M118" s="300"/>
      <c r="N118" s="300"/>
      <c r="O118" s="300"/>
      <c r="P118" s="300"/>
      <c r="Q118" s="300"/>
      <c r="R118" s="300"/>
      <c r="S118" s="300"/>
      <c r="T118" s="300"/>
      <c r="U118" s="300"/>
      <c r="V118" s="300"/>
      <c r="W118" s="300"/>
      <c r="X118" s="300"/>
      <c r="Y118" s="300"/>
      <c r="Z118" s="300"/>
      <c r="AA118" s="300"/>
      <c r="AB118" s="300"/>
      <c r="AC118" s="300"/>
      <c r="AD118" s="300"/>
      <c r="AE118" s="300"/>
      <c r="AF118" s="300"/>
      <c r="AG118" s="300"/>
      <c r="AH118" s="300"/>
      <c r="AI118" s="300"/>
      <c r="AJ118" s="300"/>
      <c r="AK118" s="300"/>
      <c r="AL118" s="300"/>
      <c r="AM118" s="300"/>
      <c r="AN118" s="300"/>
      <c r="AO118" s="300"/>
      <c r="AP118" s="300"/>
      <c r="AQ118" s="300"/>
      <c r="AR118" s="300"/>
      <c r="AS118" s="300"/>
      <c r="AT118" s="300"/>
      <c r="AU118" s="300"/>
      <c r="AV118" s="300"/>
      <c r="AW118" s="300"/>
      <c r="AX118" s="300"/>
      <c r="AY118" s="300"/>
      <c r="AZ118" s="300"/>
      <c r="BA118" s="300"/>
      <c r="BB118" s="300"/>
      <c r="BC118" s="300"/>
      <c r="BD118" s="300"/>
      <c r="BE118" s="300"/>
      <c r="BF118" s="300"/>
      <c r="BG118" s="300"/>
      <c r="BH118" s="300"/>
      <c r="BI118" s="300"/>
      <c r="BJ118" s="300"/>
      <c r="BK118" s="300"/>
      <c r="BL118" s="300"/>
      <c r="BM118" s="300"/>
      <c r="BN118" s="300"/>
      <c r="BO118" s="300"/>
      <c r="BP118" s="300"/>
      <c r="BQ118" s="300"/>
      <c r="BR118" s="300"/>
      <c r="BS118" s="300"/>
      <c r="BT118" s="300"/>
      <c r="BU118" s="300"/>
      <c r="BV118" s="300"/>
      <c r="BW118" s="300"/>
      <c r="BX118" s="300"/>
      <c r="BY118" s="300"/>
      <c r="BZ118" s="300"/>
      <c r="CA118" s="300"/>
      <c r="CB118" s="300"/>
      <c r="CC118" s="300"/>
      <c r="CD118" s="300"/>
      <c r="CE118" s="300"/>
      <c r="CF118" s="300"/>
      <c r="CG118" s="300"/>
      <c r="CH118" s="300"/>
      <c r="CI118" s="300"/>
      <c r="CJ118" s="300"/>
      <c r="CK118" s="300"/>
      <c r="CL118" s="300"/>
      <c r="CM118" s="300"/>
      <c r="CN118" s="300"/>
      <c r="CO118" s="300"/>
      <c r="CP118" s="300"/>
      <c r="CQ118" s="300"/>
      <c r="CR118" s="300"/>
      <c r="CS118" s="300"/>
      <c r="CT118" s="300"/>
      <c r="CU118" s="300"/>
      <c r="CV118" s="300"/>
      <c r="CW118" s="300"/>
      <c r="CX118" s="300"/>
      <c r="CY118" s="300"/>
      <c r="CZ118" s="300"/>
      <c r="DA118" s="300"/>
      <c r="DB118" s="300"/>
      <c r="DC118" s="300"/>
      <c r="DD118" s="300"/>
      <c r="DE118" s="300"/>
      <c r="DF118" s="300"/>
      <c r="DG118" s="300"/>
      <c r="DH118" s="300"/>
      <c r="DI118" s="300"/>
      <c r="DJ118" s="300"/>
      <c r="DK118" s="300"/>
      <c r="DL118" s="300"/>
      <c r="DM118" s="300"/>
      <c r="DN118" s="300"/>
      <c r="DO118" s="300"/>
      <c r="DP118" s="300"/>
      <c r="DQ118" s="300"/>
      <c r="DR118" s="300"/>
      <c r="DS118" s="300"/>
      <c r="DT118" s="300"/>
      <c r="DU118" s="300"/>
      <c r="DV118" s="300"/>
      <c r="DW118" s="300"/>
      <c r="DX118" s="300"/>
      <c r="DY118" s="300"/>
      <c r="DZ118" s="300"/>
      <c r="EA118" s="300"/>
      <c r="EB118" s="300"/>
      <c r="EC118" s="300"/>
      <c r="ED118" s="300"/>
      <c r="EE118" s="300"/>
      <c r="EF118" s="300"/>
      <c r="EG118" s="300"/>
      <c r="EH118" s="300"/>
      <c r="EI118" s="300"/>
      <c r="EJ118" s="300"/>
      <c r="EK118" s="300"/>
      <c r="EL118" s="300"/>
      <c r="EM118" s="300"/>
      <c r="EN118" s="300"/>
      <c r="EO118" s="300"/>
      <c r="EP118" s="300"/>
      <c r="EQ118" s="300"/>
      <c r="ER118" s="300"/>
      <c r="ES118" s="300"/>
      <c r="ET118" s="300"/>
      <c r="EU118" s="300"/>
      <c r="EV118" s="300"/>
      <c r="EW118" s="300"/>
      <c r="EX118" s="300"/>
      <c r="EY118" s="300"/>
      <c r="EZ118" s="300"/>
      <c r="FA118" s="300"/>
      <c r="FB118" s="300"/>
      <c r="FC118" s="300"/>
      <c r="FD118" s="300"/>
      <c r="FE118" s="300"/>
      <c r="FF118" s="300"/>
    </row>
    <row r="119" spans="1:162">
      <c r="A119" s="300"/>
      <c r="B119" s="300"/>
      <c r="C119" s="300"/>
      <c r="D119" s="300"/>
      <c r="E119" s="300"/>
      <c r="F119" s="300"/>
      <c r="G119" s="300"/>
      <c r="H119" s="300"/>
      <c r="I119" s="300"/>
      <c r="J119" s="300"/>
      <c r="K119" s="300"/>
      <c r="L119" s="300"/>
      <c r="M119" s="300"/>
      <c r="N119" s="300"/>
      <c r="O119" s="300"/>
      <c r="P119" s="300"/>
      <c r="Q119" s="300"/>
      <c r="R119" s="300"/>
      <c r="S119" s="300"/>
      <c r="T119" s="300"/>
      <c r="U119" s="300"/>
      <c r="V119" s="300"/>
      <c r="W119" s="300"/>
      <c r="X119" s="300"/>
      <c r="Y119" s="300"/>
      <c r="Z119" s="300"/>
      <c r="AA119" s="300"/>
      <c r="AB119" s="300"/>
      <c r="AC119" s="300"/>
      <c r="AD119" s="300"/>
      <c r="AE119" s="300"/>
      <c r="AF119" s="300"/>
      <c r="AG119" s="300"/>
      <c r="AH119" s="300"/>
      <c r="AI119" s="300"/>
      <c r="AJ119" s="300"/>
      <c r="AK119" s="300"/>
      <c r="AL119" s="300"/>
      <c r="AM119" s="300"/>
      <c r="AN119" s="300"/>
      <c r="AO119" s="300"/>
      <c r="AP119" s="300"/>
      <c r="AQ119" s="300"/>
      <c r="AR119" s="300"/>
      <c r="AS119" s="300"/>
      <c r="AT119" s="300"/>
      <c r="AU119" s="300"/>
      <c r="AV119" s="300"/>
      <c r="AW119" s="300"/>
      <c r="AX119" s="300"/>
      <c r="AY119" s="300"/>
      <c r="AZ119" s="300"/>
      <c r="BA119" s="300"/>
      <c r="BB119" s="300"/>
      <c r="BC119" s="300"/>
      <c r="BD119" s="300"/>
      <c r="BE119" s="300"/>
      <c r="BF119" s="300"/>
      <c r="BG119" s="300"/>
      <c r="BH119" s="300"/>
      <c r="BI119" s="300"/>
      <c r="BJ119" s="300"/>
      <c r="BK119" s="300"/>
      <c r="BL119" s="300"/>
      <c r="BM119" s="300"/>
      <c r="BN119" s="300"/>
      <c r="BO119" s="300"/>
      <c r="BP119" s="300"/>
      <c r="BQ119" s="300"/>
      <c r="BR119" s="300"/>
      <c r="BS119" s="300"/>
      <c r="BT119" s="300"/>
      <c r="BU119" s="300"/>
      <c r="BV119" s="300"/>
      <c r="BW119" s="300"/>
      <c r="BX119" s="300"/>
      <c r="BY119" s="300"/>
      <c r="BZ119" s="300"/>
      <c r="CA119" s="300"/>
      <c r="CB119" s="300"/>
      <c r="CC119" s="300"/>
      <c r="CD119" s="300"/>
      <c r="CE119" s="300"/>
      <c r="CF119" s="300"/>
      <c r="CG119" s="300"/>
      <c r="CH119" s="300"/>
      <c r="CI119" s="300"/>
      <c r="CJ119" s="300"/>
      <c r="CK119" s="300"/>
      <c r="CL119" s="300"/>
      <c r="CM119" s="300"/>
      <c r="CN119" s="300"/>
      <c r="CO119" s="300"/>
      <c r="CP119" s="300"/>
      <c r="CQ119" s="300"/>
      <c r="CR119" s="300"/>
      <c r="CS119" s="300"/>
      <c r="CT119" s="300"/>
      <c r="CU119" s="300"/>
      <c r="CV119" s="300"/>
      <c r="CW119" s="300"/>
      <c r="CX119" s="300"/>
      <c r="CY119" s="300"/>
      <c r="CZ119" s="300"/>
      <c r="DA119" s="300"/>
      <c r="DB119" s="300"/>
      <c r="DC119" s="300"/>
      <c r="DD119" s="300"/>
      <c r="DE119" s="300"/>
      <c r="DF119" s="300"/>
      <c r="DG119" s="300"/>
      <c r="DH119" s="300"/>
      <c r="DI119" s="300"/>
      <c r="DJ119" s="300"/>
      <c r="DK119" s="300"/>
      <c r="DL119" s="300"/>
      <c r="DM119" s="300"/>
      <c r="DN119" s="300"/>
      <c r="DO119" s="300"/>
      <c r="DP119" s="300"/>
      <c r="DQ119" s="300"/>
      <c r="DR119" s="300"/>
      <c r="DS119" s="300"/>
      <c r="DT119" s="300"/>
      <c r="DU119" s="300"/>
      <c r="DV119" s="300"/>
      <c r="DW119" s="300"/>
      <c r="DX119" s="300"/>
      <c r="DY119" s="300"/>
      <c r="DZ119" s="300"/>
      <c r="EA119" s="300"/>
      <c r="EB119" s="300"/>
      <c r="EC119" s="300"/>
      <c r="ED119" s="300"/>
      <c r="EE119" s="300"/>
      <c r="EF119" s="300"/>
      <c r="EG119" s="300"/>
      <c r="EH119" s="300"/>
      <c r="EI119" s="300"/>
      <c r="EJ119" s="300"/>
      <c r="EK119" s="300"/>
      <c r="EL119" s="300"/>
      <c r="EM119" s="300"/>
      <c r="EN119" s="300"/>
      <c r="EO119" s="300"/>
      <c r="EP119" s="300"/>
      <c r="EQ119" s="300"/>
      <c r="ER119" s="300"/>
      <c r="ES119" s="300"/>
      <c r="ET119" s="300"/>
      <c r="EU119" s="300"/>
      <c r="EV119" s="300"/>
      <c r="EW119" s="300"/>
      <c r="EX119" s="300"/>
      <c r="EY119" s="300"/>
      <c r="EZ119" s="300"/>
      <c r="FA119" s="300"/>
      <c r="FB119" s="300"/>
      <c r="FC119" s="300"/>
      <c r="FD119" s="300"/>
      <c r="FE119" s="300"/>
      <c r="FF119" s="300"/>
    </row>
    <row r="120" spans="1:162">
      <c r="A120" s="300"/>
      <c r="B120" s="300"/>
      <c r="C120" s="300"/>
      <c r="D120" s="300"/>
      <c r="E120" s="300"/>
      <c r="F120" s="300"/>
      <c r="G120" s="300"/>
      <c r="H120" s="300"/>
      <c r="I120" s="300"/>
      <c r="J120" s="300"/>
      <c r="K120" s="300"/>
      <c r="L120" s="300"/>
      <c r="M120" s="300"/>
      <c r="N120" s="300"/>
      <c r="O120" s="300"/>
      <c r="P120" s="300"/>
      <c r="Q120" s="300"/>
      <c r="R120" s="300"/>
      <c r="S120" s="300"/>
      <c r="T120" s="300"/>
      <c r="U120" s="300"/>
      <c r="V120" s="300"/>
      <c r="W120" s="300"/>
      <c r="X120" s="300"/>
      <c r="Y120" s="300"/>
      <c r="Z120" s="300"/>
      <c r="AA120" s="300"/>
      <c r="AB120" s="300"/>
      <c r="AC120" s="300"/>
      <c r="AD120" s="300"/>
      <c r="AE120" s="300"/>
      <c r="AF120" s="300"/>
      <c r="AG120" s="300"/>
      <c r="AH120" s="300"/>
      <c r="AI120" s="300"/>
      <c r="AJ120" s="300"/>
      <c r="AK120" s="300"/>
      <c r="AL120" s="300"/>
      <c r="AM120" s="300"/>
      <c r="AN120" s="300"/>
      <c r="AO120" s="300"/>
      <c r="AP120" s="300"/>
      <c r="AQ120" s="300"/>
      <c r="AR120" s="300"/>
      <c r="AS120" s="300"/>
      <c r="AT120" s="300"/>
      <c r="AU120" s="300"/>
      <c r="AV120" s="300"/>
      <c r="AW120" s="300"/>
      <c r="AX120" s="300"/>
      <c r="AY120" s="300"/>
      <c r="AZ120" s="300"/>
      <c r="BA120" s="300"/>
      <c r="BB120" s="300"/>
      <c r="BC120" s="300"/>
      <c r="BD120" s="300"/>
      <c r="BE120" s="300"/>
      <c r="BF120" s="300"/>
      <c r="BG120" s="300"/>
      <c r="BH120" s="300"/>
      <c r="BI120" s="300"/>
      <c r="BJ120" s="300"/>
      <c r="BK120" s="300"/>
      <c r="BL120" s="300"/>
      <c r="BM120" s="300"/>
      <c r="BN120" s="300"/>
      <c r="BO120" s="300"/>
      <c r="BP120" s="300"/>
      <c r="BQ120" s="300"/>
      <c r="BR120" s="300"/>
      <c r="BS120" s="300"/>
      <c r="BT120" s="300"/>
      <c r="BU120" s="300"/>
      <c r="BV120" s="300"/>
      <c r="BW120" s="300"/>
      <c r="BX120" s="300"/>
      <c r="BY120" s="300"/>
      <c r="BZ120" s="300"/>
      <c r="CA120" s="300"/>
      <c r="CB120" s="300"/>
      <c r="CC120" s="300"/>
      <c r="CD120" s="300"/>
      <c r="CE120" s="300"/>
      <c r="CF120" s="300"/>
      <c r="CG120" s="300"/>
      <c r="CH120" s="300"/>
      <c r="CI120" s="300"/>
      <c r="CJ120" s="300"/>
      <c r="CK120" s="300"/>
      <c r="CL120" s="300"/>
      <c r="CM120" s="300"/>
      <c r="CN120" s="300"/>
      <c r="CO120" s="300"/>
      <c r="CP120" s="300"/>
      <c r="CQ120" s="300"/>
      <c r="CR120" s="300"/>
      <c r="CS120" s="300"/>
      <c r="CT120" s="300"/>
      <c r="CU120" s="300"/>
      <c r="CV120" s="300"/>
      <c r="CW120" s="300"/>
      <c r="CX120" s="300"/>
      <c r="CY120" s="300"/>
      <c r="CZ120" s="300"/>
      <c r="DA120" s="300"/>
      <c r="DB120" s="300"/>
      <c r="DC120" s="300"/>
      <c r="DD120" s="300"/>
      <c r="DE120" s="300"/>
      <c r="DF120" s="300"/>
      <c r="DG120" s="300"/>
      <c r="DH120" s="300"/>
      <c r="DI120" s="300"/>
      <c r="DJ120" s="300"/>
      <c r="DK120" s="300"/>
      <c r="DL120" s="300"/>
      <c r="DM120" s="300"/>
      <c r="DN120" s="300"/>
      <c r="DO120" s="300"/>
      <c r="DP120" s="300"/>
      <c r="DQ120" s="300"/>
      <c r="DR120" s="300"/>
      <c r="DS120" s="300"/>
      <c r="DT120" s="300"/>
      <c r="DU120" s="300"/>
      <c r="DV120" s="300"/>
      <c r="DW120" s="300"/>
      <c r="DX120" s="300"/>
      <c r="DY120" s="300"/>
      <c r="DZ120" s="300"/>
      <c r="EA120" s="300"/>
      <c r="EB120" s="300"/>
      <c r="EC120" s="300"/>
      <c r="ED120" s="300"/>
      <c r="EE120" s="300"/>
      <c r="EF120" s="300"/>
      <c r="EG120" s="300"/>
      <c r="EH120" s="300"/>
      <c r="EI120" s="300"/>
      <c r="EJ120" s="300"/>
      <c r="EK120" s="300"/>
      <c r="EL120" s="300"/>
      <c r="EM120" s="300"/>
      <c r="EN120" s="300"/>
      <c r="EO120" s="300"/>
      <c r="EP120" s="300"/>
      <c r="EQ120" s="300"/>
      <c r="ER120" s="300"/>
      <c r="ES120" s="300"/>
      <c r="ET120" s="300"/>
      <c r="EU120" s="300"/>
      <c r="EV120" s="300"/>
      <c r="EW120" s="300"/>
      <c r="EX120" s="300"/>
      <c r="EY120" s="300"/>
      <c r="EZ120" s="300"/>
      <c r="FA120" s="300"/>
      <c r="FB120" s="300"/>
      <c r="FC120" s="300"/>
      <c r="FD120" s="300"/>
      <c r="FE120" s="300"/>
      <c r="FF120" s="300"/>
    </row>
    <row r="121" spans="1:162">
      <c r="A121" s="300"/>
      <c r="B121" s="300"/>
      <c r="C121" s="300"/>
      <c r="D121" s="300"/>
      <c r="E121" s="300"/>
      <c r="F121" s="300"/>
      <c r="G121" s="300"/>
      <c r="H121" s="300"/>
      <c r="I121" s="300"/>
      <c r="J121" s="300"/>
      <c r="K121" s="300"/>
      <c r="L121" s="300"/>
      <c r="M121" s="300"/>
      <c r="N121" s="300"/>
      <c r="O121" s="300"/>
      <c r="P121" s="300"/>
      <c r="Q121" s="300"/>
      <c r="R121" s="300"/>
      <c r="S121" s="300"/>
      <c r="T121" s="300"/>
      <c r="U121" s="300"/>
      <c r="V121" s="300"/>
      <c r="W121" s="300"/>
      <c r="X121" s="300"/>
      <c r="Y121" s="300"/>
      <c r="Z121" s="300"/>
      <c r="AA121" s="300"/>
      <c r="AB121" s="300"/>
      <c r="AC121" s="300"/>
      <c r="AD121" s="300"/>
      <c r="AE121" s="300"/>
      <c r="AF121" s="300"/>
      <c r="AG121" s="300"/>
      <c r="AH121" s="300"/>
      <c r="AI121" s="300"/>
      <c r="AJ121" s="300"/>
      <c r="AK121" s="300"/>
      <c r="AL121" s="300"/>
      <c r="AM121" s="300"/>
      <c r="AN121" s="300"/>
      <c r="AO121" s="300"/>
      <c r="AP121" s="300"/>
      <c r="AQ121" s="300"/>
      <c r="AR121" s="300"/>
      <c r="AS121" s="300"/>
      <c r="AT121" s="300"/>
      <c r="AU121" s="300"/>
      <c r="AV121" s="300"/>
      <c r="AW121" s="300"/>
      <c r="AX121" s="300"/>
      <c r="AY121" s="300"/>
      <c r="AZ121" s="300"/>
      <c r="BA121" s="300"/>
      <c r="BB121" s="300"/>
      <c r="BC121" s="300"/>
      <c r="BD121" s="300"/>
      <c r="BE121" s="300"/>
      <c r="BF121" s="300"/>
      <c r="BG121" s="300"/>
      <c r="BH121" s="300"/>
      <c r="BI121" s="300"/>
      <c r="BJ121" s="300"/>
      <c r="BK121" s="300"/>
      <c r="BL121" s="300"/>
      <c r="BM121" s="300"/>
      <c r="BN121" s="300"/>
      <c r="BO121" s="300"/>
      <c r="BP121" s="300"/>
      <c r="BQ121" s="300"/>
      <c r="BR121" s="300"/>
      <c r="BS121" s="300"/>
      <c r="BT121" s="300"/>
      <c r="BU121" s="300"/>
      <c r="BV121" s="300"/>
      <c r="BW121" s="300"/>
      <c r="BX121" s="300"/>
      <c r="BY121" s="300"/>
      <c r="BZ121" s="300"/>
      <c r="CA121" s="300"/>
      <c r="CB121" s="300"/>
      <c r="CC121" s="300"/>
      <c r="CD121" s="300"/>
      <c r="CE121" s="300"/>
      <c r="CF121" s="300"/>
      <c r="CG121" s="300"/>
      <c r="CH121" s="300"/>
      <c r="CI121" s="300"/>
      <c r="CJ121" s="300"/>
      <c r="CK121" s="300"/>
      <c r="CL121" s="300"/>
      <c r="CM121" s="300"/>
      <c r="CN121" s="300"/>
      <c r="CO121" s="300"/>
      <c r="CP121" s="300"/>
      <c r="CQ121" s="300"/>
      <c r="CR121" s="300"/>
      <c r="CS121" s="300"/>
      <c r="CT121" s="300"/>
      <c r="CU121" s="300"/>
      <c r="CV121" s="300"/>
      <c r="CW121" s="300"/>
      <c r="CX121" s="300"/>
      <c r="CY121" s="300"/>
      <c r="CZ121" s="300"/>
      <c r="DA121" s="300"/>
      <c r="DB121" s="300"/>
      <c r="DC121" s="300"/>
      <c r="DD121" s="300"/>
      <c r="DE121" s="300"/>
      <c r="DF121" s="300"/>
      <c r="DG121" s="300"/>
      <c r="DH121" s="300"/>
      <c r="DI121" s="300"/>
      <c r="DJ121" s="300"/>
      <c r="DK121" s="300"/>
      <c r="DL121" s="300"/>
      <c r="DM121" s="300"/>
      <c r="DN121" s="300"/>
      <c r="DO121" s="300"/>
      <c r="DP121" s="300"/>
      <c r="DQ121" s="300"/>
      <c r="DR121" s="300"/>
      <c r="DS121" s="300"/>
      <c r="DT121" s="300"/>
      <c r="DU121" s="300"/>
      <c r="DV121" s="300"/>
      <c r="DW121" s="300"/>
      <c r="DX121" s="300"/>
      <c r="DY121" s="300"/>
      <c r="DZ121" s="300"/>
      <c r="EA121" s="300"/>
      <c r="EB121" s="300"/>
      <c r="EC121" s="300"/>
      <c r="ED121" s="300"/>
      <c r="EE121" s="300"/>
      <c r="EF121" s="300"/>
      <c r="EG121" s="300"/>
      <c r="EH121" s="300"/>
      <c r="EI121" s="300"/>
      <c r="EJ121" s="300"/>
      <c r="EK121" s="300"/>
      <c r="EL121" s="300"/>
      <c r="EM121" s="300"/>
      <c r="EN121" s="300"/>
      <c r="EO121" s="300"/>
      <c r="EP121" s="300"/>
      <c r="EQ121" s="300"/>
      <c r="ER121" s="300"/>
      <c r="ES121" s="300"/>
      <c r="ET121" s="300"/>
      <c r="EU121" s="300"/>
      <c r="EV121" s="300"/>
      <c r="EW121" s="300"/>
      <c r="EX121" s="300"/>
      <c r="EY121" s="300"/>
      <c r="EZ121" s="300"/>
      <c r="FA121" s="300"/>
      <c r="FB121" s="300"/>
      <c r="FC121" s="300"/>
      <c r="FD121" s="300"/>
      <c r="FE121" s="300"/>
      <c r="FF121" s="300"/>
    </row>
    <row r="122" spans="1:162">
      <c r="A122" s="300"/>
      <c r="B122" s="300"/>
      <c r="C122" s="300"/>
      <c r="D122" s="300"/>
      <c r="E122" s="300"/>
      <c r="F122" s="300"/>
      <c r="G122" s="300"/>
      <c r="H122" s="300"/>
      <c r="I122" s="300"/>
      <c r="J122" s="300"/>
      <c r="K122" s="300"/>
      <c r="L122" s="300"/>
      <c r="M122" s="300"/>
      <c r="N122" s="300"/>
      <c r="O122" s="300"/>
      <c r="P122" s="300"/>
      <c r="Q122" s="300"/>
      <c r="R122" s="300"/>
      <c r="S122" s="300"/>
      <c r="T122" s="300"/>
      <c r="U122" s="300"/>
      <c r="V122" s="300"/>
      <c r="W122" s="300"/>
      <c r="X122" s="300"/>
      <c r="Y122" s="300"/>
      <c r="Z122" s="300"/>
      <c r="AA122" s="300"/>
      <c r="AB122" s="300"/>
      <c r="AC122" s="300"/>
      <c r="AD122" s="300"/>
      <c r="AE122" s="300"/>
      <c r="AF122" s="300"/>
      <c r="AG122" s="300"/>
      <c r="AH122" s="300"/>
      <c r="AI122" s="300"/>
      <c r="AJ122" s="300"/>
      <c r="AK122" s="300"/>
      <c r="AL122" s="300"/>
      <c r="AM122" s="300"/>
      <c r="AN122" s="300"/>
      <c r="AO122" s="300"/>
      <c r="AP122" s="300"/>
      <c r="AQ122" s="300"/>
      <c r="AR122" s="300"/>
      <c r="AS122" s="300"/>
      <c r="AT122" s="300"/>
      <c r="AU122" s="300"/>
      <c r="AV122" s="300"/>
      <c r="AW122" s="300"/>
      <c r="AX122" s="300"/>
      <c r="AY122" s="300"/>
      <c r="AZ122" s="300"/>
      <c r="BA122" s="300"/>
      <c r="BB122" s="300"/>
      <c r="BC122" s="300"/>
      <c r="BD122" s="300"/>
      <c r="BE122" s="300"/>
      <c r="BF122" s="300"/>
      <c r="BG122" s="300"/>
      <c r="BH122" s="300"/>
      <c r="BI122" s="300"/>
      <c r="BJ122" s="300"/>
      <c r="BK122" s="300"/>
      <c r="BL122" s="300"/>
      <c r="BM122" s="300"/>
      <c r="BN122" s="300"/>
      <c r="BO122" s="300"/>
      <c r="BP122" s="300"/>
      <c r="BQ122" s="300"/>
      <c r="BR122" s="300"/>
      <c r="BS122" s="300"/>
      <c r="BT122" s="300"/>
      <c r="BU122" s="300"/>
      <c r="BV122" s="300"/>
      <c r="BW122" s="300"/>
      <c r="BX122" s="300"/>
      <c r="BY122" s="300"/>
      <c r="BZ122" s="300"/>
      <c r="CA122" s="300"/>
      <c r="CB122" s="300"/>
      <c r="CC122" s="300"/>
      <c r="CD122" s="300"/>
      <c r="CE122" s="300"/>
      <c r="CF122" s="300"/>
      <c r="CG122" s="300"/>
      <c r="CH122" s="300"/>
      <c r="CI122" s="300"/>
      <c r="CJ122" s="300"/>
      <c r="CK122" s="300"/>
      <c r="CL122" s="300"/>
      <c r="CM122" s="300"/>
      <c r="CN122" s="300"/>
      <c r="CO122" s="300"/>
      <c r="CP122" s="300"/>
      <c r="CQ122" s="300"/>
      <c r="CR122" s="300"/>
      <c r="CS122" s="300"/>
      <c r="CT122" s="300"/>
      <c r="CU122" s="300"/>
      <c r="CV122" s="300"/>
      <c r="CW122" s="300"/>
      <c r="CX122" s="300"/>
      <c r="CY122" s="300"/>
      <c r="CZ122" s="300"/>
      <c r="DA122" s="300"/>
      <c r="DB122" s="300"/>
      <c r="DC122" s="300"/>
      <c r="DD122" s="300"/>
      <c r="DE122" s="300"/>
      <c r="DF122" s="300"/>
      <c r="DG122" s="300"/>
      <c r="DH122" s="300"/>
      <c r="DI122" s="300"/>
      <c r="DJ122" s="300"/>
      <c r="DK122" s="300"/>
      <c r="DL122" s="300"/>
      <c r="DM122" s="300"/>
      <c r="DN122" s="300"/>
      <c r="DO122" s="300"/>
      <c r="DP122" s="300"/>
      <c r="DQ122" s="300"/>
      <c r="DR122" s="300"/>
      <c r="DS122" s="300"/>
      <c r="DT122" s="300"/>
      <c r="DU122" s="300"/>
      <c r="DV122" s="300"/>
      <c r="DW122" s="300"/>
      <c r="DX122" s="300"/>
      <c r="DY122" s="300"/>
      <c r="DZ122" s="300"/>
      <c r="EA122" s="300"/>
      <c r="EB122" s="300"/>
      <c r="EC122" s="300"/>
      <c r="ED122" s="300"/>
      <c r="EE122" s="300"/>
      <c r="EF122" s="300"/>
      <c r="EG122" s="300"/>
      <c r="EH122" s="300"/>
      <c r="EI122" s="300"/>
      <c r="EJ122" s="300"/>
      <c r="EK122" s="300"/>
      <c r="EL122" s="300"/>
      <c r="EM122" s="300"/>
      <c r="EN122" s="300"/>
      <c r="EO122" s="300"/>
      <c r="EP122" s="300"/>
      <c r="EQ122" s="300"/>
      <c r="ER122" s="300"/>
      <c r="ES122" s="300"/>
      <c r="ET122" s="300"/>
      <c r="EU122" s="300"/>
      <c r="EV122" s="300"/>
      <c r="EW122" s="300"/>
      <c r="EX122" s="300"/>
      <c r="EY122" s="300"/>
      <c r="EZ122" s="300"/>
      <c r="FA122" s="300"/>
      <c r="FB122" s="300"/>
      <c r="FC122" s="300"/>
      <c r="FD122" s="300"/>
      <c r="FE122" s="300"/>
      <c r="FF122" s="300"/>
    </row>
    <row r="123" spans="1:162">
      <c r="A123" s="300"/>
      <c r="B123" s="300"/>
      <c r="C123" s="300"/>
      <c r="D123" s="300"/>
      <c r="E123" s="300"/>
      <c r="F123" s="300"/>
      <c r="G123" s="300"/>
      <c r="H123" s="300"/>
      <c r="I123" s="300"/>
      <c r="J123" s="300"/>
      <c r="K123" s="300"/>
      <c r="L123" s="300"/>
      <c r="M123" s="300"/>
      <c r="N123" s="300"/>
      <c r="O123" s="300"/>
      <c r="P123" s="300"/>
      <c r="Q123" s="300"/>
      <c r="R123" s="300"/>
      <c r="S123" s="300"/>
      <c r="T123" s="300"/>
      <c r="U123" s="300"/>
      <c r="V123" s="300"/>
      <c r="W123" s="300"/>
      <c r="X123" s="300"/>
      <c r="Y123" s="300"/>
      <c r="Z123" s="300"/>
      <c r="AA123" s="300"/>
      <c r="AB123" s="300"/>
      <c r="AC123" s="300"/>
      <c r="AD123" s="300"/>
      <c r="AE123" s="300"/>
      <c r="AF123" s="300"/>
      <c r="AG123" s="300"/>
      <c r="AH123" s="300"/>
      <c r="AI123" s="300"/>
      <c r="AJ123" s="300"/>
      <c r="AK123" s="300"/>
      <c r="AL123" s="300"/>
      <c r="AM123" s="300"/>
      <c r="AN123" s="300"/>
      <c r="AO123" s="300"/>
      <c r="AP123" s="300"/>
      <c r="AQ123" s="300"/>
      <c r="AR123" s="300"/>
      <c r="AS123" s="300"/>
      <c r="AT123" s="300"/>
      <c r="AU123" s="300"/>
      <c r="AV123" s="300"/>
      <c r="AW123" s="300"/>
      <c r="AX123" s="300"/>
      <c r="AY123" s="300"/>
      <c r="AZ123" s="300"/>
      <c r="BA123" s="300"/>
      <c r="BB123" s="300"/>
      <c r="BC123" s="300"/>
      <c r="BD123" s="300"/>
      <c r="BE123" s="300"/>
      <c r="BF123" s="300"/>
      <c r="BG123" s="300"/>
      <c r="BH123" s="300"/>
      <c r="BI123" s="300"/>
      <c r="BJ123" s="300"/>
      <c r="BK123" s="300"/>
      <c r="BL123" s="300"/>
      <c r="BM123" s="300"/>
      <c r="BN123" s="300"/>
      <c r="BO123" s="300"/>
      <c r="BP123" s="300"/>
      <c r="BQ123" s="300"/>
      <c r="BR123" s="300"/>
      <c r="BS123" s="300"/>
      <c r="BT123" s="300"/>
      <c r="BU123" s="300"/>
      <c r="BV123" s="300"/>
      <c r="BW123" s="300"/>
      <c r="BX123" s="300"/>
      <c r="BY123" s="300"/>
      <c r="BZ123" s="300"/>
      <c r="CA123" s="300"/>
      <c r="CB123" s="300"/>
      <c r="CC123" s="300"/>
      <c r="CD123" s="300"/>
      <c r="CE123" s="300"/>
      <c r="CF123" s="300"/>
      <c r="CG123" s="300"/>
      <c r="CH123" s="300"/>
      <c r="CI123" s="300"/>
      <c r="CJ123" s="300"/>
      <c r="CK123" s="300"/>
      <c r="CL123" s="300"/>
      <c r="CM123" s="300"/>
      <c r="CN123" s="300"/>
      <c r="CO123" s="300"/>
      <c r="CP123" s="300"/>
      <c r="CQ123" s="300"/>
      <c r="CR123" s="300"/>
      <c r="CS123" s="300"/>
      <c r="CT123" s="300"/>
      <c r="CU123" s="300"/>
      <c r="CV123" s="300"/>
      <c r="CW123" s="300"/>
      <c r="CX123" s="300"/>
      <c r="CY123" s="300"/>
      <c r="CZ123" s="300"/>
      <c r="DA123" s="300"/>
      <c r="DB123" s="300"/>
      <c r="DC123" s="300"/>
      <c r="DD123" s="300"/>
      <c r="DE123" s="300"/>
      <c r="DF123" s="300"/>
      <c r="DG123" s="300"/>
      <c r="DH123" s="300"/>
      <c r="DI123" s="300"/>
      <c r="DJ123" s="300"/>
      <c r="DK123" s="300"/>
      <c r="DL123" s="300"/>
      <c r="DM123" s="300"/>
      <c r="DN123" s="300"/>
      <c r="DO123" s="300"/>
      <c r="DP123" s="300"/>
      <c r="DQ123" s="300"/>
      <c r="DR123" s="300"/>
      <c r="DS123" s="300"/>
      <c r="DT123" s="300"/>
      <c r="DU123" s="300"/>
      <c r="DV123" s="300"/>
      <c r="DW123" s="300"/>
      <c r="DX123" s="300"/>
      <c r="DY123" s="300"/>
      <c r="DZ123" s="300"/>
      <c r="EA123" s="300"/>
      <c r="EB123" s="300"/>
      <c r="EC123" s="300"/>
      <c r="ED123" s="300"/>
      <c r="EE123" s="300"/>
      <c r="EF123" s="300"/>
      <c r="EG123" s="300"/>
      <c r="EH123" s="300"/>
      <c r="EI123" s="300"/>
      <c r="EJ123" s="300"/>
      <c r="EK123" s="300"/>
      <c r="EL123" s="300"/>
      <c r="EM123" s="300"/>
      <c r="EN123" s="300"/>
      <c r="EO123" s="300"/>
      <c r="EP123" s="300"/>
      <c r="EQ123" s="300"/>
      <c r="ER123" s="300"/>
      <c r="ES123" s="300"/>
      <c r="ET123" s="300"/>
      <c r="EU123" s="300"/>
      <c r="EV123" s="300"/>
      <c r="EW123" s="300"/>
      <c r="EX123" s="300"/>
      <c r="EY123" s="300"/>
      <c r="EZ123" s="300"/>
      <c r="FA123" s="300"/>
      <c r="FB123" s="300"/>
      <c r="FC123" s="300"/>
      <c r="FD123" s="300"/>
      <c r="FE123" s="300"/>
      <c r="FF123" s="300"/>
    </row>
    <row r="124" spans="1:162">
      <c r="A124" s="300"/>
      <c r="B124" s="300"/>
      <c r="C124" s="300"/>
      <c r="D124" s="300"/>
      <c r="E124" s="300"/>
      <c r="F124" s="300"/>
      <c r="G124" s="300"/>
      <c r="H124" s="300"/>
      <c r="I124" s="300"/>
      <c r="J124" s="300"/>
      <c r="K124" s="300"/>
      <c r="L124" s="300"/>
      <c r="M124" s="300"/>
      <c r="N124" s="300"/>
      <c r="O124" s="300"/>
      <c r="P124" s="300"/>
      <c r="Q124" s="300"/>
      <c r="R124" s="300"/>
      <c r="S124" s="300"/>
      <c r="T124" s="300"/>
      <c r="U124" s="300"/>
      <c r="V124" s="300"/>
      <c r="W124" s="300"/>
      <c r="X124" s="300"/>
      <c r="Y124" s="300"/>
      <c r="Z124" s="300"/>
      <c r="AA124" s="300"/>
      <c r="AB124" s="300"/>
      <c r="AC124" s="300"/>
      <c r="AD124" s="300"/>
      <c r="AE124" s="300"/>
      <c r="AF124" s="300"/>
      <c r="AG124" s="300"/>
      <c r="AH124" s="300"/>
      <c r="AI124" s="300"/>
      <c r="AJ124" s="300"/>
      <c r="AK124" s="300"/>
      <c r="AL124" s="300"/>
      <c r="AM124" s="300"/>
      <c r="AN124" s="300"/>
      <c r="AO124" s="300"/>
      <c r="AP124" s="300"/>
      <c r="AQ124" s="300"/>
      <c r="AR124" s="300"/>
      <c r="AS124" s="300"/>
      <c r="AT124" s="300"/>
      <c r="AU124" s="300"/>
      <c r="AV124" s="300"/>
      <c r="AW124" s="300"/>
      <c r="AX124" s="300"/>
      <c r="AY124" s="300"/>
      <c r="AZ124" s="300"/>
      <c r="BA124" s="300"/>
      <c r="BB124" s="300"/>
      <c r="BC124" s="300"/>
      <c r="BD124" s="300"/>
      <c r="BE124" s="300"/>
      <c r="BF124" s="300"/>
      <c r="BG124" s="300"/>
      <c r="BH124" s="300"/>
      <c r="BI124" s="300"/>
      <c r="BJ124" s="300"/>
      <c r="BK124" s="300"/>
      <c r="BL124" s="300"/>
      <c r="BM124" s="300"/>
      <c r="BN124" s="300"/>
      <c r="BO124" s="300"/>
      <c r="BP124" s="300"/>
      <c r="BQ124" s="300"/>
      <c r="BR124" s="300"/>
      <c r="BS124" s="300"/>
      <c r="BT124" s="300"/>
      <c r="BU124" s="300"/>
      <c r="BV124" s="300"/>
      <c r="BW124" s="300"/>
      <c r="BX124" s="300"/>
      <c r="BY124" s="300"/>
      <c r="BZ124" s="300"/>
      <c r="CA124" s="300"/>
      <c r="CB124" s="300"/>
      <c r="CC124" s="300"/>
      <c r="CD124" s="300"/>
      <c r="CE124" s="300"/>
      <c r="CF124" s="300"/>
      <c r="CG124" s="300"/>
      <c r="CH124" s="300"/>
      <c r="CI124" s="300"/>
      <c r="CJ124" s="300"/>
      <c r="CK124" s="300"/>
      <c r="CL124" s="300"/>
      <c r="CM124" s="300"/>
      <c r="CN124" s="300"/>
      <c r="CO124" s="300"/>
      <c r="CP124" s="300"/>
      <c r="CQ124" s="300"/>
      <c r="CR124" s="300"/>
      <c r="CS124" s="300"/>
      <c r="CT124" s="300"/>
      <c r="CU124" s="300"/>
      <c r="CV124" s="300"/>
      <c r="CW124" s="300"/>
      <c r="CX124" s="300"/>
      <c r="CY124" s="300"/>
      <c r="CZ124" s="300"/>
      <c r="DA124" s="300"/>
      <c r="DB124" s="300"/>
      <c r="DC124" s="300"/>
      <c r="DD124" s="300"/>
      <c r="DE124" s="300"/>
      <c r="DF124" s="300"/>
      <c r="DG124" s="300"/>
      <c r="DH124" s="300"/>
      <c r="DI124" s="300"/>
      <c r="DJ124" s="300"/>
      <c r="DK124" s="300"/>
      <c r="DL124" s="300"/>
      <c r="DM124" s="300"/>
      <c r="DN124" s="300"/>
      <c r="DO124" s="300"/>
      <c r="DP124" s="300"/>
      <c r="DQ124" s="300"/>
      <c r="DR124" s="300"/>
      <c r="DS124" s="300"/>
      <c r="DT124" s="300"/>
      <c r="DU124" s="300"/>
      <c r="DV124" s="300"/>
      <c r="DW124" s="300"/>
      <c r="DX124" s="300"/>
      <c r="DY124" s="300"/>
      <c r="DZ124" s="300"/>
      <c r="EA124" s="300"/>
      <c r="EB124" s="300"/>
      <c r="EC124" s="300"/>
      <c r="ED124" s="300"/>
      <c r="EE124" s="300"/>
      <c r="EF124" s="300"/>
      <c r="EG124" s="300"/>
      <c r="EH124" s="300"/>
      <c r="EI124" s="300"/>
      <c r="EJ124" s="300"/>
      <c r="EK124" s="300"/>
      <c r="EL124" s="300"/>
      <c r="EM124" s="300"/>
      <c r="EN124" s="300"/>
      <c r="EO124" s="300"/>
      <c r="EP124" s="300"/>
      <c r="EQ124" s="300"/>
      <c r="ER124" s="300"/>
      <c r="ES124" s="300"/>
      <c r="ET124" s="300"/>
      <c r="EU124" s="300"/>
      <c r="EV124" s="300"/>
      <c r="EW124" s="300"/>
      <c r="EX124" s="300"/>
      <c r="EY124" s="300"/>
      <c r="EZ124" s="300"/>
      <c r="FA124" s="300"/>
      <c r="FB124" s="300"/>
      <c r="FC124" s="300"/>
      <c r="FD124" s="300"/>
      <c r="FE124" s="300"/>
      <c r="FF124" s="300"/>
    </row>
    <row r="125" spans="1:162">
      <c r="A125" s="300"/>
      <c r="B125" s="300"/>
      <c r="C125" s="300"/>
      <c r="D125" s="300"/>
      <c r="E125" s="300"/>
      <c r="F125" s="300"/>
      <c r="G125" s="300"/>
      <c r="H125" s="300"/>
      <c r="I125" s="300"/>
      <c r="J125" s="300"/>
      <c r="K125" s="300"/>
      <c r="L125" s="300"/>
      <c r="M125" s="300"/>
      <c r="N125" s="300"/>
      <c r="O125" s="300"/>
      <c r="P125" s="300"/>
      <c r="Q125" s="300"/>
      <c r="R125" s="300"/>
      <c r="S125" s="300"/>
      <c r="T125" s="300"/>
      <c r="U125" s="300"/>
      <c r="V125" s="300"/>
      <c r="W125" s="300"/>
      <c r="X125" s="300"/>
      <c r="Y125" s="300"/>
      <c r="Z125" s="300"/>
      <c r="AA125" s="300"/>
      <c r="AB125" s="300"/>
      <c r="AC125" s="300"/>
      <c r="AD125" s="300"/>
      <c r="AE125" s="300"/>
      <c r="AF125" s="300"/>
      <c r="AG125" s="300"/>
      <c r="AH125" s="300"/>
      <c r="AI125" s="300"/>
      <c r="AJ125" s="300"/>
      <c r="AK125" s="300"/>
      <c r="AL125" s="300"/>
      <c r="AM125" s="300"/>
      <c r="AN125" s="300"/>
      <c r="AO125" s="300"/>
      <c r="AP125" s="300"/>
      <c r="AQ125" s="300"/>
      <c r="AR125" s="300"/>
      <c r="AS125" s="300"/>
      <c r="AT125" s="300"/>
      <c r="AU125" s="300"/>
      <c r="AV125" s="300"/>
      <c r="AW125" s="300"/>
      <c r="AX125" s="300"/>
      <c r="AY125" s="300"/>
      <c r="AZ125" s="300"/>
      <c r="BA125" s="300"/>
      <c r="BB125" s="300"/>
      <c r="BC125" s="300"/>
      <c r="BD125" s="300"/>
      <c r="BE125" s="300"/>
      <c r="BF125" s="300"/>
      <c r="BG125" s="300"/>
      <c r="BH125" s="300"/>
      <c r="BI125" s="300"/>
      <c r="BJ125" s="300"/>
      <c r="BK125" s="300"/>
      <c r="BL125" s="300"/>
      <c r="BM125" s="300"/>
      <c r="BN125" s="300"/>
      <c r="BO125" s="300"/>
      <c r="BP125" s="300"/>
      <c r="BQ125" s="300"/>
      <c r="BR125" s="300"/>
      <c r="BS125" s="300"/>
      <c r="BT125" s="300"/>
      <c r="BU125" s="300"/>
      <c r="BV125" s="300"/>
      <c r="BW125" s="300"/>
      <c r="BX125" s="300"/>
      <c r="BY125" s="300"/>
      <c r="BZ125" s="300"/>
      <c r="CA125" s="300"/>
      <c r="CB125" s="300"/>
      <c r="CC125" s="300"/>
      <c r="CD125" s="300"/>
      <c r="CE125" s="300"/>
      <c r="CF125" s="300"/>
      <c r="CG125" s="300"/>
      <c r="CH125" s="300"/>
      <c r="CI125" s="300"/>
      <c r="CJ125" s="300"/>
      <c r="CK125" s="300"/>
      <c r="CL125" s="300"/>
      <c r="CM125" s="300"/>
      <c r="CN125" s="300"/>
      <c r="CO125" s="300"/>
      <c r="CP125" s="300"/>
      <c r="CQ125" s="300"/>
      <c r="CR125" s="300"/>
      <c r="CS125" s="300"/>
      <c r="CT125" s="300"/>
      <c r="CU125" s="300"/>
      <c r="CV125" s="300"/>
      <c r="CW125" s="300"/>
      <c r="CX125" s="300"/>
      <c r="CY125" s="300"/>
      <c r="CZ125" s="300"/>
      <c r="DA125" s="300"/>
      <c r="DB125" s="300"/>
      <c r="DC125" s="300"/>
      <c r="DD125" s="300"/>
      <c r="DE125" s="300"/>
      <c r="DF125" s="300"/>
      <c r="DG125" s="300"/>
      <c r="DH125" s="300"/>
      <c r="DI125" s="300"/>
      <c r="DJ125" s="300"/>
      <c r="DK125" s="300"/>
      <c r="DL125" s="300"/>
      <c r="DM125" s="300"/>
      <c r="DN125" s="300"/>
      <c r="DO125" s="300"/>
      <c r="DP125" s="300"/>
      <c r="DQ125" s="300"/>
      <c r="DR125" s="300"/>
      <c r="DS125" s="300"/>
      <c r="DT125" s="300"/>
      <c r="DU125" s="300"/>
      <c r="DV125" s="300"/>
      <c r="DW125" s="300"/>
      <c r="DX125" s="300"/>
      <c r="DY125" s="300"/>
      <c r="DZ125" s="300"/>
      <c r="EA125" s="300"/>
      <c r="EB125" s="300"/>
      <c r="EC125" s="300"/>
      <c r="ED125" s="300"/>
      <c r="EE125" s="300"/>
      <c r="EF125" s="300"/>
      <c r="EG125" s="300"/>
      <c r="EH125" s="300"/>
      <c r="EI125" s="300"/>
      <c r="EJ125" s="300"/>
      <c r="EK125" s="300"/>
      <c r="EL125" s="300"/>
      <c r="EM125" s="300"/>
      <c r="EN125" s="300"/>
      <c r="EO125" s="300"/>
      <c r="EP125" s="300"/>
      <c r="EQ125" s="300"/>
      <c r="ER125" s="300"/>
      <c r="ES125" s="300"/>
      <c r="ET125" s="300"/>
      <c r="EU125" s="300"/>
      <c r="EV125" s="300"/>
      <c r="EW125" s="300"/>
      <c r="EX125" s="300"/>
      <c r="EY125" s="300"/>
      <c r="EZ125" s="300"/>
      <c r="FA125" s="300"/>
      <c r="FB125" s="300"/>
      <c r="FC125" s="300"/>
      <c r="FD125" s="300"/>
      <c r="FE125" s="300"/>
      <c r="FF125" s="300"/>
    </row>
    <row r="126" spans="1:162">
      <c r="H126" s="300"/>
      <c r="I126" s="300"/>
      <c r="J126" s="300"/>
      <c r="K126" s="300"/>
      <c r="L126" s="300"/>
      <c r="M126" s="300"/>
      <c r="N126" s="300"/>
      <c r="O126" s="300"/>
      <c r="P126" s="300"/>
      <c r="Q126" s="300"/>
      <c r="R126" s="300"/>
      <c r="S126" s="300"/>
      <c r="T126" s="300"/>
      <c r="U126" s="300"/>
      <c r="V126" s="300"/>
      <c r="W126" s="300"/>
      <c r="X126" s="300"/>
      <c r="Y126" s="300"/>
      <c r="Z126" s="300"/>
      <c r="AA126" s="300"/>
      <c r="AB126" s="300"/>
      <c r="AC126" s="300"/>
      <c r="AD126" s="300"/>
      <c r="AE126" s="300"/>
      <c r="AF126" s="300"/>
      <c r="AG126" s="300"/>
      <c r="AH126" s="300"/>
      <c r="AI126" s="300"/>
      <c r="AJ126" s="300"/>
      <c r="AK126" s="300"/>
      <c r="AL126" s="300"/>
      <c r="AM126" s="300"/>
      <c r="AN126" s="300"/>
      <c r="AO126" s="300"/>
      <c r="AP126" s="300"/>
      <c r="AQ126" s="300"/>
      <c r="AR126" s="300"/>
      <c r="AS126" s="300"/>
      <c r="AT126" s="300"/>
      <c r="AU126" s="300"/>
      <c r="AV126" s="300"/>
      <c r="AW126" s="300"/>
      <c r="AX126" s="300"/>
      <c r="AY126" s="300"/>
      <c r="AZ126" s="300"/>
      <c r="BA126" s="300"/>
      <c r="BB126" s="300"/>
      <c r="BC126" s="300"/>
      <c r="BD126" s="300"/>
      <c r="BE126" s="300"/>
      <c r="BF126" s="300"/>
      <c r="BG126" s="300"/>
      <c r="BH126" s="300"/>
      <c r="BI126" s="300"/>
      <c r="BJ126" s="300"/>
      <c r="BK126" s="300"/>
      <c r="BL126" s="300"/>
      <c r="BM126" s="300"/>
      <c r="BN126" s="300"/>
      <c r="BO126" s="300"/>
      <c r="BP126" s="300"/>
      <c r="BQ126" s="300"/>
      <c r="BR126" s="300"/>
      <c r="BS126" s="300"/>
      <c r="BT126" s="300"/>
      <c r="BU126" s="300"/>
      <c r="BV126" s="300"/>
      <c r="BW126" s="300"/>
      <c r="BX126" s="300"/>
      <c r="BY126" s="300"/>
      <c r="BZ126" s="300"/>
      <c r="CA126" s="300"/>
      <c r="CB126" s="300"/>
      <c r="CC126" s="300"/>
      <c r="CD126" s="300"/>
      <c r="CE126" s="300"/>
      <c r="CF126" s="300"/>
      <c r="CG126" s="300"/>
      <c r="CH126" s="300"/>
      <c r="CI126" s="300"/>
      <c r="CJ126" s="300"/>
      <c r="CK126" s="300"/>
      <c r="CL126" s="300"/>
      <c r="CM126" s="300"/>
      <c r="CN126" s="300"/>
      <c r="CO126" s="300"/>
      <c r="CP126" s="300"/>
      <c r="CQ126" s="300"/>
      <c r="CR126" s="300"/>
      <c r="CS126" s="300"/>
      <c r="CT126" s="300"/>
      <c r="CU126" s="300"/>
      <c r="CV126" s="300"/>
      <c r="CW126" s="300"/>
      <c r="CX126" s="300"/>
      <c r="CY126" s="300"/>
      <c r="CZ126" s="300"/>
      <c r="DA126" s="300"/>
      <c r="DB126" s="300"/>
      <c r="DC126" s="300"/>
      <c r="DD126" s="300"/>
      <c r="DE126" s="300"/>
      <c r="DF126" s="300"/>
      <c r="DG126" s="300"/>
      <c r="DH126" s="300"/>
      <c r="DI126" s="300"/>
      <c r="DJ126" s="300"/>
      <c r="DK126" s="300"/>
      <c r="DL126" s="300"/>
      <c r="DM126" s="300"/>
      <c r="DN126" s="300"/>
      <c r="DO126" s="300"/>
      <c r="DP126" s="300"/>
      <c r="DQ126" s="300"/>
      <c r="DR126" s="300"/>
      <c r="DS126" s="300"/>
      <c r="DT126" s="300"/>
      <c r="DU126" s="300"/>
      <c r="DV126" s="300"/>
      <c r="DW126" s="300"/>
      <c r="DX126" s="300"/>
      <c r="DY126" s="300"/>
      <c r="DZ126" s="300"/>
      <c r="EA126" s="300"/>
      <c r="EB126" s="300"/>
      <c r="EC126" s="300"/>
      <c r="ED126" s="300"/>
      <c r="EE126" s="300"/>
      <c r="EF126" s="300"/>
      <c r="EG126" s="300"/>
      <c r="EH126" s="300"/>
      <c r="EI126" s="300"/>
      <c r="EJ126" s="300"/>
      <c r="EK126" s="300"/>
      <c r="EL126" s="300"/>
      <c r="EM126" s="300"/>
      <c r="EN126" s="300"/>
      <c r="EO126" s="300"/>
      <c r="EP126" s="300"/>
      <c r="EQ126" s="300"/>
      <c r="ER126" s="300"/>
      <c r="ES126" s="300"/>
      <c r="ET126" s="300"/>
      <c r="EU126" s="300"/>
      <c r="EV126" s="300"/>
      <c r="EW126" s="300"/>
      <c r="EX126" s="300"/>
      <c r="EY126" s="300"/>
      <c r="EZ126" s="300"/>
      <c r="FA126" s="300"/>
      <c r="FB126" s="300"/>
      <c r="FC126" s="300"/>
      <c r="FD126" s="300"/>
      <c r="FE126" s="300"/>
      <c r="FF126" s="300"/>
    </row>
  </sheetData>
  <sheetProtection password="CC6F" sheet="1"/>
  <mergeCells count="5">
    <mergeCell ref="A1:G1"/>
    <mergeCell ref="A2:G2"/>
    <mergeCell ref="A3:G3"/>
    <mergeCell ref="H1:FF126"/>
    <mergeCell ref="A12:G125"/>
  </mergeCells>
  <hyperlinks>
    <hyperlink ref="G8" r:id="rId2" display="passgyl@163.com" tooltip="mailto:passgyl@163.com"/>
    <hyperlink ref="G9" r:id="rId3" display="300838195@qq.com"/>
    <hyperlink ref="G7" r:id="rId4" display="wl_jim@163.com" tooltip="mailto:wl_jim@163.com"/>
    <hyperlink ref="G11" r:id="rId4" display="wl_jim@163.com" tooltip="mailto:wl_jim@163.com"/>
  </hyperlinks>
  <printOptions horizontalCentered="1"/>
  <pageMargins left="0.393700787401575" right="0.393700787401575" top="0.393700787401575" bottom="0.196850393700787" header="0.511811023622047" footer="0.511811023622047"/>
  <pageSetup paperSize="9" scale="90" orientation="landscape"/>
  <headerFooter alignWithMargins="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00B0F0"/>
  </sheetPr>
  <dimension ref="A1:H51"/>
  <sheetViews>
    <sheetView tabSelected="1" zoomScale="70" zoomScaleNormal="70" workbookViewId="0">
      <selection activeCell="D6" sqref="D6"/>
    </sheetView>
  </sheetViews>
  <sheetFormatPr defaultColWidth="17.8684210526316" defaultRowHeight="33" customHeight="1" outlineLevelCol="7"/>
  <cols>
    <col min="1" max="1" width="42" style="182" customWidth="1"/>
    <col min="2" max="2" width="26.8684210526316" style="182" customWidth="1"/>
    <col min="3" max="6" width="15.8684210526316" style="182" customWidth="1"/>
    <col min="7" max="7" width="47.6666666666667" style="182" customWidth="1"/>
    <col min="8" max="8" width="37.3333333333333" style="182" customWidth="1"/>
    <col min="9" max="16374" width="17.8684210526316" style="182" customWidth="1"/>
    <col min="16375" max="16384" width="17.8684210526316" style="182"/>
  </cols>
  <sheetData>
    <row r="1" ht="48" customHeight="1" spans="1:8">
      <c r="A1" s="183"/>
      <c r="B1" s="183"/>
      <c r="C1" s="183"/>
      <c r="D1" s="183"/>
      <c r="E1" s="183"/>
      <c r="F1" s="183"/>
      <c r="G1" s="183"/>
      <c r="H1" s="183"/>
    </row>
    <row r="2" ht="78" customHeight="1" spans="1:8">
      <c r="A2" s="270" t="s">
        <v>88</v>
      </c>
      <c r="B2" s="271"/>
      <c r="C2" s="271"/>
      <c r="D2" s="271"/>
      <c r="E2" s="271"/>
      <c r="F2" s="271"/>
      <c r="G2" s="271"/>
      <c r="H2" s="271"/>
    </row>
    <row r="3" ht="36" customHeight="1" spans="1:8">
      <c r="A3" s="272" t="s">
        <v>49</v>
      </c>
      <c r="B3" s="273"/>
      <c r="C3" s="273"/>
      <c r="D3" s="273"/>
      <c r="E3" s="273"/>
      <c r="F3" s="273"/>
      <c r="G3" s="273"/>
      <c r="H3" s="274"/>
    </row>
    <row r="4" s="179" customFormat="1" ht="42" customHeight="1" spans="1:8">
      <c r="A4" s="275" t="s">
        <v>89</v>
      </c>
      <c r="B4" s="276" t="s">
        <v>90</v>
      </c>
      <c r="C4" s="277" t="s">
        <v>91</v>
      </c>
      <c r="D4" s="277" t="s">
        <v>92</v>
      </c>
      <c r="E4" s="277" t="s">
        <v>93</v>
      </c>
      <c r="F4" s="277" t="s">
        <v>94</v>
      </c>
      <c r="G4" s="277" t="s">
        <v>95</v>
      </c>
      <c r="H4" s="275" t="s">
        <v>45</v>
      </c>
    </row>
    <row r="5" s="179" customFormat="1" ht="44" customHeight="1" spans="1:8">
      <c r="A5" s="231" t="s">
        <v>96</v>
      </c>
      <c r="B5" s="278" t="s">
        <v>97</v>
      </c>
      <c r="C5" s="279">
        <v>62</v>
      </c>
      <c r="D5" s="279">
        <v>59</v>
      </c>
      <c r="E5" s="279">
        <v>56</v>
      </c>
      <c r="F5" s="280">
        <v>54</v>
      </c>
      <c r="G5" s="231" t="s">
        <v>98</v>
      </c>
      <c r="H5" s="231" t="s">
        <v>99</v>
      </c>
    </row>
    <row r="6" s="179" customFormat="1" ht="44" customHeight="1" spans="1:8">
      <c r="A6" s="231" t="s">
        <v>100</v>
      </c>
      <c r="B6" s="278"/>
      <c r="C6" s="279">
        <v>63</v>
      </c>
      <c r="D6" s="279">
        <v>60</v>
      </c>
      <c r="E6" s="279">
        <v>57</v>
      </c>
      <c r="F6" s="280">
        <v>55</v>
      </c>
      <c r="G6" s="231"/>
      <c r="H6" s="231"/>
    </row>
    <row r="7" s="179" customFormat="1" ht="45" customHeight="1" spans="1:8">
      <c r="A7" s="239" t="s">
        <v>101</v>
      </c>
      <c r="B7" s="278"/>
      <c r="C7" s="279">
        <v>64</v>
      </c>
      <c r="D7" s="279">
        <v>61</v>
      </c>
      <c r="E7" s="279">
        <v>58</v>
      </c>
      <c r="F7" s="280">
        <v>56</v>
      </c>
      <c r="G7" s="231"/>
      <c r="H7" s="231"/>
    </row>
    <row r="8" s="179" customFormat="1" ht="14" customHeight="1" spans="1:8">
      <c r="A8" s="281"/>
      <c r="B8" s="282"/>
      <c r="C8" s="282"/>
      <c r="D8" s="282"/>
      <c r="E8" s="282"/>
      <c r="F8" s="282"/>
      <c r="G8" s="283"/>
      <c r="H8" s="284"/>
    </row>
    <row r="9" s="179" customFormat="1" ht="44" customHeight="1" spans="1:8">
      <c r="A9" s="231" t="s">
        <v>96</v>
      </c>
      <c r="B9" s="278" t="s">
        <v>102</v>
      </c>
      <c r="C9" s="279">
        <v>60</v>
      </c>
      <c r="D9" s="279">
        <v>57</v>
      </c>
      <c r="E9" s="279">
        <v>54</v>
      </c>
      <c r="F9" s="280">
        <v>52</v>
      </c>
      <c r="G9" s="231" t="s">
        <v>103</v>
      </c>
      <c r="H9" s="231" t="s">
        <v>99</v>
      </c>
    </row>
    <row r="10" s="179" customFormat="1" ht="44" customHeight="1" spans="1:8">
      <c r="A10" s="231" t="s">
        <v>100</v>
      </c>
      <c r="B10" s="278"/>
      <c r="C10" s="279">
        <v>61</v>
      </c>
      <c r="D10" s="279">
        <v>58</v>
      </c>
      <c r="E10" s="279">
        <v>55</v>
      </c>
      <c r="F10" s="280">
        <v>53</v>
      </c>
      <c r="G10" s="231"/>
      <c r="H10" s="231"/>
    </row>
    <row r="11" s="179" customFormat="1" ht="44" customHeight="1" spans="1:8">
      <c r="A11" s="239" t="s">
        <v>101</v>
      </c>
      <c r="B11" s="278"/>
      <c r="C11" s="279">
        <v>62</v>
      </c>
      <c r="D11" s="279">
        <v>59</v>
      </c>
      <c r="E11" s="279">
        <v>56</v>
      </c>
      <c r="F11" s="280">
        <v>54</v>
      </c>
      <c r="G11" s="231"/>
      <c r="H11" s="231"/>
    </row>
    <row r="12" s="179" customFormat="1" ht="14" hidden="1" customHeight="1" spans="1:8">
      <c r="A12" s="281"/>
      <c r="B12" s="282"/>
      <c r="C12" s="282"/>
      <c r="D12" s="282"/>
      <c r="E12" s="282"/>
      <c r="F12" s="282"/>
      <c r="G12" s="283"/>
      <c r="H12" s="284"/>
    </row>
    <row r="13" s="179" customFormat="1" ht="44" hidden="1" customHeight="1" spans="1:8">
      <c r="A13" s="231" t="s">
        <v>96</v>
      </c>
      <c r="B13" s="278" t="s">
        <v>104</v>
      </c>
      <c r="C13" s="279" t="s">
        <v>105</v>
      </c>
      <c r="D13" s="279" t="s">
        <v>105</v>
      </c>
      <c r="E13" s="279" t="s">
        <v>105</v>
      </c>
      <c r="F13" s="280" t="s">
        <v>105</v>
      </c>
      <c r="G13" s="231" t="s">
        <v>106</v>
      </c>
      <c r="H13" s="231" t="s">
        <v>107</v>
      </c>
    </row>
    <row r="14" s="179" customFormat="1" ht="44" hidden="1" customHeight="1" spans="1:8">
      <c r="A14" s="231" t="s">
        <v>100</v>
      </c>
      <c r="B14" s="278"/>
      <c r="C14" s="279" t="s">
        <v>105</v>
      </c>
      <c r="D14" s="279" t="s">
        <v>105</v>
      </c>
      <c r="E14" s="279" t="s">
        <v>105</v>
      </c>
      <c r="F14" s="280" t="s">
        <v>105</v>
      </c>
      <c r="G14" s="231"/>
      <c r="H14" s="231"/>
    </row>
    <row r="15" s="179" customFormat="1" ht="44" hidden="1" customHeight="1" spans="1:8">
      <c r="A15" s="239" t="s">
        <v>101</v>
      </c>
      <c r="B15" s="278"/>
      <c r="C15" s="279" t="s">
        <v>105</v>
      </c>
      <c r="D15" s="279" t="s">
        <v>105</v>
      </c>
      <c r="E15" s="279" t="s">
        <v>105</v>
      </c>
      <c r="F15" s="280" t="s">
        <v>105</v>
      </c>
      <c r="G15" s="231"/>
      <c r="H15" s="231"/>
    </row>
    <row r="16" s="179" customFormat="1" ht="14" customHeight="1" spans="1:8">
      <c r="A16" s="281"/>
      <c r="B16" s="282"/>
      <c r="C16" s="282"/>
      <c r="D16" s="282"/>
      <c r="E16" s="282"/>
      <c r="F16" s="282"/>
      <c r="G16" s="283"/>
      <c r="H16" s="284"/>
    </row>
    <row r="17" s="179" customFormat="1" ht="44" customHeight="1" spans="1:8">
      <c r="A17" s="231" t="s">
        <v>96</v>
      </c>
      <c r="B17" s="278" t="s">
        <v>108</v>
      </c>
      <c r="C17" s="279">
        <v>60</v>
      </c>
      <c r="D17" s="279">
        <v>57</v>
      </c>
      <c r="E17" s="279">
        <v>54</v>
      </c>
      <c r="F17" s="280">
        <v>52</v>
      </c>
      <c r="G17" s="231" t="s">
        <v>103</v>
      </c>
      <c r="H17" s="231" t="s">
        <v>107</v>
      </c>
    </row>
    <row r="18" s="179" customFormat="1" ht="44" customHeight="1" spans="1:8">
      <c r="A18" s="231" t="s">
        <v>100</v>
      </c>
      <c r="B18" s="278"/>
      <c r="C18" s="279">
        <v>61</v>
      </c>
      <c r="D18" s="279">
        <v>58</v>
      </c>
      <c r="E18" s="279">
        <v>55</v>
      </c>
      <c r="F18" s="280">
        <v>53</v>
      </c>
      <c r="G18" s="231"/>
      <c r="H18" s="231"/>
    </row>
    <row r="19" s="179" customFormat="1" ht="44" customHeight="1" spans="1:8">
      <c r="A19" s="239" t="s">
        <v>101</v>
      </c>
      <c r="B19" s="278"/>
      <c r="C19" s="279">
        <v>62</v>
      </c>
      <c r="D19" s="279">
        <v>59</v>
      </c>
      <c r="E19" s="279">
        <v>56</v>
      </c>
      <c r="F19" s="280">
        <v>54</v>
      </c>
      <c r="G19" s="231"/>
      <c r="H19" s="231"/>
    </row>
    <row r="20" s="179" customFormat="1" ht="15" customHeight="1" spans="1:8">
      <c r="A20" s="281"/>
      <c r="B20" s="282"/>
      <c r="C20" s="282"/>
      <c r="D20" s="282"/>
      <c r="E20" s="282"/>
      <c r="F20" s="282"/>
      <c r="G20" s="283"/>
      <c r="H20" s="284"/>
    </row>
    <row r="21" s="179" customFormat="1" ht="44" customHeight="1" spans="1:8">
      <c r="A21" s="231" t="s">
        <v>96</v>
      </c>
      <c r="B21" s="278" t="s">
        <v>109</v>
      </c>
      <c r="C21" s="279">
        <v>62</v>
      </c>
      <c r="D21" s="279">
        <v>59</v>
      </c>
      <c r="E21" s="279">
        <v>56</v>
      </c>
      <c r="F21" s="280">
        <v>54</v>
      </c>
      <c r="G21" s="231" t="s">
        <v>103</v>
      </c>
      <c r="H21" s="231" t="s">
        <v>110</v>
      </c>
    </row>
    <row r="22" s="179" customFormat="1" ht="44" customHeight="1" spans="1:8">
      <c r="A22" s="231" t="s">
        <v>100</v>
      </c>
      <c r="B22" s="278"/>
      <c r="C22" s="279">
        <v>63</v>
      </c>
      <c r="D22" s="279">
        <v>60</v>
      </c>
      <c r="E22" s="279">
        <v>57</v>
      </c>
      <c r="F22" s="280">
        <v>55</v>
      </c>
      <c r="G22" s="231"/>
      <c r="H22" s="231"/>
    </row>
    <row r="23" s="179" customFormat="1" ht="44" customHeight="1" spans="1:8">
      <c r="A23" s="239" t="s">
        <v>101</v>
      </c>
      <c r="B23" s="285"/>
      <c r="C23" s="279">
        <v>64</v>
      </c>
      <c r="D23" s="279">
        <v>61</v>
      </c>
      <c r="E23" s="279">
        <v>58</v>
      </c>
      <c r="F23" s="280">
        <v>56</v>
      </c>
      <c r="G23" s="231"/>
      <c r="H23" s="286"/>
    </row>
    <row r="24" ht="50" customHeight="1" spans="1:8">
      <c r="A24" s="287" t="s">
        <v>111</v>
      </c>
      <c r="B24" s="288"/>
      <c r="C24" s="288"/>
      <c r="D24" s="288"/>
      <c r="E24" s="288"/>
      <c r="F24" s="288"/>
      <c r="G24" s="288"/>
      <c r="H24" s="288"/>
    </row>
    <row r="25" ht="71" customHeight="1" spans="1:8">
      <c r="A25" s="206" t="s">
        <v>112</v>
      </c>
      <c r="B25" s="206"/>
      <c r="C25" s="206"/>
      <c r="D25" s="206"/>
      <c r="E25" s="206"/>
      <c r="F25" s="206"/>
      <c r="G25" s="289"/>
      <c r="H25" s="289"/>
    </row>
    <row r="26" customHeight="1" spans="1:8">
      <c r="A26" s="256" t="s">
        <v>113</v>
      </c>
      <c r="B26" s="256"/>
      <c r="C26" s="256"/>
      <c r="D26" s="256"/>
      <c r="E26" s="256"/>
      <c r="F26" s="256"/>
      <c r="G26" s="290"/>
      <c r="H26" s="290"/>
    </row>
    <row r="27" customHeight="1" spans="1:8">
      <c r="A27" s="250" t="s">
        <v>114</v>
      </c>
      <c r="B27" s="250"/>
      <c r="C27" s="250"/>
      <c r="D27" s="250"/>
      <c r="E27" s="250"/>
      <c r="F27" s="250"/>
      <c r="G27" s="250"/>
      <c r="H27" s="250"/>
    </row>
    <row r="28" customHeight="1" spans="1:8">
      <c r="A28" s="249" t="s">
        <v>115</v>
      </c>
      <c r="B28" s="249"/>
      <c r="C28" s="249"/>
      <c r="D28" s="249"/>
      <c r="E28" s="249"/>
      <c r="F28" s="249"/>
      <c r="G28" s="249"/>
      <c r="H28" s="249"/>
    </row>
    <row r="29" customHeight="1" spans="1:8">
      <c r="A29" s="250" t="s">
        <v>116</v>
      </c>
      <c r="B29" s="250"/>
      <c r="C29" s="250"/>
      <c r="D29" s="250"/>
      <c r="E29" s="250"/>
      <c r="F29" s="250"/>
      <c r="G29" s="250"/>
      <c r="H29" s="250"/>
    </row>
    <row r="30" customHeight="1" spans="1:8">
      <c r="A30" s="250" t="s">
        <v>117</v>
      </c>
      <c r="B30" s="250"/>
      <c r="C30" s="250"/>
      <c r="D30" s="250"/>
      <c r="E30" s="250"/>
      <c r="F30" s="250"/>
      <c r="G30" s="250"/>
      <c r="H30" s="250"/>
    </row>
    <row r="31" ht="40.05" customHeight="1" spans="1:8">
      <c r="A31" s="249" t="s">
        <v>118</v>
      </c>
      <c r="B31" s="249"/>
      <c r="C31" s="249"/>
      <c r="D31" s="249"/>
      <c r="E31" s="249"/>
      <c r="F31" s="249"/>
      <c r="G31" s="249"/>
      <c r="H31" s="249"/>
    </row>
    <row r="32" customHeight="1" spans="1:8">
      <c r="A32" s="250" t="s">
        <v>119</v>
      </c>
      <c r="B32" s="250"/>
      <c r="C32" s="250"/>
      <c r="D32" s="250"/>
      <c r="E32" s="250"/>
      <c r="F32" s="250"/>
      <c r="G32" s="250"/>
      <c r="H32" s="250"/>
    </row>
    <row r="33" ht="39" customHeight="1" spans="1:8">
      <c r="A33" s="250" t="s">
        <v>120</v>
      </c>
      <c r="B33" s="250"/>
      <c r="C33" s="250"/>
      <c r="D33" s="250"/>
      <c r="E33" s="250"/>
      <c r="F33" s="250"/>
      <c r="G33" s="250"/>
      <c r="H33" s="250"/>
    </row>
    <row r="34" customHeight="1" spans="1:8">
      <c r="A34" s="254" t="s">
        <v>121</v>
      </c>
      <c r="B34" s="254"/>
      <c r="C34" s="254"/>
      <c r="D34" s="254"/>
      <c r="E34" s="254"/>
      <c r="F34" s="254"/>
      <c r="G34" s="291"/>
      <c r="H34" s="291"/>
    </row>
    <row r="35" ht="76.05" customHeight="1" spans="1:8">
      <c r="A35" s="255" t="s">
        <v>122</v>
      </c>
      <c r="B35" s="255"/>
      <c r="C35" s="255"/>
      <c r="D35" s="255"/>
      <c r="E35" s="255"/>
      <c r="F35" s="255"/>
      <c r="G35" s="250"/>
      <c r="H35" s="250"/>
    </row>
    <row r="36" customHeight="1" spans="1:8">
      <c r="A36" s="256" t="s">
        <v>123</v>
      </c>
      <c r="B36" s="256"/>
      <c r="C36" s="256"/>
      <c r="D36" s="256"/>
      <c r="E36" s="256"/>
      <c r="F36" s="256"/>
      <c r="G36" s="290"/>
      <c r="H36" s="290"/>
    </row>
    <row r="37" customHeight="1" spans="1:8">
      <c r="A37" s="257" t="s">
        <v>124</v>
      </c>
      <c r="B37" s="257"/>
      <c r="C37" s="257"/>
      <c r="D37" s="257"/>
      <c r="E37" s="257"/>
      <c r="F37" s="257"/>
      <c r="G37" s="257"/>
      <c r="H37" s="257"/>
    </row>
    <row r="38" customHeight="1" spans="1:8">
      <c r="A38" s="250" t="s">
        <v>125</v>
      </c>
      <c r="B38" s="250"/>
      <c r="C38" s="250"/>
      <c r="D38" s="250"/>
      <c r="E38" s="250"/>
      <c r="F38" s="250"/>
      <c r="G38" s="250"/>
      <c r="H38" s="250"/>
    </row>
    <row r="39" customHeight="1" spans="1:8">
      <c r="A39" s="250" t="s">
        <v>126</v>
      </c>
      <c r="B39" s="250"/>
      <c r="C39" s="250"/>
      <c r="D39" s="250"/>
      <c r="E39" s="250"/>
      <c r="F39" s="250"/>
      <c r="G39" s="250"/>
      <c r="H39" s="250"/>
    </row>
    <row r="40" customHeight="1" spans="1:8">
      <c r="A40" s="258" t="s">
        <v>127</v>
      </c>
      <c r="B40" s="258"/>
      <c r="C40" s="258"/>
      <c r="D40" s="258"/>
      <c r="E40" s="258"/>
      <c r="F40" s="258"/>
      <c r="G40" s="292"/>
      <c r="H40" s="292"/>
    </row>
    <row r="41" customHeight="1" spans="1:8">
      <c r="A41" s="258" t="s">
        <v>128</v>
      </c>
      <c r="B41" s="258"/>
      <c r="C41" s="258"/>
      <c r="D41" s="258"/>
      <c r="E41" s="258"/>
      <c r="F41" s="258"/>
      <c r="G41" s="292"/>
      <c r="H41" s="292"/>
    </row>
    <row r="42" customHeight="1" spans="1:8">
      <c r="A42" s="259" t="s">
        <v>129</v>
      </c>
      <c r="B42" s="259"/>
      <c r="C42" s="259"/>
      <c r="D42" s="259"/>
      <c r="E42" s="259"/>
      <c r="F42" s="259"/>
      <c r="G42" s="259"/>
      <c r="H42" s="259"/>
    </row>
    <row r="43" ht="93" customHeight="1" spans="1:8">
      <c r="A43" s="260" t="s">
        <v>130</v>
      </c>
      <c r="B43" s="261"/>
      <c r="C43" s="261"/>
      <c r="D43" s="261"/>
      <c r="E43" s="261"/>
      <c r="F43" s="261"/>
      <c r="G43" s="261"/>
      <c r="H43" s="262"/>
    </row>
    <row r="44" customHeight="1" spans="1:8">
      <c r="A44" s="263" t="s">
        <v>131</v>
      </c>
      <c r="B44" s="263"/>
      <c r="C44" s="263"/>
      <c r="D44" s="263"/>
      <c r="E44" s="263"/>
      <c r="F44" s="263"/>
      <c r="G44" s="290"/>
      <c r="H44" s="290"/>
    </row>
    <row r="45" customHeight="1" spans="1:8">
      <c r="A45" s="293" t="s">
        <v>132</v>
      </c>
      <c r="B45" s="294" t="s">
        <v>133</v>
      </c>
      <c r="C45" s="294"/>
      <c r="D45" s="294"/>
      <c r="E45" s="294"/>
      <c r="F45" s="294"/>
      <c r="G45" s="265"/>
      <c r="H45" s="265"/>
    </row>
    <row r="46" ht="51" customHeight="1" spans="1:8">
      <c r="A46" s="293" t="s">
        <v>134</v>
      </c>
      <c r="B46" s="266" t="s">
        <v>135</v>
      </c>
      <c r="C46" s="266"/>
      <c r="D46" s="266"/>
      <c r="E46" s="266"/>
      <c r="F46" s="266"/>
      <c r="G46" s="266"/>
      <c r="H46" s="266"/>
    </row>
    <row r="47" ht="51" customHeight="1" spans="1:8">
      <c r="A47" s="293"/>
      <c r="B47" s="266" t="s">
        <v>136</v>
      </c>
      <c r="C47" s="266"/>
      <c r="D47" s="266"/>
      <c r="E47" s="266"/>
      <c r="F47" s="266"/>
      <c r="G47" s="266"/>
      <c r="H47" s="266"/>
    </row>
    <row r="48" customHeight="1" spans="1:8">
      <c r="A48" s="295" t="s">
        <v>137</v>
      </c>
      <c r="B48" s="266" t="s">
        <v>138</v>
      </c>
      <c r="C48" s="266"/>
      <c r="D48" s="266"/>
      <c r="E48" s="266"/>
      <c r="F48" s="266"/>
      <c r="G48" s="266"/>
      <c r="H48" s="266"/>
    </row>
    <row r="49" customHeight="1" spans="1:8">
      <c r="A49" s="256" t="s">
        <v>139</v>
      </c>
      <c r="B49" s="256"/>
      <c r="C49" s="256"/>
      <c r="D49" s="256"/>
      <c r="E49" s="256"/>
      <c r="F49" s="256"/>
      <c r="G49" s="290"/>
      <c r="H49" s="290"/>
    </row>
    <row r="50" ht="105" customHeight="1" spans="1:8">
      <c r="A50" s="268" t="s">
        <v>140</v>
      </c>
      <c r="B50" s="268"/>
      <c r="C50" s="268"/>
      <c r="D50" s="268"/>
      <c r="E50" s="268"/>
      <c r="F50" s="268"/>
      <c r="G50" s="268"/>
      <c r="H50" s="268"/>
    </row>
    <row r="51" s="181" customFormat="1" customHeight="1" spans="1:8">
      <c r="A51" s="296" t="s">
        <v>141</v>
      </c>
      <c r="B51" s="296"/>
      <c r="C51" s="296"/>
      <c r="D51" s="296"/>
      <c r="E51" s="296"/>
      <c r="F51" s="296"/>
      <c r="G51" s="297"/>
      <c r="H51" s="297"/>
    </row>
  </sheetData>
  <sheetProtection formatCells="0" formatColumns="0" formatRows="0" insertRows="0" insertColumns="0" insertHyperlinks="0" deleteColumns="0" deleteRows="0" sort="0" autoFilter="0" pivotTables="0"/>
  <mergeCells count="50">
    <mergeCell ref="A2:H2"/>
    <mergeCell ref="A3:H3"/>
    <mergeCell ref="A8:H8"/>
    <mergeCell ref="A12:H12"/>
    <mergeCell ref="A16:H16"/>
    <mergeCell ref="A20:H20"/>
    <mergeCell ref="A24:H24"/>
    <mergeCell ref="A25:H25"/>
    <mergeCell ref="A26:H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 ref="B45:H45"/>
    <mergeCell ref="B46:H46"/>
    <mergeCell ref="B47:H47"/>
    <mergeCell ref="B48:H48"/>
    <mergeCell ref="A49:H49"/>
    <mergeCell ref="A50:H50"/>
    <mergeCell ref="A51:H51"/>
    <mergeCell ref="A46:A47"/>
    <mergeCell ref="B5:B7"/>
    <mergeCell ref="B9:B11"/>
    <mergeCell ref="B13:B15"/>
    <mergeCell ref="B17:B19"/>
    <mergeCell ref="B21:B23"/>
    <mergeCell ref="G5:G7"/>
    <mergeCell ref="G9:G11"/>
    <mergeCell ref="G13:G15"/>
    <mergeCell ref="G17:G19"/>
    <mergeCell ref="G21:G23"/>
    <mergeCell ref="H5:H7"/>
    <mergeCell ref="H9:H11"/>
    <mergeCell ref="H13:H15"/>
    <mergeCell ref="H17:H19"/>
    <mergeCell ref="H21:H23"/>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2" tint="-0.249977111117893"/>
  </sheetPr>
  <dimension ref="A1:DL79"/>
  <sheetViews>
    <sheetView zoomScale="70" zoomScaleNormal="70" workbookViewId="0">
      <selection activeCell="B8" sqref="B8:D8"/>
    </sheetView>
  </sheetViews>
  <sheetFormatPr defaultColWidth="9" defaultRowHeight="14.95"/>
  <cols>
    <col min="1" max="1" width="50" style="221" customWidth="1"/>
    <col min="2" max="2" width="25.5350877192982" style="221" customWidth="1"/>
    <col min="3" max="3" width="17.6666666666667" style="221" customWidth="1"/>
    <col min="4" max="4" width="39.6666666666667" style="221" customWidth="1"/>
    <col min="5" max="5" width="49.9824561403509" style="221" customWidth="1"/>
    <col min="6" max="16384" width="9" style="221"/>
  </cols>
  <sheetData>
    <row r="1" ht="52.05" customHeight="1" spans="1:116">
      <c r="A1" s="222"/>
      <c r="B1" s="222"/>
      <c r="C1" s="222"/>
      <c r="D1" s="222"/>
      <c r="F1" s="182"/>
      <c r="G1" s="182"/>
      <c r="H1" s="182"/>
      <c r="I1" s="182"/>
      <c r="J1" s="182"/>
      <c r="K1" s="182"/>
      <c r="L1" s="182"/>
      <c r="M1" s="182"/>
      <c r="N1" s="182"/>
      <c r="O1" s="182"/>
      <c r="P1" s="182"/>
      <c r="Q1" s="182"/>
      <c r="R1" s="182"/>
      <c r="S1" s="182"/>
      <c r="T1" s="182"/>
      <c r="U1" s="182"/>
      <c r="V1" s="182"/>
      <c r="W1" s="182"/>
      <c r="X1" s="182"/>
      <c r="Y1" s="182"/>
      <c r="Z1" s="182"/>
      <c r="AA1" s="182"/>
      <c r="AB1" s="182"/>
      <c r="AC1" s="182"/>
      <c r="AD1" s="182"/>
      <c r="AE1" s="182"/>
      <c r="AF1" s="182"/>
      <c r="AG1" s="182"/>
      <c r="AH1" s="182"/>
      <c r="AI1" s="182"/>
      <c r="AJ1" s="182"/>
      <c r="AK1" s="182"/>
      <c r="AL1" s="182"/>
      <c r="AM1" s="182"/>
      <c r="AN1" s="182"/>
      <c r="AO1" s="182"/>
      <c r="AP1" s="182"/>
      <c r="AQ1" s="182"/>
      <c r="AR1" s="182"/>
      <c r="AS1" s="182"/>
      <c r="AT1" s="182"/>
      <c r="AU1" s="182"/>
      <c r="AV1" s="182"/>
      <c r="AW1" s="182"/>
      <c r="AX1" s="182"/>
      <c r="AY1" s="182"/>
      <c r="AZ1" s="182"/>
      <c r="BA1" s="182"/>
      <c r="BB1" s="182"/>
      <c r="BC1" s="182"/>
      <c r="BD1" s="182"/>
      <c r="BE1" s="182"/>
      <c r="BF1" s="182"/>
      <c r="BG1" s="182"/>
      <c r="BH1" s="182"/>
      <c r="BI1" s="182"/>
      <c r="BJ1" s="182"/>
      <c r="BK1" s="182"/>
      <c r="BL1" s="182"/>
      <c r="BM1" s="182"/>
      <c r="BN1" s="182"/>
      <c r="BO1" s="182"/>
      <c r="BP1" s="182"/>
      <c r="BQ1" s="182"/>
      <c r="BR1" s="182"/>
      <c r="BS1" s="182"/>
      <c r="BT1" s="182"/>
      <c r="BU1" s="182"/>
      <c r="BV1" s="182"/>
      <c r="BW1" s="182"/>
      <c r="BX1" s="182"/>
      <c r="BY1" s="182"/>
      <c r="BZ1" s="182"/>
      <c r="CA1" s="182"/>
      <c r="CB1" s="182"/>
      <c r="CC1" s="182"/>
      <c r="CD1" s="182"/>
      <c r="CE1" s="182"/>
      <c r="CF1" s="182"/>
      <c r="CG1" s="182"/>
      <c r="CH1" s="182"/>
      <c r="CI1" s="182"/>
      <c r="CJ1" s="182"/>
      <c r="CK1" s="182"/>
      <c r="CL1" s="182"/>
      <c r="CM1" s="182"/>
      <c r="CN1" s="182"/>
      <c r="CO1" s="182"/>
      <c r="CP1" s="182"/>
      <c r="CQ1" s="182"/>
      <c r="CR1" s="182"/>
      <c r="CS1" s="182"/>
      <c r="CT1" s="182"/>
      <c r="CU1" s="182"/>
      <c r="CV1" s="182"/>
      <c r="CW1" s="182"/>
      <c r="CX1" s="182"/>
      <c r="CY1" s="182"/>
      <c r="CZ1" s="182"/>
      <c r="DA1" s="182"/>
      <c r="DB1" s="182"/>
      <c r="DC1" s="182"/>
      <c r="DD1" s="182"/>
      <c r="DE1" s="182"/>
      <c r="DF1" s="182"/>
      <c r="DG1" s="182"/>
      <c r="DH1" s="182"/>
      <c r="DI1" s="182"/>
      <c r="DJ1" s="182"/>
      <c r="DK1" s="182"/>
      <c r="DL1" s="182"/>
    </row>
    <row r="2" ht="49.05" customHeight="1" spans="1:116">
      <c r="A2" s="223" t="s">
        <v>142</v>
      </c>
      <c r="B2" s="223"/>
      <c r="C2" s="223"/>
      <c r="D2" s="223"/>
      <c r="E2" s="223"/>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c r="AM2" s="182"/>
      <c r="AN2" s="182"/>
      <c r="AO2" s="182"/>
      <c r="AP2" s="182"/>
      <c r="AQ2" s="182"/>
      <c r="AR2" s="182"/>
      <c r="AS2" s="182"/>
      <c r="AT2" s="182"/>
      <c r="AU2" s="182"/>
      <c r="AV2" s="182"/>
      <c r="AW2" s="182"/>
      <c r="AX2" s="182"/>
      <c r="AY2" s="182"/>
      <c r="AZ2" s="182"/>
      <c r="BA2" s="182"/>
      <c r="BB2" s="182"/>
      <c r="BC2" s="182"/>
      <c r="BD2" s="182"/>
      <c r="BE2" s="182"/>
      <c r="BF2" s="182"/>
      <c r="BG2" s="182"/>
      <c r="BH2" s="182"/>
      <c r="BI2" s="182"/>
      <c r="BJ2" s="182"/>
      <c r="BK2" s="182"/>
      <c r="BL2" s="182"/>
      <c r="BM2" s="182"/>
      <c r="BN2" s="182"/>
      <c r="BO2" s="182"/>
      <c r="BP2" s="182"/>
      <c r="BQ2" s="182"/>
      <c r="BR2" s="182"/>
      <c r="BS2" s="182"/>
      <c r="BT2" s="182"/>
      <c r="BU2" s="182"/>
      <c r="BV2" s="182"/>
      <c r="BW2" s="182"/>
      <c r="BX2" s="182"/>
      <c r="BY2" s="182"/>
      <c r="BZ2" s="182"/>
      <c r="CA2" s="182"/>
      <c r="CB2" s="182"/>
      <c r="CC2" s="182"/>
      <c r="CD2" s="182"/>
      <c r="CE2" s="182"/>
      <c r="CF2" s="182"/>
      <c r="CG2" s="182"/>
      <c r="CH2" s="182"/>
      <c r="CI2" s="182"/>
      <c r="CJ2" s="182"/>
      <c r="CK2" s="182"/>
      <c r="CL2" s="182"/>
      <c r="CM2" s="182"/>
      <c r="CN2" s="182"/>
      <c r="CO2" s="182"/>
      <c r="CP2" s="182"/>
      <c r="CQ2" s="182"/>
      <c r="CR2" s="182"/>
      <c r="CS2" s="182"/>
      <c r="CT2" s="182"/>
      <c r="CU2" s="182"/>
      <c r="CV2" s="182"/>
      <c r="CW2" s="182"/>
      <c r="CX2" s="182"/>
      <c r="CY2" s="182"/>
      <c r="CZ2" s="182"/>
      <c r="DA2" s="182"/>
      <c r="DB2" s="182"/>
      <c r="DC2" s="182"/>
      <c r="DD2" s="182"/>
      <c r="DE2" s="182"/>
      <c r="DF2" s="182"/>
      <c r="DG2" s="182"/>
      <c r="DH2" s="182"/>
      <c r="DI2" s="182"/>
      <c r="DJ2" s="182"/>
      <c r="DK2" s="182"/>
      <c r="DL2" s="182"/>
    </row>
    <row r="3" ht="49.05" customHeight="1" spans="1:116">
      <c r="A3" s="224" t="s">
        <v>143</v>
      </c>
      <c r="B3" s="225"/>
      <c r="C3" s="225"/>
      <c r="D3" s="225"/>
      <c r="E3" s="226"/>
      <c r="F3" s="182"/>
      <c r="G3" s="182"/>
      <c r="H3" s="182"/>
      <c r="I3" s="182"/>
      <c r="J3" s="182"/>
      <c r="K3" s="182"/>
      <c r="L3" s="182"/>
      <c r="M3" s="182"/>
      <c r="N3" s="182"/>
      <c r="O3" s="182"/>
      <c r="P3" s="182"/>
      <c r="Q3" s="182"/>
      <c r="R3" s="182"/>
      <c r="S3" s="182"/>
      <c r="T3" s="182"/>
      <c r="U3" s="182"/>
      <c r="V3" s="182"/>
      <c r="W3" s="182"/>
      <c r="X3" s="182"/>
      <c r="Y3" s="182"/>
      <c r="Z3" s="182"/>
      <c r="AA3" s="182"/>
      <c r="AB3" s="182"/>
      <c r="AC3" s="182"/>
      <c r="AD3" s="182"/>
      <c r="AE3" s="182"/>
      <c r="AF3" s="182"/>
      <c r="AG3" s="182"/>
      <c r="AH3" s="182"/>
      <c r="AI3" s="182"/>
      <c r="AJ3" s="182"/>
      <c r="AK3" s="182"/>
      <c r="AL3" s="182"/>
      <c r="AM3" s="182"/>
      <c r="AN3" s="182"/>
      <c r="AO3" s="182"/>
      <c r="AP3" s="182"/>
      <c r="AQ3" s="182"/>
      <c r="AR3" s="182"/>
      <c r="AS3" s="182"/>
      <c r="AT3" s="182"/>
      <c r="AU3" s="182"/>
      <c r="AV3" s="182"/>
      <c r="AW3" s="182"/>
      <c r="AX3" s="182"/>
      <c r="AY3" s="182"/>
      <c r="AZ3" s="182"/>
      <c r="BA3" s="182"/>
      <c r="BB3" s="182"/>
      <c r="BC3" s="182"/>
      <c r="BD3" s="182"/>
      <c r="BE3" s="182"/>
      <c r="BF3" s="182"/>
      <c r="BG3" s="182"/>
      <c r="BH3" s="182"/>
      <c r="BI3" s="182"/>
      <c r="BJ3" s="182"/>
      <c r="BK3" s="182"/>
      <c r="BL3" s="182"/>
      <c r="BM3" s="182"/>
      <c r="BN3" s="182"/>
      <c r="BO3" s="182"/>
      <c r="BP3" s="182"/>
      <c r="BQ3" s="182"/>
      <c r="BR3" s="182"/>
      <c r="BS3" s="182"/>
      <c r="BT3" s="182"/>
      <c r="BU3" s="182"/>
      <c r="BV3" s="182"/>
      <c r="BW3" s="182"/>
      <c r="BX3" s="182"/>
      <c r="BY3" s="182"/>
      <c r="BZ3" s="182"/>
      <c r="CA3" s="182"/>
      <c r="CB3" s="182"/>
      <c r="CC3" s="182"/>
      <c r="CD3" s="182"/>
      <c r="CE3" s="182"/>
      <c r="CF3" s="182"/>
      <c r="CG3" s="182"/>
      <c r="CH3" s="182"/>
      <c r="CI3" s="182"/>
      <c r="CJ3" s="182"/>
      <c r="CK3" s="182"/>
      <c r="CL3" s="182"/>
      <c r="CM3" s="182"/>
      <c r="CN3" s="182"/>
      <c r="CO3" s="182"/>
      <c r="CP3" s="182"/>
      <c r="CQ3" s="182"/>
      <c r="CR3" s="182"/>
      <c r="CS3" s="182"/>
      <c r="CT3" s="182"/>
      <c r="CU3" s="182"/>
      <c r="CV3" s="182"/>
      <c r="CW3" s="182"/>
      <c r="CX3" s="182"/>
      <c r="CY3" s="182"/>
      <c r="CZ3" s="182"/>
      <c r="DA3" s="182"/>
      <c r="DB3" s="182"/>
      <c r="DC3" s="182"/>
      <c r="DD3" s="182"/>
      <c r="DE3" s="182"/>
      <c r="DF3" s="182"/>
      <c r="DG3" s="182"/>
      <c r="DH3" s="182"/>
      <c r="DI3" s="182"/>
      <c r="DJ3" s="182"/>
      <c r="DK3" s="182"/>
      <c r="DL3" s="182"/>
    </row>
    <row r="4" ht="36" customHeight="1" spans="1:116">
      <c r="A4" s="227" t="s">
        <v>144</v>
      </c>
      <c r="B4" s="228" t="s">
        <v>145</v>
      </c>
      <c r="C4" s="229"/>
      <c r="D4" s="229"/>
      <c r="E4" s="230" t="s">
        <v>45</v>
      </c>
      <c r="F4" s="182"/>
      <c r="G4" s="182"/>
      <c r="H4" s="182"/>
      <c r="I4" s="182"/>
      <c r="J4" s="182"/>
      <c r="K4" s="182"/>
      <c r="L4" s="182"/>
      <c r="M4" s="182"/>
      <c r="N4" s="182"/>
      <c r="O4" s="182"/>
      <c r="P4" s="182"/>
      <c r="Q4" s="182"/>
      <c r="R4" s="182"/>
      <c r="S4" s="182"/>
      <c r="T4" s="182"/>
      <c r="U4" s="182"/>
      <c r="V4" s="182"/>
      <c r="W4" s="182"/>
      <c r="X4" s="182"/>
      <c r="Y4" s="182"/>
      <c r="Z4" s="182"/>
      <c r="AA4" s="182"/>
      <c r="AB4" s="182"/>
      <c r="AC4" s="182"/>
      <c r="AD4" s="182"/>
      <c r="AE4" s="182"/>
      <c r="AF4" s="182"/>
      <c r="AG4" s="182"/>
      <c r="AH4" s="182"/>
      <c r="AI4" s="182"/>
      <c r="AJ4" s="182"/>
      <c r="AK4" s="182"/>
      <c r="AL4" s="182"/>
      <c r="AM4" s="182"/>
      <c r="AN4" s="182"/>
      <c r="AO4" s="182"/>
      <c r="AP4" s="182"/>
      <c r="AQ4" s="182"/>
      <c r="AR4" s="182"/>
      <c r="AS4" s="182"/>
      <c r="AT4" s="182"/>
      <c r="AU4" s="182"/>
      <c r="AV4" s="182"/>
      <c r="AW4" s="182"/>
      <c r="AX4" s="182"/>
      <c r="AY4" s="182"/>
      <c r="AZ4" s="182"/>
      <c r="BA4" s="182"/>
      <c r="BB4" s="182"/>
      <c r="BC4" s="182"/>
      <c r="BD4" s="182"/>
      <c r="BE4" s="182"/>
      <c r="BF4" s="182"/>
      <c r="BG4" s="182"/>
      <c r="BH4" s="182"/>
      <c r="BI4" s="182"/>
      <c r="BJ4" s="182"/>
      <c r="BK4" s="182"/>
      <c r="BL4" s="182"/>
      <c r="BM4" s="182"/>
      <c r="BN4" s="182"/>
      <c r="BO4" s="182"/>
      <c r="BP4" s="182"/>
      <c r="BQ4" s="182"/>
      <c r="BR4" s="182"/>
      <c r="BS4" s="182"/>
      <c r="BT4" s="182"/>
      <c r="BU4" s="182"/>
      <c r="BV4" s="182"/>
      <c r="BW4" s="182"/>
      <c r="BX4" s="182"/>
      <c r="BY4" s="182"/>
      <c r="BZ4" s="182"/>
      <c r="CA4" s="182"/>
      <c r="CB4" s="182"/>
      <c r="CC4" s="182"/>
      <c r="CD4" s="182"/>
      <c r="CE4" s="182"/>
      <c r="CF4" s="182"/>
      <c r="CG4" s="182"/>
      <c r="CH4" s="182"/>
      <c r="CI4" s="182"/>
      <c r="CJ4" s="182"/>
      <c r="CK4" s="182"/>
      <c r="CL4" s="182"/>
      <c r="CM4" s="182"/>
      <c r="CN4" s="182"/>
      <c r="CO4" s="182"/>
      <c r="CP4" s="182"/>
      <c r="CQ4" s="182"/>
      <c r="CR4" s="182"/>
      <c r="CS4" s="182"/>
      <c r="CT4" s="182"/>
      <c r="CU4" s="182"/>
      <c r="CV4" s="182"/>
      <c r="CW4" s="182"/>
      <c r="CX4" s="182"/>
      <c r="CY4" s="182"/>
      <c r="CZ4" s="182"/>
      <c r="DA4" s="182"/>
      <c r="DB4" s="182"/>
      <c r="DC4" s="182"/>
      <c r="DD4" s="182"/>
      <c r="DE4" s="182"/>
      <c r="DF4" s="182"/>
      <c r="DG4" s="182"/>
      <c r="DH4" s="182"/>
      <c r="DI4" s="182"/>
      <c r="DJ4" s="182"/>
      <c r="DK4" s="182"/>
      <c r="DL4" s="182"/>
    </row>
    <row r="5" ht="44" customHeight="1" spans="1:116">
      <c r="A5" s="231" t="s">
        <v>96</v>
      </c>
      <c r="B5" s="232">
        <v>63</v>
      </c>
      <c r="C5" s="233"/>
      <c r="D5" s="234" t="s">
        <v>146</v>
      </c>
      <c r="E5" s="235" t="s">
        <v>147</v>
      </c>
      <c r="F5" s="182"/>
      <c r="G5" s="182"/>
      <c r="H5" s="182"/>
      <c r="I5" s="182"/>
      <c r="J5" s="182"/>
      <c r="K5" s="182"/>
      <c r="L5" s="182"/>
      <c r="M5" s="182"/>
      <c r="N5" s="182"/>
      <c r="O5" s="182"/>
      <c r="P5" s="182"/>
      <c r="Q5" s="182"/>
      <c r="R5" s="182"/>
      <c r="S5" s="182"/>
      <c r="T5" s="182"/>
      <c r="U5" s="182"/>
      <c r="V5" s="182"/>
      <c r="W5" s="182"/>
      <c r="X5" s="182"/>
      <c r="Y5" s="182"/>
      <c r="Z5" s="182"/>
      <c r="AA5" s="182"/>
      <c r="AB5" s="182"/>
      <c r="AC5" s="182"/>
      <c r="AD5" s="182"/>
      <c r="AE5" s="182"/>
      <c r="AF5" s="182"/>
      <c r="AG5" s="182"/>
      <c r="AH5" s="182"/>
      <c r="AI5" s="182"/>
      <c r="AJ5" s="182"/>
      <c r="AK5" s="182"/>
      <c r="AL5" s="182"/>
      <c r="AM5" s="182"/>
      <c r="AN5" s="182"/>
      <c r="AO5" s="182"/>
      <c r="AP5" s="182"/>
      <c r="AQ5" s="182"/>
      <c r="AR5" s="182"/>
      <c r="AS5" s="182"/>
      <c r="AT5" s="182"/>
      <c r="AU5" s="182"/>
      <c r="AV5" s="182"/>
      <c r="AW5" s="182"/>
      <c r="AX5" s="182"/>
      <c r="AY5" s="182"/>
      <c r="AZ5" s="182"/>
      <c r="BA5" s="182"/>
      <c r="BB5" s="182"/>
      <c r="BC5" s="182"/>
      <c r="BD5" s="182"/>
      <c r="BE5" s="182"/>
      <c r="BF5" s="182"/>
      <c r="BG5" s="182"/>
      <c r="BH5" s="182"/>
      <c r="BI5" s="182"/>
      <c r="BJ5" s="182"/>
      <c r="BK5" s="182"/>
      <c r="BL5" s="182"/>
      <c r="BM5" s="182"/>
      <c r="BN5" s="182"/>
      <c r="BO5" s="182"/>
      <c r="BP5" s="182"/>
      <c r="BQ5" s="182"/>
      <c r="BR5" s="182"/>
      <c r="BS5" s="182"/>
      <c r="BT5" s="182"/>
      <c r="BU5" s="182"/>
      <c r="BV5" s="182"/>
      <c r="BW5" s="182"/>
      <c r="BX5" s="182"/>
      <c r="BY5" s="182"/>
      <c r="BZ5" s="182"/>
      <c r="CA5" s="182"/>
      <c r="CB5" s="182"/>
      <c r="CC5" s="182"/>
      <c r="CD5" s="182"/>
      <c r="CE5" s="182"/>
      <c r="CF5" s="182"/>
      <c r="CG5" s="182"/>
      <c r="CH5" s="182"/>
      <c r="CI5" s="182"/>
      <c r="CJ5" s="182"/>
      <c r="CK5" s="182"/>
      <c r="CL5" s="182"/>
      <c r="CM5" s="182"/>
      <c r="CN5" s="182"/>
      <c r="CO5" s="182"/>
      <c r="CP5" s="182"/>
      <c r="CQ5" s="182"/>
      <c r="CR5" s="182"/>
      <c r="CS5" s="182"/>
      <c r="CT5" s="182"/>
      <c r="CU5" s="182"/>
      <c r="CV5" s="182"/>
      <c r="CW5" s="182"/>
      <c r="CX5" s="182"/>
      <c r="CY5" s="182"/>
      <c r="CZ5" s="182"/>
      <c r="DA5" s="182"/>
      <c r="DB5" s="182"/>
      <c r="DC5" s="182"/>
      <c r="DD5" s="182"/>
      <c r="DE5" s="182"/>
      <c r="DF5" s="182"/>
      <c r="DG5" s="182"/>
      <c r="DH5" s="182"/>
      <c r="DI5" s="182"/>
      <c r="DJ5" s="182"/>
      <c r="DK5" s="182"/>
      <c r="DL5" s="182"/>
    </row>
    <row r="6" ht="44" customHeight="1" spans="1:116">
      <c r="A6" s="231" t="s">
        <v>100</v>
      </c>
      <c r="B6" s="232">
        <v>64</v>
      </c>
      <c r="C6" s="233"/>
      <c r="D6" s="236"/>
      <c r="E6" s="237"/>
      <c r="F6" s="238"/>
      <c r="G6" s="238"/>
      <c r="I6" s="182"/>
      <c r="J6" s="182"/>
      <c r="K6" s="182"/>
      <c r="L6" s="182"/>
      <c r="M6" s="182"/>
      <c r="N6" s="182"/>
      <c r="O6" s="182"/>
      <c r="P6" s="182"/>
      <c r="Q6" s="182"/>
      <c r="R6" s="182"/>
      <c r="S6" s="182"/>
      <c r="T6" s="182"/>
      <c r="U6" s="182"/>
      <c r="V6" s="182"/>
      <c r="W6" s="182"/>
      <c r="X6" s="182"/>
      <c r="Y6" s="182"/>
      <c r="Z6" s="182"/>
      <c r="AA6" s="182"/>
      <c r="AB6" s="182"/>
      <c r="AC6" s="182"/>
      <c r="AD6" s="182"/>
      <c r="AE6" s="182"/>
      <c r="AF6" s="182"/>
      <c r="AG6" s="182"/>
      <c r="AH6" s="182"/>
      <c r="AI6" s="182"/>
      <c r="AJ6" s="182"/>
      <c r="AK6" s="182"/>
      <c r="AL6" s="182"/>
      <c r="AM6" s="182"/>
      <c r="AN6" s="182"/>
      <c r="AO6" s="182"/>
      <c r="AP6" s="182"/>
      <c r="AQ6" s="182"/>
      <c r="AR6" s="182"/>
      <c r="AS6" s="182"/>
      <c r="AT6" s="182"/>
      <c r="AU6" s="182"/>
      <c r="AV6" s="182"/>
      <c r="AW6" s="182"/>
      <c r="AX6" s="182"/>
      <c r="AY6" s="182"/>
      <c r="AZ6" s="182"/>
      <c r="BA6" s="182"/>
      <c r="BB6" s="182"/>
      <c r="BC6" s="182"/>
      <c r="BD6" s="182"/>
      <c r="BE6" s="182"/>
      <c r="BF6" s="182"/>
      <c r="BG6" s="182"/>
      <c r="BH6" s="182"/>
      <c r="BI6" s="182"/>
      <c r="BJ6" s="182"/>
      <c r="BK6" s="182"/>
      <c r="BL6" s="182"/>
      <c r="BM6" s="182"/>
      <c r="BN6" s="182"/>
      <c r="BO6" s="182"/>
      <c r="BP6" s="182"/>
      <c r="BQ6" s="182"/>
      <c r="BR6" s="182"/>
      <c r="BS6" s="182"/>
      <c r="BT6" s="182"/>
      <c r="BU6" s="182"/>
      <c r="BV6" s="182"/>
      <c r="BW6" s="182"/>
      <c r="BX6" s="182"/>
      <c r="BY6" s="182"/>
      <c r="BZ6" s="182"/>
      <c r="CA6" s="182"/>
      <c r="CB6" s="182"/>
      <c r="CC6" s="182"/>
      <c r="CD6" s="182"/>
      <c r="CE6" s="182"/>
      <c r="CF6" s="182"/>
      <c r="CG6" s="182"/>
      <c r="CH6" s="182"/>
      <c r="CI6" s="182"/>
      <c r="CJ6" s="182"/>
      <c r="CK6" s="182"/>
      <c r="CL6" s="182"/>
      <c r="CM6" s="182"/>
      <c r="CN6" s="182"/>
      <c r="CO6" s="182"/>
      <c r="CP6" s="182"/>
      <c r="CQ6" s="182"/>
      <c r="CR6" s="182"/>
      <c r="CS6" s="182"/>
      <c r="CT6" s="182"/>
      <c r="CU6" s="182"/>
      <c r="CV6" s="182"/>
      <c r="CW6" s="182"/>
      <c r="CX6" s="182"/>
      <c r="CY6" s="182"/>
      <c r="CZ6" s="182"/>
      <c r="DA6" s="182"/>
      <c r="DB6" s="182"/>
      <c r="DC6" s="182"/>
      <c r="DD6" s="182"/>
      <c r="DE6" s="182"/>
      <c r="DF6" s="182"/>
      <c r="DG6" s="182"/>
      <c r="DH6" s="182"/>
      <c r="DI6" s="182"/>
      <c r="DJ6" s="182"/>
      <c r="DK6" s="182"/>
      <c r="DL6" s="182"/>
    </row>
    <row r="7" ht="44" customHeight="1" spans="1:116">
      <c r="A7" s="239" t="s">
        <v>101</v>
      </c>
      <c r="B7" s="232">
        <v>65</v>
      </c>
      <c r="C7" s="233"/>
      <c r="D7" s="240"/>
      <c r="E7" s="237"/>
      <c r="F7" s="238"/>
      <c r="G7" s="238"/>
      <c r="I7" s="182"/>
      <c r="J7" s="182"/>
      <c r="K7" s="182"/>
      <c r="L7" s="182"/>
      <c r="M7" s="182"/>
      <c r="N7" s="182"/>
      <c r="O7" s="182"/>
      <c r="P7" s="182"/>
      <c r="Q7" s="182"/>
      <c r="R7" s="182"/>
      <c r="S7" s="182"/>
      <c r="T7" s="182"/>
      <c r="U7" s="182"/>
      <c r="V7" s="182"/>
      <c r="W7" s="182"/>
      <c r="X7" s="182"/>
      <c r="Y7" s="182"/>
      <c r="Z7" s="182"/>
      <c r="AA7" s="182"/>
      <c r="AB7" s="182"/>
      <c r="AC7" s="182"/>
      <c r="AD7" s="182"/>
      <c r="AE7" s="182"/>
      <c r="AF7" s="182"/>
      <c r="AG7" s="182"/>
      <c r="AH7" s="182"/>
      <c r="AI7" s="182"/>
      <c r="AJ7" s="182"/>
      <c r="AK7" s="182"/>
      <c r="AL7" s="182"/>
      <c r="AM7" s="182"/>
      <c r="AN7" s="182"/>
      <c r="AO7" s="182"/>
      <c r="AP7" s="182"/>
      <c r="AQ7" s="182"/>
      <c r="AR7" s="182"/>
      <c r="AS7" s="182"/>
      <c r="AT7" s="182"/>
      <c r="AU7" s="182"/>
      <c r="AV7" s="182"/>
      <c r="AW7" s="182"/>
      <c r="AX7" s="182"/>
      <c r="AY7" s="182"/>
      <c r="AZ7" s="182"/>
      <c r="BA7" s="182"/>
      <c r="BB7" s="182"/>
      <c r="BC7" s="182"/>
      <c r="BD7" s="182"/>
      <c r="BE7" s="182"/>
      <c r="BF7" s="182"/>
      <c r="BG7" s="182"/>
      <c r="BH7" s="182"/>
      <c r="BI7" s="182"/>
      <c r="BJ7" s="182"/>
      <c r="BK7" s="182"/>
      <c r="BL7" s="182"/>
      <c r="BM7" s="182"/>
      <c r="BN7" s="182"/>
      <c r="BO7" s="182"/>
      <c r="BP7" s="182"/>
      <c r="BQ7" s="182"/>
      <c r="BR7" s="182"/>
      <c r="BS7" s="182"/>
      <c r="BT7" s="182"/>
      <c r="BU7" s="182"/>
      <c r="BV7" s="182"/>
      <c r="BW7" s="182"/>
      <c r="BX7" s="182"/>
      <c r="BY7" s="182"/>
      <c r="BZ7" s="182"/>
      <c r="CA7" s="182"/>
      <c r="CB7" s="182"/>
      <c r="CC7" s="182"/>
      <c r="CD7" s="182"/>
      <c r="CE7" s="182"/>
      <c r="CF7" s="182"/>
      <c r="CG7" s="182"/>
      <c r="CH7" s="182"/>
      <c r="CI7" s="182"/>
      <c r="CJ7" s="182"/>
      <c r="CK7" s="182"/>
      <c r="CL7" s="182"/>
      <c r="CM7" s="182"/>
      <c r="CN7" s="182"/>
      <c r="CO7" s="182"/>
      <c r="CP7" s="182"/>
      <c r="CQ7" s="182"/>
      <c r="CR7" s="182"/>
      <c r="CS7" s="182"/>
      <c r="CT7" s="182"/>
      <c r="CU7" s="182"/>
      <c r="CV7" s="182"/>
      <c r="CW7" s="182"/>
      <c r="CX7" s="182"/>
      <c r="CY7" s="182"/>
      <c r="CZ7" s="182"/>
      <c r="DA7" s="182"/>
      <c r="DB7" s="182"/>
      <c r="DC7" s="182"/>
      <c r="DD7" s="182"/>
      <c r="DE7" s="182"/>
      <c r="DF7" s="182"/>
      <c r="DG7" s="182"/>
      <c r="DH7" s="182"/>
      <c r="DI7" s="182"/>
      <c r="DJ7" s="182"/>
      <c r="DK7" s="182"/>
      <c r="DL7" s="182"/>
    </row>
    <row r="8" ht="44" customHeight="1" spans="1:116">
      <c r="A8" s="241" t="s">
        <v>148</v>
      </c>
      <c r="B8" s="234" t="s">
        <v>149</v>
      </c>
      <c r="C8" s="242"/>
      <c r="D8" s="242"/>
      <c r="E8" s="237"/>
      <c r="F8" s="238"/>
      <c r="G8" s="238"/>
      <c r="I8" s="182"/>
      <c r="J8" s="182"/>
      <c r="K8" s="182"/>
      <c r="L8" s="182"/>
      <c r="M8" s="182"/>
      <c r="N8" s="182"/>
      <c r="O8" s="182"/>
      <c r="P8" s="182"/>
      <c r="Q8" s="182"/>
      <c r="R8" s="182"/>
      <c r="S8" s="182"/>
      <c r="T8" s="182"/>
      <c r="U8" s="182"/>
      <c r="V8" s="182"/>
      <c r="W8" s="182"/>
      <c r="X8" s="182"/>
      <c r="Y8" s="182"/>
      <c r="Z8" s="182"/>
      <c r="AA8" s="182"/>
      <c r="AB8" s="182"/>
      <c r="AC8" s="182"/>
      <c r="AD8" s="182"/>
      <c r="AE8" s="182"/>
      <c r="AF8" s="182"/>
      <c r="AG8" s="182"/>
      <c r="AH8" s="182"/>
      <c r="AI8" s="182"/>
      <c r="AJ8" s="182"/>
      <c r="AK8" s="182"/>
      <c r="AL8" s="182"/>
      <c r="AM8" s="182"/>
      <c r="AN8" s="182"/>
      <c r="AO8" s="182"/>
      <c r="AP8" s="182"/>
      <c r="AQ8" s="182"/>
      <c r="AR8" s="182"/>
      <c r="AS8" s="182"/>
      <c r="AT8" s="182"/>
      <c r="AU8" s="182"/>
      <c r="AV8" s="182"/>
      <c r="AW8" s="182"/>
      <c r="AX8" s="182"/>
      <c r="AY8" s="182"/>
      <c r="AZ8" s="182"/>
      <c r="BA8" s="182"/>
      <c r="BB8" s="182"/>
      <c r="BC8" s="182"/>
      <c r="BD8" s="182"/>
      <c r="BE8" s="182"/>
      <c r="BF8" s="182"/>
      <c r="BG8" s="182"/>
      <c r="BH8" s="182"/>
      <c r="BI8" s="182"/>
      <c r="BJ8" s="182"/>
      <c r="BK8" s="182"/>
      <c r="BL8" s="182"/>
      <c r="BM8" s="182"/>
      <c r="BN8" s="182"/>
      <c r="BO8" s="182"/>
      <c r="BP8" s="182"/>
      <c r="BQ8" s="182"/>
      <c r="BR8" s="182"/>
      <c r="BS8" s="182"/>
      <c r="BT8" s="182"/>
      <c r="BU8" s="182"/>
      <c r="BV8" s="182"/>
      <c r="BW8" s="182"/>
      <c r="BX8" s="182"/>
      <c r="BY8" s="182"/>
      <c r="BZ8" s="182"/>
      <c r="CA8" s="182"/>
      <c r="CB8" s="182"/>
      <c r="CC8" s="182"/>
      <c r="CD8" s="182"/>
      <c r="CE8" s="182"/>
      <c r="CF8" s="182"/>
      <c r="CG8" s="182"/>
      <c r="CH8" s="182"/>
      <c r="CI8" s="182"/>
      <c r="CJ8" s="182"/>
      <c r="CK8" s="182"/>
      <c r="CL8" s="182"/>
      <c r="CM8" s="182"/>
      <c r="CN8" s="182"/>
      <c r="CO8" s="182"/>
      <c r="CP8" s="182"/>
      <c r="CQ8" s="182"/>
      <c r="CR8" s="182"/>
      <c r="CS8" s="182"/>
      <c r="CT8" s="182"/>
      <c r="CU8" s="182"/>
      <c r="CV8" s="182"/>
      <c r="CW8" s="182"/>
      <c r="CX8" s="182"/>
      <c r="CY8" s="182"/>
      <c r="CZ8" s="182"/>
      <c r="DA8" s="182"/>
      <c r="DB8" s="182"/>
      <c r="DC8" s="182"/>
      <c r="DD8" s="182"/>
      <c r="DE8" s="182"/>
      <c r="DF8" s="182"/>
      <c r="DG8" s="182"/>
      <c r="DH8" s="182"/>
      <c r="DI8" s="182"/>
      <c r="DJ8" s="182"/>
      <c r="DK8" s="182"/>
      <c r="DL8" s="182"/>
    </row>
    <row r="9" s="182" customFormat="1" ht="44" customHeight="1" spans="1:116">
      <c r="A9" s="243"/>
      <c r="B9" s="244"/>
      <c r="C9" s="244"/>
      <c r="D9" s="244"/>
      <c r="E9" s="237"/>
      <c r="F9" s="238"/>
      <c r="G9" s="238"/>
    </row>
    <row r="10" s="182" customFormat="1" ht="44" customHeight="1" spans="1:116">
      <c r="A10" s="227" t="s">
        <v>144</v>
      </c>
      <c r="B10" s="228" t="s">
        <v>150</v>
      </c>
      <c r="C10" s="229"/>
      <c r="D10" s="229"/>
      <c r="E10" s="237"/>
      <c r="F10" s="238"/>
      <c r="G10" s="238"/>
    </row>
    <row r="11" s="182" customFormat="1" ht="44" customHeight="1" spans="1:116">
      <c r="A11" s="231" t="s">
        <v>96</v>
      </c>
      <c r="B11" s="232">
        <v>63</v>
      </c>
      <c r="C11" s="233"/>
      <c r="D11" s="234" t="s">
        <v>151</v>
      </c>
      <c r="E11" s="237"/>
      <c r="F11" s="238"/>
      <c r="G11" s="238"/>
    </row>
    <row r="12" s="182" customFormat="1" ht="44" customHeight="1" spans="1:116">
      <c r="A12" s="231" t="s">
        <v>100</v>
      </c>
      <c r="B12" s="232">
        <v>64</v>
      </c>
      <c r="C12" s="233"/>
      <c r="D12" s="236"/>
      <c r="E12" s="237"/>
      <c r="F12" s="238"/>
      <c r="G12" s="238"/>
    </row>
    <row r="13" s="182" customFormat="1" ht="44" customHeight="1" spans="1:116">
      <c r="A13" s="239" t="s">
        <v>101</v>
      </c>
      <c r="B13" s="232">
        <v>65</v>
      </c>
      <c r="C13" s="233"/>
      <c r="D13" s="240"/>
      <c r="E13" s="237"/>
    </row>
    <row r="14" s="182" customFormat="1" ht="44" customHeight="1" spans="1:116">
      <c r="A14" s="241" t="s">
        <v>148</v>
      </c>
      <c r="B14" s="234" t="s">
        <v>149</v>
      </c>
      <c r="C14" s="242"/>
      <c r="D14" s="242"/>
      <c r="E14" s="237"/>
    </row>
    <row r="15" s="182" customFormat="1" ht="71" customHeight="1" spans="1:116">
      <c r="A15" s="245" t="s">
        <v>112</v>
      </c>
      <c r="B15" s="246"/>
      <c r="C15" s="246"/>
      <c r="D15" s="246"/>
      <c r="E15" s="247"/>
    </row>
    <row r="16" s="182" customFormat="1" ht="27" customHeight="1" spans="1:116">
      <c r="A16" s="248" t="s">
        <v>113</v>
      </c>
      <c r="B16" s="248"/>
      <c r="C16" s="248"/>
      <c r="D16" s="248"/>
      <c r="E16" s="248"/>
    </row>
    <row r="17" s="182" customFormat="1" ht="36" customHeight="1" spans="1:5">
      <c r="A17" s="249" t="s">
        <v>152</v>
      </c>
      <c r="B17" s="250"/>
      <c r="C17" s="250"/>
      <c r="D17" s="250"/>
      <c r="E17" s="250"/>
    </row>
    <row r="18" s="182" customFormat="1" ht="36" customHeight="1" spans="1:5">
      <c r="A18" s="249" t="s">
        <v>153</v>
      </c>
      <c r="B18" s="249"/>
      <c r="C18" s="249"/>
      <c r="D18" s="249"/>
      <c r="E18" s="249"/>
    </row>
    <row r="19" s="182" customFormat="1" ht="36" customHeight="1" spans="1:5">
      <c r="A19" s="251" t="s">
        <v>154</v>
      </c>
      <c r="B19" s="252"/>
      <c r="C19" s="252"/>
      <c r="D19" s="252"/>
      <c r="E19" s="253"/>
    </row>
    <row r="20" s="182" customFormat="1" ht="36" customHeight="1" spans="1:5">
      <c r="A20" s="251" t="s">
        <v>155</v>
      </c>
      <c r="B20" s="252"/>
      <c r="C20" s="252"/>
      <c r="D20" s="252"/>
      <c r="E20" s="253"/>
    </row>
    <row r="21" s="182" customFormat="1" ht="46.05" customHeight="1" spans="1:5">
      <c r="A21" s="250" t="s">
        <v>156</v>
      </c>
      <c r="B21" s="250"/>
      <c r="C21" s="250"/>
      <c r="D21" s="250"/>
      <c r="E21" s="250"/>
    </row>
    <row r="22" s="182" customFormat="1" ht="22.05" spans="1:5">
      <c r="A22" s="254" t="s">
        <v>121</v>
      </c>
      <c r="B22" s="254"/>
      <c r="C22" s="254"/>
      <c r="D22" s="254"/>
      <c r="E22" s="254"/>
    </row>
    <row r="23" s="182" customFormat="1" ht="65" customHeight="1" spans="1:5">
      <c r="A23" s="255" t="s">
        <v>122</v>
      </c>
      <c r="B23" s="255"/>
      <c r="C23" s="255"/>
      <c r="D23" s="255"/>
      <c r="E23" s="255"/>
    </row>
    <row r="24" s="182" customFormat="1" ht="22.05" spans="1:5">
      <c r="A24" s="256" t="s">
        <v>123</v>
      </c>
      <c r="B24" s="256"/>
      <c r="C24" s="256"/>
      <c r="D24" s="256"/>
      <c r="E24" s="256"/>
    </row>
    <row r="25" s="182" customFormat="1" ht="27" customHeight="1" spans="1:5">
      <c r="A25" s="257" t="s">
        <v>124</v>
      </c>
      <c r="B25" s="257"/>
      <c r="C25" s="257"/>
      <c r="D25" s="257"/>
      <c r="E25" s="257"/>
    </row>
    <row r="26" s="182" customFormat="1" ht="36" customHeight="1" spans="1:5">
      <c r="A26" s="250" t="s">
        <v>125</v>
      </c>
      <c r="B26" s="250"/>
      <c r="C26" s="250"/>
      <c r="D26" s="250"/>
      <c r="E26" s="250"/>
    </row>
    <row r="27" s="182" customFormat="1" ht="37.05" customHeight="1" spans="1:5">
      <c r="A27" s="250" t="s">
        <v>126</v>
      </c>
      <c r="B27" s="250"/>
      <c r="C27" s="250"/>
      <c r="D27" s="250"/>
      <c r="E27" s="250"/>
    </row>
    <row r="28" s="182" customFormat="1" ht="27" customHeight="1" spans="1:5">
      <c r="A28" s="258" t="s">
        <v>127</v>
      </c>
      <c r="B28" s="258"/>
      <c r="C28" s="258"/>
      <c r="D28" s="258"/>
      <c r="E28" s="258"/>
    </row>
    <row r="29" s="182" customFormat="1" ht="27" customHeight="1" spans="1:5">
      <c r="A29" s="258" t="s">
        <v>128</v>
      </c>
      <c r="B29" s="258"/>
      <c r="C29" s="258"/>
      <c r="D29" s="258"/>
      <c r="E29" s="258"/>
    </row>
    <row r="30" s="182" customFormat="1" ht="27" customHeight="1" spans="1:5">
      <c r="A30" s="259" t="s">
        <v>129</v>
      </c>
      <c r="B30" s="259"/>
      <c r="C30" s="259"/>
      <c r="D30" s="259"/>
      <c r="E30" s="259"/>
    </row>
    <row r="31" s="182" customFormat="1" ht="98" customHeight="1" spans="1:5">
      <c r="A31" s="260" t="s">
        <v>157</v>
      </c>
      <c r="B31" s="261"/>
      <c r="C31" s="261"/>
      <c r="D31" s="261"/>
      <c r="E31" s="262"/>
    </row>
    <row r="32" s="182" customFormat="1" ht="22.05" spans="1:5">
      <c r="A32" s="263" t="s">
        <v>131</v>
      </c>
      <c r="B32" s="263"/>
      <c r="C32" s="263"/>
      <c r="D32" s="263"/>
      <c r="E32" s="263"/>
    </row>
    <row r="33" s="182" customFormat="1" ht="39" customHeight="1" spans="1:5">
      <c r="A33" s="264" t="s">
        <v>132</v>
      </c>
      <c r="B33" s="265" t="s">
        <v>133</v>
      </c>
      <c r="C33" s="265"/>
      <c r="D33" s="265"/>
      <c r="E33" s="265"/>
    </row>
    <row r="34" s="182" customFormat="1" ht="48" customHeight="1" spans="1:5">
      <c r="A34" s="264" t="s">
        <v>134</v>
      </c>
      <c r="B34" s="266" t="s">
        <v>135</v>
      </c>
      <c r="C34" s="266"/>
      <c r="D34" s="266"/>
      <c r="E34" s="266"/>
    </row>
    <row r="35" s="182" customFormat="1" ht="48" customHeight="1" spans="1:5">
      <c r="A35" s="264"/>
      <c r="B35" s="266" t="s">
        <v>136</v>
      </c>
      <c r="C35" s="266"/>
      <c r="D35" s="266"/>
      <c r="E35" s="266"/>
    </row>
    <row r="36" s="182" customFormat="1" ht="34.05" customHeight="1" spans="1:5">
      <c r="A36" s="267" t="s">
        <v>137</v>
      </c>
      <c r="B36" s="266" t="s">
        <v>138</v>
      </c>
      <c r="C36" s="266"/>
      <c r="D36" s="266"/>
      <c r="E36" s="266"/>
    </row>
    <row r="37" s="182" customFormat="1" ht="22.05" spans="1:5">
      <c r="A37" s="256" t="s">
        <v>139</v>
      </c>
      <c r="B37" s="256"/>
      <c r="C37" s="256"/>
      <c r="D37" s="256"/>
      <c r="E37" s="256"/>
    </row>
    <row r="38" s="182" customFormat="1" ht="108" customHeight="1" spans="1:5">
      <c r="A38" s="268" t="s">
        <v>140</v>
      </c>
      <c r="B38" s="268"/>
      <c r="C38" s="268"/>
      <c r="D38" s="268"/>
      <c r="E38" s="268"/>
    </row>
    <row r="39" s="220" customFormat="1" ht="27" customHeight="1" spans="1:5">
      <c r="A39" s="269" t="s">
        <v>141</v>
      </c>
      <c r="B39" s="269"/>
      <c r="C39" s="269"/>
      <c r="D39" s="269"/>
      <c r="E39" s="269"/>
    </row>
    <row r="40" spans="1:5">
      <c r="A40" s="182"/>
      <c r="B40" s="182"/>
      <c r="C40" s="182"/>
      <c r="D40" s="182"/>
      <c r="E40" s="182"/>
    </row>
    <row r="41" spans="1:5">
      <c r="A41" s="182"/>
      <c r="B41" s="182"/>
      <c r="C41" s="182"/>
      <c r="D41" s="182"/>
      <c r="E41" s="182"/>
    </row>
    <row r="42" spans="1:5">
      <c r="A42" s="182"/>
      <c r="B42" s="182"/>
      <c r="C42" s="182"/>
      <c r="D42" s="182"/>
      <c r="E42" s="182"/>
    </row>
    <row r="43" spans="1:5">
      <c r="A43" s="182"/>
      <c r="B43" s="182"/>
      <c r="C43" s="182"/>
      <c r="D43" s="182"/>
      <c r="E43" s="182"/>
    </row>
    <row r="44" spans="1:5">
      <c r="A44" s="182"/>
      <c r="B44" s="182"/>
      <c r="C44" s="182"/>
      <c r="D44" s="182"/>
      <c r="E44" s="182"/>
    </row>
    <row r="45" spans="1:5">
      <c r="A45" s="182"/>
      <c r="B45" s="182"/>
      <c r="C45" s="182"/>
      <c r="D45" s="182"/>
      <c r="E45" s="182"/>
    </row>
    <row r="46" spans="1:5">
      <c r="A46" s="182"/>
      <c r="B46" s="182"/>
      <c r="C46" s="182"/>
      <c r="D46" s="182"/>
      <c r="E46" s="182"/>
    </row>
    <row r="47" spans="1:5">
      <c r="A47" s="182"/>
      <c r="B47" s="182"/>
      <c r="C47" s="182"/>
      <c r="D47" s="182"/>
      <c r="E47" s="182"/>
    </row>
    <row r="48" spans="1:5">
      <c r="A48" s="182"/>
      <c r="B48" s="182"/>
      <c r="C48" s="182"/>
      <c r="D48" s="182"/>
      <c r="E48" s="182"/>
    </row>
    <row r="49" spans="1:5">
      <c r="A49" s="182"/>
      <c r="B49" s="182"/>
      <c r="C49" s="182"/>
      <c r="D49" s="182"/>
      <c r="E49" s="182"/>
    </row>
    <row r="50" spans="1:5">
      <c r="A50" s="182"/>
      <c r="B50" s="182"/>
      <c r="C50" s="182"/>
      <c r="D50" s="182"/>
      <c r="E50" s="182"/>
    </row>
    <row r="51" spans="1:5">
      <c r="A51" s="182"/>
      <c r="B51" s="182"/>
      <c r="C51" s="182"/>
      <c r="D51" s="182"/>
      <c r="E51" s="182"/>
    </row>
    <row r="52" spans="1:5">
      <c r="A52" s="182"/>
      <c r="B52" s="182"/>
      <c r="C52" s="182"/>
      <c r="D52" s="182"/>
      <c r="E52" s="182"/>
    </row>
    <row r="53" spans="1:5">
      <c r="A53" s="182"/>
      <c r="B53" s="182"/>
      <c r="C53" s="182"/>
      <c r="D53" s="182"/>
      <c r="E53" s="182"/>
    </row>
    <row r="54" spans="1:5">
      <c r="A54" s="182"/>
      <c r="B54" s="182"/>
      <c r="C54" s="182"/>
      <c r="D54" s="182"/>
      <c r="E54" s="182"/>
    </row>
    <row r="55" spans="1:5">
      <c r="A55" s="182"/>
      <c r="B55" s="182"/>
      <c r="C55" s="182"/>
      <c r="D55" s="182"/>
      <c r="E55" s="182"/>
    </row>
    <row r="56" spans="1:5">
      <c r="A56" s="182"/>
      <c r="B56" s="182"/>
      <c r="C56" s="182"/>
      <c r="D56" s="182"/>
      <c r="E56" s="182"/>
    </row>
    <row r="57" spans="1:5">
      <c r="A57" s="182"/>
      <c r="B57" s="182"/>
      <c r="C57" s="182"/>
      <c r="D57" s="182"/>
      <c r="E57" s="182"/>
    </row>
    <row r="58" spans="1:5">
      <c r="A58" s="182"/>
      <c r="B58" s="182"/>
      <c r="C58" s="182"/>
      <c r="D58" s="182"/>
      <c r="E58" s="182"/>
    </row>
    <row r="59" spans="1:5">
      <c r="A59" s="182"/>
      <c r="B59" s="182"/>
      <c r="C59" s="182"/>
      <c r="D59" s="182"/>
      <c r="E59" s="182"/>
    </row>
    <row r="60" spans="1:5">
      <c r="A60" s="182"/>
      <c r="B60" s="182"/>
      <c r="C60" s="182"/>
      <c r="D60" s="182"/>
      <c r="E60" s="182"/>
    </row>
    <row r="61" spans="1:5">
      <c r="A61" s="182"/>
      <c r="B61" s="182"/>
      <c r="C61" s="182"/>
      <c r="D61" s="182"/>
      <c r="E61" s="182"/>
    </row>
    <row r="62" spans="1:5">
      <c r="A62" s="182"/>
      <c r="B62" s="182"/>
      <c r="C62" s="182"/>
      <c r="D62" s="182"/>
      <c r="E62" s="182"/>
    </row>
    <row r="63" spans="1:5">
      <c r="A63" s="182"/>
      <c r="B63" s="182"/>
      <c r="C63" s="182"/>
      <c r="D63" s="182"/>
      <c r="E63" s="182"/>
    </row>
    <row r="64" spans="1:5">
      <c r="A64" s="182"/>
      <c r="B64" s="182"/>
      <c r="C64" s="182"/>
      <c r="D64" s="182"/>
      <c r="E64" s="182"/>
    </row>
    <row r="65" spans="1:5">
      <c r="A65" s="182"/>
      <c r="B65" s="182"/>
      <c r="C65" s="182"/>
      <c r="D65" s="182"/>
      <c r="E65" s="182"/>
    </row>
    <row r="66" spans="1:5">
      <c r="A66" s="182"/>
      <c r="B66" s="182"/>
      <c r="C66" s="182"/>
      <c r="D66" s="182"/>
      <c r="E66" s="182"/>
    </row>
    <row r="67" spans="1:5">
      <c r="A67" s="182"/>
      <c r="B67" s="182"/>
      <c r="C67" s="182"/>
      <c r="D67" s="182"/>
      <c r="E67" s="182"/>
    </row>
    <row r="68" spans="1:5">
      <c r="A68" s="182"/>
      <c r="B68" s="182"/>
      <c r="C68" s="182"/>
      <c r="D68" s="182"/>
      <c r="E68" s="182"/>
    </row>
    <row r="69" spans="1:5">
      <c r="A69" s="182"/>
      <c r="B69" s="182"/>
      <c r="C69" s="182"/>
      <c r="D69" s="182"/>
      <c r="E69" s="182"/>
    </row>
    <row r="70" spans="1:5">
      <c r="A70" s="182"/>
      <c r="B70" s="182"/>
      <c r="C70" s="182"/>
      <c r="D70" s="182"/>
      <c r="E70" s="182"/>
    </row>
    <row r="71" spans="1:5">
      <c r="A71" s="182"/>
      <c r="B71" s="182"/>
      <c r="C71" s="182"/>
      <c r="D71" s="182"/>
      <c r="E71" s="182"/>
    </row>
    <row r="72" spans="1:5">
      <c r="A72" s="182"/>
      <c r="B72" s="182"/>
      <c r="C72" s="182"/>
      <c r="D72" s="182"/>
      <c r="E72" s="182"/>
    </row>
    <row r="73" spans="1:5">
      <c r="A73" s="182"/>
      <c r="B73" s="182"/>
      <c r="C73" s="182"/>
      <c r="D73" s="182"/>
      <c r="E73" s="182"/>
    </row>
    <row r="74" spans="1:5">
      <c r="A74" s="182"/>
      <c r="B74" s="182"/>
      <c r="C74" s="182"/>
      <c r="D74" s="182"/>
      <c r="E74" s="182"/>
    </row>
    <row r="75" spans="1:5">
      <c r="A75" s="182"/>
      <c r="B75" s="182"/>
      <c r="C75" s="182"/>
      <c r="D75" s="182"/>
      <c r="E75" s="182"/>
    </row>
    <row r="76" spans="1:5">
      <c r="A76" s="182"/>
      <c r="B76" s="182"/>
      <c r="C76" s="182"/>
      <c r="D76" s="182"/>
      <c r="E76" s="182"/>
    </row>
    <row r="77" spans="1:5">
      <c r="A77" s="182"/>
      <c r="B77" s="182"/>
      <c r="C77" s="182"/>
      <c r="D77" s="182"/>
      <c r="E77" s="182"/>
    </row>
    <row r="78" spans="1:5">
      <c r="A78" s="182"/>
      <c r="B78" s="182"/>
      <c r="C78" s="182"/>
      <c r="D78" s="182"/>
      <c r="E78" s="182"/>
    </row>
    <row r="79" spans="1:5">
      <c r="A79" s="182"/>
      <c r="B79" s="182"/>
      <c r="C79" s="182"/>
      <c r="D79" s="182"/>
      <c r="E79" s="182"/>
    </row>
  </sheetData>
  <sheetProtection formatCells="0" formatColumns="0" formatRows="0" insertRows="0" insertColumns="0" insertHyperlinks="0" deleteColumns="0" deleteRows="0" sort="0" autoFilter="0" pivotTables="0"/>
  <mergeCells count="41">
    <mergeCell ref="A2:E2"/>
    <mergeCell ref="A3:E3"/>
    <mergeCell ref="B4:D4"/>
    <mergeCell ref="B5:C5"/>
    <mergeCell ref="B6:C6"/>
    <mergeCell ref="B7:C7"/>
    <mergeCell ref="B8:D8"/>
    <mergeCell ref="B10:D10"/>
    <mergeCell ref="B11:C11"/>
    <mergeCell ref="B12:C12"/>
    <mergeCell ref="B13:C13"/>
    <mergeCell ref="B14:D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31:E31"/>
    <mergeCell ref="A32:E32"/>
    <mergeCell ref="B33:E33"/>
    <mergeCell ref="B34:E34"/>
    <mergeCell ref="B35:E35"/>
    <mergeCell ref="B36:E36"/>
    <mergeCell ref="A37:E37"/>
    <mergeCell ref="A38:E38"/>
    <mergeCell ref="A39:E39"/>
    <mergeCell ref="A34:A35"/>
    <mergeCell ref="D5:D7"/>
    <mergeCell ref="D11:D13"/>
    <mergeCell ref="E5:E14"/>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6">
    <tabColor rgb="FF00B050"/>
  </sheetPr>
  <dimension ref="A1:Z35"/>
  <sheetViews>
    <sheetView zoomScale="70" zoomScaleNormal="70" workbookViewId="0">
      <selection activeCell="E6" sqref="E6"/>
    </sheetView>
  </sheetViews>
  <sheetFormatPr defaultColWidth="17.8684210526316" defaultRowHeight="14.95"/>
  <cols>
    <col min="1" max="1" width="31.8684210526316" style="182" customWidth="1"/>
    <col min="2" max="2" width="22.5350877192982" style="182" customWidth="1"/>
    <col min="3" max="7" width="15.1315789473684" style="182" customWidth="1"/>
    <col min="8" max="8" width="36.2017543859649" style="182" customWidth="1"/>
    <col min="9" max="9" width="34.2631578947368" style="182" customWidth="1"/>
    <col min="10" max="16376" width="17.8684210526316" style="182" customWidth="1"/>
    <col min="16377" max="16384" width="17.8684210526316" style="182"/>
  </cols>
  <sheetData>
    <row r="1" ht="60" customHeight="1" spans="1:9">
      <c r="A1" s="183"/>
      <c r="B1" s="183"/>
      <c r="C1" s="183"/>
      <c r="D1" s="183"/>
      <c r="E1" s="183"/>
      <c r="F1" s="183"/>
      <c r="G1" s="183"/>
      <c r="H1" s="183"/>
      <c r="I1" s="183"/>
    </row>
    <row r="2" ht="38" customHeight="1" spans="1:9">
      <c r="A2" s="184" t="s">
        <v>158</v>
      </c>
      <c r="B2" s="185"/>
      <c r="C2" s="185"/>
      <c r="D2" s="185"/>
      <c r="E2" s="185"/>
      <c r="F2" s="185"/>
      <c r="G2" s="185"/>
      <c r="H2" s="185"/>
      <c r="I2" s="185"/>
    </row>
    <row r="3" ht="47" customHeight="1" spans="1:9">
      <c r="A3" s="186" t="s">
        <v>159</v>
      </c>
      <c r="B3" s="186"/>
      <c r="C3" s="186"/>
      <c r="D3" s="186"/>
      <c r="E3" s="186"/>
      <c r="F3" s="186"/>
      <c r="G3" s="186"/>
      <c r="H3" s="186"/>
      <c r="I3" s="186"/>
    </row>
    <row r="4" customFormat="1" ht="36" customHeight="1" spans="1:9">
      <c r="A4" s="187" t="s">
        <v>160</v>
      </c>
      <c r="B4" s="188"/>
      <c r="C4" s="188"/>
      <c r="D4" s="188"/>
      <c r="E4" s="188"/>
      <c r="F4" s="188"/>
      <c r="G4" s="188"/>
      <c r="H4" s="188"/>
      <c r="I4" s="189"/>
    </row>
    <row r="5" s="179" customFormat="1" ht="30" customHeight="1" spans="1:9">
      <c r="A5" s="190" t="s">
        <v>89</v>
      </c>
      <c r="B5" s="191" t="s">
        <v>90</v>
      </c>
      <c r="C5" s="192" t="s">
        <v>161</v>
      </c>
      <c r="D5" s="192" t="s">
        <v>162</v>
      </c>
      <c r="E5" s="192" t="s">
        <v>163</v>
      </c>
      <c r="F5" s="192" t="s">
        <v>164</v>
      </c>
      <c r="G5" s="192" t="s">
        <v>165</v>
      </c>
      <c r="H5" s="192" t="s">
        <v>95</v>
      </c>
      <c r="I5" s="193" t="s">
        <v>45</v>
      </c>
    </row>
    <row r="6" s="179" customFormat="1" ht="41" customHeight="1" spans="1:9">
      <c r="A6" s="194" t="s">
        <v>166</v>
      </c>
      <c r="B6" s="195" t="s">
        <v>167</v>
      </c>
      <c r="C6" s="196">
        <v>65</v>
      </c>
      <c r="D6" s="196">
        <v>62</v>
      </c>
      <c r="E6" s="196">
        <v>59</v>
      </c>
      <c r="F6" s="196">
        <v>57</v>
      </c>
      <c r="G6" s="197" t="s">
        <v>168</v>
      </c>
      <c r="H6" s="198" t="s">
        <v>169</v>
      </c>
      <c r="I6" s="199" t="s">
        <v>170</v>
      </c>
    </row>
    <row r="7" s="179" customFormat="1" ht="41" customHeight="1" spans="1:9">
      <c r="A7" s="198" t="s">
        <v>171</v>
      </c>
      <c r="B7" s="195"/>
      <c r="C7" s="196">
        <v>66</v>
      </c>
      <c r="D7" s="196">
        <v>63</v>
      </c>
      <c r="E7" s="196">
        <v>60</v>
      </c>
      <c r="F7" s="196">
        <v>58</v>
      </c>
      <c r="G7" s="197" t="s">
        <v>168</v>
      </c>
      <c r="H7" s="198"/>
      <c r="I7" s="199"/>
    </row>
    <row r="8" s="179" customFormat="1" ht="41" customHeight="1" spans="1:9">
      <c r="A8" s="198" t="s">
        <v>172</v>
      </c>
      <c r="B8" s="195"/>
      <c r="C8" s="196">
        <v>67</v>
      </c>
      <c r="D8" s="196">
        <v>64</v>
      </c>
      <c r="E8" s="196">
        <v>61</v>
      </c>
      <c r="F8" s="196">
        <v>59</v>
      </c>
      <c r="G8" s="197" t="s">
        <v>168</v>
      </c>
      <c r="H8" s="198"/>
      <c r="I8" s="199"/>
    </row>
    <row r="9" s="179" customFormat="1" ht="41" customHeight="1" spans="1:9">
      <c r="A9" s="194" t="s">
        <v>101</v>
      </c>
      <c r="B9" s="195"/>
      <c r="C9" s="196">
        <v>68</v>
      </c>
      <c r="D9" s="196">
        <v>65</v>
      </c>
      <c r="E9" s="196">
        <v>62</v>
      </c>
      <c r="F9" s="196">
        <v>60</v>
      </c>
      <c r="G9" s="197" t="s">
        <v>168</v>
      </c>
      <c r="H9" s="198"/>
      <c r="I9" s="199"/>
    </row>
    <row r="10" s="179" customFormat="1" ht="13.05" customHeight="1" spans="1:9">
      <c r="A10" s="200"/>
      <c r="B10" s="200"/>
      <c r="C10" s="200"/>
      <c r="D10" s="200"/>
      <c r="E10" s="200"/>
      <c r="F10" s="200"/>
      <c r="G10" s="200"/>
      <c r="H10" s="200"/>
      <c r="I10" s="200"/>
    </row>
    <row r="11" s="179" customFormat="1" ht="41" customHeight="1" spans="1:9">
      <c r="A11" s="194" t="s">
        <v>166</v>
      </c>
      <c r="B11" s="195" t="s">
        <v>173</v>
      </c>
      <c r="C11" s="196">
        <v>65</v>
      </c>
      <c r="D11" s="196">
        <v>62</v>
      </c>
      <c r="E11" s="196">
        <v>59</v>
      </c>
      <c r="F11" s="196">
        <v>57</v>
      </c>
      <c r="G11" s="197" t="s">
        <v>168</v>
      </c>
      <c r="H11" s="201" t="s">
        <v>174</v>
      </c>
      <c r="I11" s="202" t="s">
        <v>175</v>
      </c>
    </row>
    <row r="12" s="179" customFormat="1" ht="41" customHeight="1" spans="1:9">
      <c r="A12" s="198" t="s">
        <v>171</v>
      </c>
      <c r="B12" s="195"/>
      <c r="C12" s="196">
        <v>66</v>
      </c>
      <c r="D12" s="196">
        <v>63</v>
      </c>
      <c r="E12" s="196">
        <v>60</v>
      </c>
      <c r="F12" s="196">
        <v>58</v>
      </c>
      <c r="G12" s="197" t="s">
        <v>168</v>
      </c>
      <c r="H12" s="201"/>
      <c r="I12" s="202"/>
    </row>
    <row r="13" s="179" customFormat="1" ht="41" customHeight="1" spans="1:9">
      <c r="A13" s="198" t="s">
        <v>172</v>
      </c>
      <c r="B13" s="195"/>
      <c r="C13" s="196">
        <v>67</v>
      </c>
      <c r="D13" s="196">
        <v>64</v>
      </c>
      <c r="E13" s="196">
        <v>61</v>
      </c>
      <c r="F13" s="196">
        <v>59</v>
      </c>
      <c r="G13" s="197" t="s">
        <v>168</v>
      </c>
      <c r="H13" s="201"/>
      <c r="I13" s="202"/>
    </row>
    <row r="14" s="179" customFormat="1" ht="41" customHeight="1" spans="1:9">
      <c r="A14" s="203" t="s">
        <v>101</v>
      </c>
      <c r="B14" s="195"/>
      <c r="C14" s="196">
        <v>68</v>
      </c>
      <c r="D14" s="196">
        <v>65</v>
      </c>
      <c r="E14" s="196">
        <v>62</v>
      </c>
      <c r="F14" s="196">
        <v>60</v>
      </c>
      <c r="G14" s="204" t="s">
        <v>168</v>
      </c>
      <c r="H14" s="201"/>
      <c r="I14" s="202"/>
    </row>
    <row r="15" s="179" customFormat="1" ht="41" customHeight="1" spans="1:9">
      <c r="A15" s="205" t="s">
        <v>176</v>
      </c>
      <c r="B15" s="205"/>
      <c r="C15" s="205"/>
      <c r="D15" s="205"/>
      <c r="E15" s="205"/>
      <c r="F15" s="205"/>
      <c r="G15" s="205"/>
      <c r="H15" s="205"/>
      <c r="I15" s="205"/>
    </row>
    <row r="16" ht="71" customHeight="1" spans="1:9">
      <c r="A16" s="206" t="s">
        <v>112</v>
      </c>
      <c r="B16" s="206"/>
      <c r="C16" s="206"/>
      <c r="D16" s="206"/>
      <c r="E16" s="206"/>
      <c r="F16" s="206"/>
      <c r="G16" s="206"/>
      <c r="H16" s="206"/>
      <c r="I16" s="206"/>
    </row>
    <row r="17" ht="30" customHeight="1" spans="1:26">
      <c r="A17" s="207" t="s">
        <v>177</v>
      </c>
      <c r="B17" s="207"/>
      <c r="C17" s="207"/>
      <c r="D17" s="207"/>
      <c r="E17" s="207"/>
      <c r="F17" s="207"/>
      <c r="G17" s="207"/>
      <c r="H17" s="207"/>
      <c r="I17" s="207"/>
    </row>
    <row r="18" ht="148.05" customHeight="1" spans="1:26">
      <c r="A18" s="208" t="s">
        <v>178</v>
      </c>
      <c r="B18" s="208"/>
      <c r="C18" s="208"/>
      <c r="D18" s="208"/>
      <c r="E18" s="208"/>
      <c r="F18" s="208"/>
      <c r="G18" s="208"/>
      <c r="H18" s="208"/>
      <c r="I18" s="208"/>
    </row>
    <row r="19" ht="27" customHeight="1" spans="1:26">
      <c r="A19" s="208" t="s">
        <v>179</v>
      </c>
      <c r="B19" s="208"/>
      <c r="C19" s="208"/>
      <c r="D19" s="208"/>
      <c r="E19" s="208"/>
      <c r="F19" s="208"/>
      <c r="G19" s="208"/>
      <c r="H19" s="208"/>
      <c r="I19" s="208"/>
    </row>
    <row r="20" ht="56" customHeight="1" spans="1:26">
      <c r="A20" s="208" t="s">
        <v>180</v>
      </c>
      <c r="B20" s="208"/>
      <c r="C20" s="208"/>
      <c r="D20" s="208"/>
      <c r="E20" s="208"/>
      <c r="F20" s="208"/>
      <c r="G20" s="208"/>
      <c r="H20" s="208"/>
      <c r="I20" s="208"/>
    </row>
    <row r="21" ht="30" customHeight="1" spans="1:26">
      <c r="A21" s="209" t="s">
        <v>181</v>
      </c>
      <c r="B21" s="209"/>
      <c r="C21" s="209"/>
      <c r="D21" s="209"/>
      <c r="E21" s="209"/>
      <c r="F21" s="209"/>
      <c r="G21" s="209"/>
      <c r="H21" s="209"/>
      <c r="I21" s="209"/>
    </row>
    <row r="22" s="180" customFormat="1" ht="30" customHeight="1" spans="1:26">
      <c r="A22" s="208" t="s">
        <v>182</v>
      </c>
      <c r="B22" s="208"/>
      <c r="C22" s="208"/>
      <c r="D22" s="208"/>
      <c r="E22" s="208"/>
      <c r="F22" s="208"/>
      <c r="G22" s="208"/>
      <c r="H22" s="208"/>
      <c r="I22" s="208"/>
      <c r="J22" s="182"/>
      <c r="K22" s="182"/>
      <c r="L22" s="182"/>
      <c r="M22" s="182"/>
      <c r="N22" s="182"/>
      <c r="O22" s="182"/>
      <c r="P22" s="182"/>
      <c r="Q22" s="182"/>
      <c r="R22" s="182"/>
      <c r="S22" s="182"/>
      <c r="T22" s="182"/>
      <c r="U22" s="182"/>
      <c r="V22" s="182"/>
      <c r="W22" s="182"/>
      <c r="X22" s="182"/>
      <c r="Y22" s="182"/>
      <c r="Z22" s="182"/>
    </row>
    <row r="23" s="180" customFormat="1" ht="30" customHeight="1" spans="1:26">
      <c r="A23" s="208" t="s">
        <v>183</v>
      </c>
      <c r="B23" s="208"/>
      <c r="C23" s="208"/>
      <c r="D23" s="208"/>
      <c r="E23" s="208"/>
      <c r="F23" s="208"/>
      <c r="G23" s="208"/>
      <c r="H23" s="208"/>
      <c r="I23" s="208"/>
      <c r="J23" s="182"/>
      <c r="K23" s="182"/>
      <c r="L23" s="182"/>
      <c r="M23" s="182"/>
      <c r="N23" s="182"/>
      <c r="O23" s="182"/>
      <c r="P23" s="182"/>
      <c r="Q23" s="182"/>
      <c r="R23" s="182"/>
      <c r="S23" s="182"/>
      <c r="T23" s="182"/>
      <c r="U23" s="182"/>
      <c r="V23" s="182"/>
      <c r="W23" s="182"/>
      <c r="X23" s="182"/>
      <c r="Y23" s="182"/>
      <c r="Z23" s="182"/>
    </row>
    <row r="24" s="180" customFormat="1" ht="30" customHeight="1" spans="1:26">
      <c r="A24" s="208" t="s">
        <v>184</v>
      </c>
      <c r="B24" s="208"/>
      <c r="C24" s="208"/>
      <c r="D24" s="208"/>
      <c r="E24" s="208"/>
      <c r="F24" s="208"/>
      <c r="G24" s="208"/>
      <c r="H24" s="208"/>
      <c r="I24" s="208"/>
      <c r="J24" s="182"/>
      <c r="K24" s="182"/>
      <c r="L24" s="182"/>
      <c r="M24" s="182"/>
      <c r="N24" s="182"/>
      <c r="O24" s="182"/>
      <c r="P24" s="182"/>
      <c r="Q24" s="182"/>
      <c r="R24" s="182"/>
      <c r="S24" s="182"/>
      <c r="T24" s="182"/>
      <c r="U24" s="182"/>
      <c r="V24" s="182"/>
      <c r="W24" s="182"/>
      <c r="X24" s="182"/>
      <c r="Y24" s="182"/>
      <c r="Z24" s="182"/>
    </row>
    <row r="25" s="180" customFormat="1" ht="33" customHeight="1" spans="1:26">
      <c r="A25" s="208" t="s">
        <v>185</v>
      </c>
      <c r="B25" s="208"/>
      <c r="C25" s="208"/>
      <c r="D25" s="208"/>
      <c r="E25" s="208"/>
      <c r="F25" s="208"/>
      <c r="G25" s="208"/>
      <c r="H25" s="208"/>
      <c r="I25" s="208"/>
      <c r="J25" s="182"/>
      <c r="K25" s="182"/>
      <c r="L25" s="182"/>
      <c r="M25" s="182"/>
      <c r="N25" s="182"/>
      <c r="O25" s="182"/>
      <c r="P25" s="182"/>
      <c r="Q25" s="182"/>
      <c r="R25" s="182"/>
      <c r="S25" s="182"/>
      <c r="T25" s="182"/>
      <c r="U25" s="182"/>
      <c r="V25" s="182"/>
      <c r="W25" s="182"/>
      <c r="X25" s="182"/>
      <c r="Y25" s="182"/>
      <c r="Z25" s="182"/>
    </row>
    <row r="26" ht="30" customHeight="1" spans="1:26">
      <c r="A26" s="208" t="s">
        <v>186</v>
      </c>
      <c r="B26" s="208"/>
      <c r="C26" s="208"/>
      <c r="D26" s="208"/>
      <c r="E26" s="208"/>
      <c r="F26" s="208"/>
      <c r="G26" s="208"/>
      <c r="H26" s="208"/>
      <c r="I26" s="208"/>
    </row>
    <row r="27" ht="30" customHeight="1" spans="1:26">
      <c r="A27" s="208" t="s">
        <v>187</v>
      </c>
      <c r="B27" s="208"/>
      <c r="C27" s="208"/>
      <c r="D27" s="208"/>
      <c r="E27" s="208"/>
      <c r="F27" s="208"/>
      <c r="G27" s="208"/>
      <c r="H27" s="208"/>
      <c r="I27" s="208"/>
    </row>
    <row r="28" ht="30" customHeight="1" spans="1:26">
      <c r="A28" s="210" t="s">
        <v>118</v>
      </c>
      <c r="B28" s="211"/>
      <c r="C28" s="211"/>
      <c r="D28" s="211"/>
      <c r="E28" s="211"/>
      <c r="F28" s="211"/>
      <c r="G28" s="211"/>
      <c r="H28" s="211"/>
      <c r="I28" s="212"/>
    </row>
    <row r="29" ht="30" customHeight="1" spans="1:26">
      <c r="A29" s="213" t="s">
        <v>188</v>
      </c>
      <c r="B29" s="213"/>
      <c r="C29" s="213"/>
      <c r="D29" s="213"/>
      <c r="E29" s="213"/>
      <c r="F29" s="213"/>
      <c r="G29" s="213"/>
      <c r="H29" s="213"/>
      <c r="I29" s="213"/>
    </row>
    <row r="30" ht="30" customHeight="1" spans="1:26">
      <c r="A30" s="214" t="s">
        <v>189</v>
      </c>
      <c r="B30" s="214"/>
      <c r="C30" s="214"/>
      <c r="D30" s="214"/>
      <c r="E30" s="214"/>
      <c r="F30" s="214"/>
      <c r="G30" s="214"/>
      <c r="H30" s="214"/>
      <c r="I30" s="214"/>
    </row>
    <row r="31" ht="257" customHeight="1" spans="1:26">
      <c r="A31" s="215" t="s">
        <v>190</v>
      </c>
      <c r="B31" s="215"/>
      <c r="C31" s="215"/>
      <c r="D31" s="215"/>
      <c r="E31" s="215"/>
      <c r="F31" s="215"/>
      <c r="G31" s="215"/>
      <c r="H31" s="215"/>
      <c r="I31" s="215"/>
    </row>
    <row r="32" ht="30" customHeight="1" spans="1:26">
      <c r="A32" s="216" t="s">
        <v>191</v>
      </c>
      <c r="B32" s="216"/>
      <c r="C32" s="216"/>
      <c r="D32" s="216"/>
      <c r="E32" s="216"/>
      <c r="F32" s="216"/>
      <c r="G32" s="216"/>
      <c r="H32" s="216"/>
      <c r="I32" s="216"/>
    </row>
    <row r="33" ht="35" customHeight="1" spans="1:9">
      <c r="A33" s="217" t="s">
        <v>192</v>
      </c>
      <c r="B33" s="217"/>
      <c r="C33" s="217"/>
      <c r="D33" s="217"/>
      <c r="E33" s="217"/>
      <c r="F33" s="217"/>
      <c r="G33" s="217"/>
      <c r="H33" s="217"/>
      <c r="I33" s="217"/>
    </row>
    <row r="34" ht="27" customHeight="1" spans="1:9">
      <c r="A34" s="218" t="s">
        <v>193</v>
      </c>
      <c r="B34" s="218"/>
      <c r="C34" s="218"/>
      <c r="D34" s="218"/>
      <c r="E34" s="218"/>
      <c r="F34" s="218"/>
      <c r="G34" s="218"/>
      <c r="H34" s="218"/>
      <c r="I34" s="218"/>
    </row>
    <row r="35" s="181" customFormat="1" ht="28.5" spans="1:9">
      <c r="A35" s="219" t="s">
        <v>194</v>
      </c>
      <c r="B35" s="219"/>
      <c r="C35" s="219"/>
      <c r="D35" s="219"/>
      <c r="E35" s="219"/>
      <c r="F35" s="219"/>
      <c r="G35" s="219"/>
      <c r="H35" s="219"/>
      <c r="I35" s="219"/>
    </row>
  </sheetData>
  <sheetProtection formatCells="0" formatColumns="0" formatRows="0" insertRows="0" insertColumns="0" insertHyperlinks="0" deleteColumns="0" deleteRows="0" sort="0" autoFilter="0" pivotTables="0"/>
  <mergeCells count="31">
    <mergeCell ref="A2:I2"/>
    <mergeCell ref="A3:I3"/>
    <mergeCell ref="A4:I4"/>
    <mergeCell ref="A10:I10"/>
    <mergeCell ref="A15:I15"/>
    <mergeCell ref="A16:I16"/>
    <mergeCell ref="A17:I17"/>
    <mergeCell ref="A18:I18"/>
    <mergeCell ref="A19:I19"/>
    <mergeCell ref="A20:I20"/>
    <mergeCell ref="A21:I21"/>
    <mergeCell ref="A22:I22"/>
    <mergeCell ref="A23:I23"/>
    <mergeCell ref="A24:I24"/>
    <mergeCell ref="A25:I25"/>
    <mergeCell ref="A26:I26"/>
    <mergeCell ref="A27:I27"/>
    <mergeCell ref="A28:I28"/>
    <mergeCell ref="A29:I29"/>
    <mergeCell ref="A30:I30"/>
    <mergeCell ref="A31:I31"/>
    <mergeCell ref="A32:I32"/>
    <mergeCell ref="A33:I33"/>
    <mergeCell ref="A34:I34"/>
    <mergeCell ref="A35:I35"/>
    <mergeCell ref="B6:B9"/>
    <mergeCell ref="B11:B14"/>
    <mergeCell ref="H6:H9"/>
    <mergeCell ref="H11:H14"/>
    <mergeCell ref="I6:I9"/>
    <mergeCell ref="I11:I14"/>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00FFD9"/>
  </sheetPr>
  <dimension ref="A2:L173"/>
  <sheetViews>
    <sheetView workbookViewId="0">
      <selection activeCell="L2" sqref="L2"/>
    </sheetView>
  </sheetViews>
  <sheetFormatPr defaultColWidth="9" defaultRowHeight="15.3"/>
  <cols>
    <col min="1" max="1" width="6.39473684210526" style="155" customWidth="1"/>
    <col min="2" max="10" width="7" style="155" customWidth="1"/>
    <col min="11" max="11" width="9" style="155"/>
    <col min="12" max="12" width="106.868421052632" style="156" customWidth="1"/>
    <col min="13" max="16384" width="9" style="155"/>
  </cols>
  <sheetData>
    <row r="2" ht="17.1" spans="1:12">
      <c r="A2" s="157" t="s">
        <v>195</v>
      </c>
      <c r="B2" s="158"/>
      <c r="C2" s="158"/>
      <c r="D2" s="158"/>
      <c r="E2" s="158"/>
      <c r="F2" s="158"/>
      <c r="G2" s="158"/>
      <c r="H2" s="158"/>
      <c r="I2" s="158"/>
      <c r="J2" s="159"/>
      <c r="L2" s="160" t="s">
        <v>196</v>
      </c>
    </row>
    <row r="3" ht="17.1" spans="1:12">
      <c r="A3" s="131" t="s">
        <v>197</v>
      </c>
      <c r="B3" s="161" t="s">
        <v>198</v>
      </c>
      <c r="C3" s="131" t="s">
        <v>199</v>
      </c>
      <c r="D3" s="131" t="s">
        <v>200</v>
      </c>
      <c r="E3" s="131" t="s">
        <v>201</v>
      </c>
      <c r="F3" s="131" t="s">
        <v>202</v>
      </c>
      <c r="G3" s="131" t="s">
        <v>203</v>
      </c>
      <c r="H3" s="131" t="s">
        <v>204</v>
      </c>
      <c r="I3" s="131" t="s">
        <v>205</v>
      </c>
      <c r="J3" s="162" t="s">
        <v>206</v>
      </c>
      <c r="L3" s="163" t="s">
        <v>207</v>
      </c>
    </row>
    <row r="4" ht="17.1" spans="1:12">
      <c r="A4" s="161">
        <v>1</v>
      </c>
      <c r="B4" s="164">
        <v>3.34152</v>
      </c>
      <c r="C4" s="164">
        <v>3.34152</v>
      </c>
      <c r="D4" s="164">
        <v>3.36294</v>
      </c>
      <c r="E4" s="164">
        <v>3.37365</v>
      </c>
      <c r="F4" s="164">
        <v>3.38436</v>
      </c>
      <c r="G4" s="164">
        <v>3.39507</v>
      </c>
      <c r="H4" s="164">
        <v>3.41649</v>
      </c>
      <c r="I4" s="164">
        <v>3.43791</v>
      </c>
      <c r="J4" s="165">
        <v>4.11264</v>
      </c>
      <c r="L4" s="166" t="s">
        <v>208</v>
      </c>
    </row>
    <row r="5" ht="17.1" spans="1:12">
      <c r="A5" s="161">
        <v>2</v>
      </c>
      <c r="B5" s="164">
        <v>3.35223</v>
      </c>
      <c r="C5" s="164">
        <v>3.35223</v>
      </c>
      <c r="D5" s="164">
        <v>3.37365</v>
      </c>
      <c r="E5" s="164">
        <v>3.39507</v>
      </c>
      <c r="F5" s="164">
        <v>3.40578</v>
      </c>
      <c r="G5" s="164">
        <v>3.4272</v>
      </c>
      <c r="H5" s="164">
        <v>3.44862</v>
      </c>
      <c r="I5" s="164">
        <v>3.47004</v>
      </c>
      <c r="J5" s="165">
        <v>4.14477</v>
      </c>
      <c r="L5" s="166" t="s">
        <v>209</v>
      </c>
    </row>
    <row r="6" ht="17.1" spans="1:12">
      <c r="A6" s="161">
        <v>3</v>
      </c>
      <c r="B6" s="164">
        <v>3.50217</v>
      </c>
      <c r="C6" s="164">
        <v>3.50217</v>
      </c>
      <c r="D6" s="164">
        <v>3.56643</v>
      </c>
      <c r="E6" s="164">
        <v>3.59856</v>
      </c>
      <c r="F6" s="164">
        <v>3.63069</v>
      </c>
      <c r="G6" s="164">
        <v>3.66282</v>
      </c>
      <c r="H6" s="164">
        <v>3.71637</v>
      </c>
      <c r="I6" s="164">
        <v>3.78063</v>
      </c>
      <c r="J6" s="165">
        <v>4.29471</v>
      </c>
      <c r="L6" s="166" t="s">
        <v>210</v>
      </c>
    </row>
    <row r="7" ht="17.1" spans="1:12">
      <c r="A7" s="161">
        <v>4</v>
      </c>
      <c r="B7" s="164">
        <v>3.51288</v>
      </c>
      <c r="C7" s="164">
        <v>3.51288</v>
      </c>
      <c r="D7" s="164">
        <v>3.58785</v>
      </c>
      <c r="E7" s="164">
        <v>3.61998</v>
      </c>
      <c r="F7" s="164">
        <v>3.66282</v>
      </c>
      <c r="G7" s="164">
        <v>3.69495</v>
      </c>
      <c r="H7" s="164">
        <v>3.75921</v>
      </c>
      <c r="I7" s="164">
        <v>3.82347</v>
      </c>
      <c r="J7" s="165">
        <v>4.29471</v>
      </c>
      <c r="L7" s="166" t="s">
        <v>211</v>
      </c>
    </row>
    <row r="8" ht="17.1" spans="1:12">
      <c r="A8" s="161">
        <v>5</v>
      </c>
      <c r="B8" s="164">
        <v>3.57714</v>
      </c>
      <c r="C8" s="164">
        <v>3.57714</v>
      </c>
      <c r="D8" s="164">
        <v>3.65211</v>
      </c>
      <c r="E8" s="164">
        <v>3.69495</v>
      </c>
      <c r="F8" s="164">
        <v>3.72708</v>
      </c>
      <c r="G8" s="164">
        <v>3.76992</v>
      </c>
      <c r="H8" s="164">
        <v>3.83418</v>
      </c>
      <c r="I8" s="164">
        <v>3.90915</v>
      </c>
      <c r="J8" s="165">
        <v>4.61601</v>
      </c>
      <c r="L8" s="166" t="s">
        <v>212</v>
      </c>
    </row>
    <row r="9" ht="17.85" spans="1:12">
      <c r="A9" s="161">
        <v>6</v>
      </c>
      <c r="B9" s="164">
        <v>3.59856</v>
      </c>
      <c r="C9" s="164">
        <v>3.59856</v>
      </c>
      <c r="D9" s="164">
        <v>3.67353</v>
      </c>
      <c r="E9" s="164">
        <v>3.71637</v>
      </c>
      <c r="F9" s="164">
        <v>3.75921</v>
      </c>
      <c r="G9" s="164">
        <v>3.80205</v>
      </c>
      <c r="H9" s="164">
        <v>3.86631</v>
      </c>
      <c r="I9" s="164">
        <v>3.95199</v>
      </c>
      <c r="J9" s="165">
        <v>4.61601</v>
      </c>
      <c r="L9" s="167" t="s">
        <v>213</v>
      </c>
    </row>
    <row r="10" spans="1:12">
      <c r="A10" s="161">
        <v>7</v>
      </c>
      <c r="B10" s="164">
        <v>3.60927</v>
      </c>
      <c r="C10" s="164">
        <v>3.60927</v>
      </c>
      <c r="D10" s="164">
        <v>3.69495</v>
      </c>
      <c r="E10" s="164">
        <v>3.73779</v>
      </c>
      <c r="F10" s="164">
        <v>3.79134</v>
      </c>
      <c r="G10" s="164">
        <v>3.83418</v>
      </c>
      <c r="H10" s="164">
        <v>3.90915</v>
      </c>
      <c r="I10" s="164">
        <v>3.99483</v>
      </c>
      <c r="J10" s="165">
        <v>4.61601</v>
      </c>
      <c r="L10" s="155"/>
    </row>
    <row r="11" spans="1:12">
      <c r="A11" s="161">
        <v>8</v>
      </c>
      <c r="B11" s="164">
        <v>3.63069</v>
      </c>
      <c r="C11" s="164">
        <v>3.63069</v>
      </c>
      <c r="D11" s="164">
        <v>3.71637</v>
      </c>
      <c r="E11" s="164">
        <v>3.76992</v>
      </c>
      <c r="F11" s="164">
        <v>3.81276</v>
      </c>
      <c r="G11" s="164">
        <v>3.86631</v>
      </c>
      <c r="H11" s="164">
        <v>3.95199</v>
      </c>
      <c r="I11" s="164">
        <v>4.03767</v>
      </c>
      <c r="J11" s="165">
        <v>4.61601</v>
      </c>
      <c r="L11" s="155"/>
    </row>
    <row r="12" spans="1:12">
      <c r="A12" s="161">
        <v>9</v>
      </c>
      <c r="B12" s="164">
        <v>3.89844</v>
      </c>
      <c r="C12" s="164">
        <v>3.89844</v>
      </c>
      <c r="D12" s="164">
        <v>3.99483</v>
      </c>
      <c r="E12" s="164">
        <v>4.04838</v>
      </c>
      <c r="F12" s="164">
        <v>4.10193</v>
      </c>
      <c r="G12" s="164">
        <v>4.15548</v>
      </c>
      <c r="H12" s="164">
        <v>4.24116</v>
      </c>
      <c r="I12" s="164">
        <v>4.33755</v>
      </c>
      <c r="J12" s="165">
        <v>5.49423</v>
      </c>
      <c r="L12" s="155"/>
    </row>
    <row r="13" spans="1:12">
      <c r="A13" s="161">
        <v>10</v>
      </c>
      <c r="B13" s="164">
        <v>3.90915</v>
      </c>
      <c r="C13" s="164">
        <v>3.90915</v>
      </c>
      <c r="D13" s="164">
        <v>4.01625</v>
      </c>
      <c r="E13" s="164">
        <v>4.0698</v>
      </c>
      <c r="F13" s="164">
        <v>4.12335</v>
      </c>
      <c r="G13" s="164">
        <v>4.1769</v>
      </c>
      <c r="H13" s="164">
        <v>4.27329</v>
      </c>
      <c r="I13" s="164">
        <v>4.38039</v>
      </c>
      <c r="J13" s="165">
        <v>5.53707</v>
      </c>
      <c r="L13" s="155"/>
    </row>
    <row r="14" spans="1:12">
      <c r="A14" s="161">
        <v>11</v>
      </c>
      <c r="B14" s="164">
        <v>3.93057</v>
      </c>
      <c r="C14" s="164">
        <v>3.93057</v>
      </c>
      <c r="D14" s="164">
        <v>4.03767</v>
      </c>
      <c r="E14" s="164">
        <v>4.09122</v>
      </c>
      <c r="F14" s="164">
        <v>4.15548</v>
      </c>
      <c r="G14" s="164">
        <v>4.20903</v>
      </c>
      <c r="H14" s="164">
        <v>4.31613</v>
      </c>
      <c r="I14" s="164">
        <v>4.41252</v>
      </c>
      <c r="J14" s="165">
        <v>5.53707</v>
      </c>
      <c r="L14" s="155"/>
    </row>
    <row r="15" spans="1:12">
      <c r="A15" s="161">
        <v>12</v>
      </c>
      <c r="B15" s="164">
        <v>3.94128</v>
      </c>
      <c r="C15" s="164">
        <v>3.94128</v>
      </c>
      <c r="D15" s="164">
        <v>4.05909</v>
      </c>
      <c r="E15" s="164">
        <v>4.12335</v>
      </c>
      <c r="F15" s="164">
        <v>4.18761</v>
      </c>
      <c r="G15" s="164">
        <v>4.24116</v>
      </c>
      <c r="H15" s="164">
        <v>4.35897</v>
      </c>
      <c r="I15" s="164">
        <v>4.46607</v>
      </c>
      <c r="J15" s="165">
        <v>5.53707</v>
      </c>
      <c r="L15" s="155"/>
    </row>
    <row r="16" spans="1:12">
      <c r="A16" s="161">
        <v>13</v>
      </c>
      <c r="B16" s="164">
        <v>4.46607</v>
      </c>
      <c r="C16" s="164">
        <v>4.46607</v>
      </c>
      <c r="D16" s="164">
        <v>4.58388</v>
      </c>
      <c r="E16" s="164">
        <v>4.64814</v>
      </c>
      <c r="F16" s="164">
        <v>4.7124</v>
      </c>
      <c r="G16" s="164">
        <v>4.77666</v>
      </c>
      <c r="H16" s="164">
        <v>4.89447</v>
      </c>
      <c r="I16" s="164">
        <v>5.01228</v>
      </c>
      <c r="J16" s="165">
        <v>6.38316</v>
      </c>
      <c r="L16" s="155"/>
    </row>
    <row r="17" spans="1:12">
      <c r="A17" s="161">
        <v>14</v>
      </c>
      <c r="B17" s="164">
        <v>4.47678</v>
      </c>
      <c r="C17" s="164">
        <v>4.47678</v>
      </c>
      <c r="D17" s="164">
        <v>4.6053</v>
      </c>
      <c r="E17" s="164">
        <v>4.66956</v>
      </c>
      <c r="F17" s="164">
        <v>4.74453</v>
      </c>
      <c r="G17" s="164">
        <v>4.80879</v>
      </c>
      <c r="H17" s="164">
        <v>4.93731</v>
      </c>
      <c r="I17" s="164">
        <v>5.05512</v>
      </c>
      <c r="J17" s="165">
        <v>6.426</v>
      </c>
      <c r="L17" s="155"/>
    </row>
    <row r="18" spans="1:12">
      <c r="A18" s="161">
        <v>15</v>
      </c>
      <c r="B18" s="164">
        <v>4.4982</v>
      </c>
      <c r="C18" s="164">
        <v>4.4982</v>
      </c>
      <c r="D18" s="164">
        <v>4.63743</v>
      </c>
      <c r="E18" s="164">
        <v>4.70169</v>
      </c>
      <c r="F18" s="164">
        <v>4.77666</v>
      </c>
      <c r="G18" s="164">
        <v>4.85163</v>
      </c>
      <c r="H18" s="164">
        <v>4.98015</v>
      </c>
      <c r="I18" s="164">
        <v>5.09796</v>
      </c>
      <c r="J18" s="165">
        <v>6.46884</v>
      </c>
      <c r="L18" s="155"/>
    </row>
    <row r="19" ht="16.05" spans="1:12">
      <c r="A19" s="168">
        <v>15.99</v>
      </c>
      <c r="B19" s="169">
        <v>4.51962</v>
      </c>
      <c r="C19" s="169">
        <v>4.51962</v>
      </c>
      <c r="D19" s="169">
        <v>4.65885</v>
      </c>
      <c r="E19" s="169">
        <v>4.73382</v>
      </c>
      <c r="F19" s="169">
        <v>4.80879</v>
      </c>
      <c r="G19" s="169">
        <v>4.88376</v>
      </c>
      <c r="H19" s="169">
        <v>5.01228</v>
      </c>
      <c r="I19" s="169">
        <v>5.1408</v>
      </c>
      <c r="J19" s="170">
        <v>6.51168</v>
      </c>
      <c r="L19" s="155"/>
    </row>
    <row r="20" ht="16.05" spans="1:12">
      <c r="A20" s="171"/>
      <c r="B20" s="172"/>
      <c r="C20" s="172"/>
      <c r="D20" s="172"/>
      <c r="E20" s="172"/>
      <c r="F20" s="172"/>
      <c r="G20" s="172"/>
      <c r="H20" s="172"/>
      <c r="I20" s="172"/>
      <c r="J20" s="173"/>
      <c r="K20" s="174"/>
      <c r="L20" s="155"/>
    </row>
    <row r="21" spans="1:12">
      <c r="A21" s="146" t="s">
        <v>214</v>
      </c>
      <c r="B21" s="175" t="s">
        <v>198</v>
      </c>
      <c r="C21" s="146" t="s">
        <v>199</v>
      </c>
      <c r="D21" s="146" t="s">
        <v>200</v>
      </c>
      <c r="E21" s="146" t="s">
        <v>201</v>
      </c>
      <c r="F21" s="146" t="s">
        <v>202</v>
      </c>
      <c r="G21" s="146" t="s">
        <v>203</v>
      </c>
      <c r="H21" s="146" t="s">
        <v>204</v>
      </c>
      <c r="I21" s="146" t="s">
        <v>205</v>
      </c>
      <c r="J21" s="176" t="s">
        <v>206</v>
      </c>
      <c r="K21" s="177"/>
    </row>
    <row r="22" spans="1:12">
      <c r="A22" s="161">
        <v>1</v>
      </c>
      <c r="B22" s="164">
        <v>4.90518</v>
      </c>
      <c r="C22" s="164">
        <v>4.90518</v>
      </c>
      <c r="D22" s="164">
        <v>5.06583</v>
      </c>
      <c r="E22" s="164">
        <v>5.16222</v>
      </c>
      <c r="F22" s="164">
        <v>5.26932</v>
      </c>
      <c r="G22" s="164">
        <v>5.355</v>
      </c>
      <c r="H22" s="164">
        <v>5.49423</v>
      </c>
      <c r="I22" s="164">
        <v>5.63346</v>
      </c>
      <c r="J22" s="165">
        <v>11.27763</v>
      </c>
      <c r="K22" s="178"/>
    </row>
    <row r="23" spans="1:12">
      <c r="A23" s="161">
        <v>2</v>
      </c>
      <c r="B23" s="164">
        <v>5.48352</v>
      </c>
      <c r="C23" s="164">
        <v>5.48352</v>
      </c>
      <c r="D23" s="164">
        <v>5.75127</v>
      </c>
      <c r="E23" s="164">
        <v>5.91192</v>
      </c>
      <c r="F23" s="164">
        <v>6.08328</v>
      </c>
      <c r="G23" s="164">
        <v>6.2118</v>
      </c>
      <c r="H23" s="164">
        <v>6.46884</v>
      </c>
      <c r="I23" s="164">
        <v>6.70446</v>
      </c>
      <c r="J23" s="165">
        <v>16.42914</v>
      </c>
      <c r="K23" s="178"/>
    </row>
    <row r="24" spans="1:12">
      <c r="A24" s="161">
        <v>3</v>
      </c>
      <c r="B24" s="164">
        <v>5.84766</v>
      </c>
      <c r="C24" s="164">
        <v>5.84766</v>
      </c>
      <c r="D24" s="164">
        <v>6.23322</v>
      </c>
      <c r="E24" s="164">
        <v>6.45813</v>
      </c>
      <c r="F24" s="164">
        <v>6.69375</v>
      </c>
      <c r="G24" s="164">
        <v>6.87582</v>
      </c>
      <c r="H24" s="164">
        <v>7.25067</v>
      </c>
      <c r="I24" s="164">
        <v>7.58268</v>
      </c>
      <c r="J24" s="165">
        <v>20.33829</v>
      </c>
      <c r="K24" s="178"/>
    </row>
    <row r="25" spans="1:12">
      <c r="A25" s="161">
        <v>4</v>
      </c>
      <c r="B25" s="164">
        <v>6.24393</v>
      </c>
      <c r="C25" s="164">
        <v>6.24393</v>
      </c>
      <c r="D25" s="164">
        <v>6.73659</v>
      </c>
      <c r="E25" s="164">
        <v>7.01505</v>
      </c>
      <c r="F25" s="164">
        <v>7.32564</v>
      </c>
      <c r="G25" s="164">
        <v>7.57197</v>
      </c>
      <c r="H25" s="164">
        <v>8.04321</v>
      </c>
      <c r="I25" s="164">
        <v>8.45019</v>
      </c>
      <c r="J25" s="165">
        <v>25.95033</v>
      </c>
      <c r="K25" s="178"/>
    </row>
    <row r="26" spans="1:12">
      <c r="A26" s="161">
        <v>5</v>
      </c>
      <c r="B26" s="164">
        <v>6.60807</v>
      </c>
      <c r="C26" s="164">
        <v>6.60807</v>
      </c>
      <c r="D26" s="164">
        <v>7.21854</v>
      </c>
      <c r="E26" s="164">
        <v>7.55055</v>
      </c>
      <c r="F26" s="164">
        <v>7.9254</v>
      </c>
      <c r="G26" s="164">
        <v>8.23599</v>
      </c>
      <c r="H26" s="164">
        <v>8.81433</v>
      </c>
      <c r="I26" s="164">
        <v>9.29628</v>
      </c>
      <c r="J26" s="165">
        <v>29.74167</v>
      </c>
      <c r="K26" s="178"/>
    </row>
    <row r="27" spans="1:12">
      <c r="A27" s="161">
        <v>6</v>
      </c>
      <c r="B27" s="164">
        <v>8.43948</v>
      </c>
      <c r="C27" s="164">
        <v>8.63226</v>
      </c>
      <c r="D27" s="164">
        <v>9.18918</v>
      </c>
      <c r="E27" s="164">
        <v>10.13166</v>
      </c>
      <c r="F27" s="164">
        <v>13.37679</v>
      </c>
      <c r="G27" s="164">
        <v>17.6715</v>
      </c>
      <c r="H27" s="164">
        <v>22.58739</v>
      </c>
      <c r="I27" s="164">
        <v>26.25021</v>
      </c>
      <c r="J27" s="165">
        <v>55.45638</v>
      </c>
      <c r="K27" s="178"/>
    </row>
    <row r="28" spans="1:12">
      <c r="A28" s="161">
        <v>7</v>
      </c>
      <c r="B28" s="164">
        <v>8.6751</v>
      </c>
      <c r="C28" s="164">
        <v>8.8893</v>
      </c>
      <c r="D28" s="164">
        <v>9.76752</v>
      </c>
      <c r="E28" s="164">
        <v>10.71</v>
      </c>
      <c r="F28" s="164">
        <v>14.28714</v>
      </c>
      <c r="G28" s="164">
        <v>19.07451</v>
      </c>
      <c r="H28" s="164">
        <v>24.48306</v>
      </c>
      <c r="I28" s="164">
        <v>28.51002</v>
      </c>
      <c r="J28" s="165">
        <v>62.23581</v>
      </c>
      <c r="K28" s="178"/>
    </row>
    <row r="29" spans="1:12">
      <c r="A29" s="161">
        <v>8</v>
      </c>
      <c r="B29" s="164">
        <v>9.16776</v>
      </c>
      <c r="C29" s="164">
        <v>9.37125</v>
      </c>
      <c r="D29" s="164">
        <v>10.33515</v>
      </c>
      <c r="E29" s="164">
        <v>11.36331</v>
      </c>
      <c r="F29" s="164">
        <v>15.25104</v>
      </c>
      <c r="G29" s="164">
        <v>20.50965</v>
      </c>
      <c r="H29" s="164">
        <v>26.36802</v>
      </c>
      <c r="I29" s="164">
        <v>30.79125</v>
      </c>
      <c r="J29" s="165">
        <v>69.80778</v>
      </c>
      <c r="K29" s="178"/>
    </row>
    <row r="30" spans="1:12">
      <c r="A30" s="161">
        <v>9</v>
      </c>
      <c r="B30" s="164">
        <v>9.75681</v>
      </c>
      <c r="C30" s="164">
        <v>9.99243</v>
      </c>
      <c r="D30" s="164">
        <v>11.00988</v>
      </c>
      <c r="E30" s="164">
        <v>12.15585</v>
      </c>
      <c r="F30" s="164">
        <v>16.32204</v>
      </c>
      <c r="G30" s="164">
        <v>21.97692</v>
      </c>
      <c r="H30" s="164">
        <v>28.33866</v>
      </c>
      <c r="I30" s="164">
        <v>33.0939</v>
      </c>
      <c r="J30" s="165">
        <v>77.55111</v>
      </c>
      <c r="K30" s="178"/>
    </row>
    <row r="31" spans="1:12">
      <c r="A31" s="161">
        <v>10</v>
      </c>
      <c r="B31" s="164">
        <v>10.36728</v>
      </c>
      <c r="C31" s="164">
        <v>10.61361</v>
      </c>
      <c r="D31" s="164">
        <v>11.71674</v>
      </c>
      <c r="E31" s="164">
        <v>12.93768</v>
      </c>
      <c r="F31" s="164">
        <v>17.40375</v>
      </c>
      <c r="G31" s="164">
        <v>23.46561</v>
      </c>
      <c r="H31" s="164">
        <v>30.32001</v>
      </c>
      <c r="I31" s="164">
        <v>35.24661</v>
      </c>
      <c r="J31" s="165">
        <v>84.33054</v>
      </c>
      <c r="K31" s="178"/>
    </row>
    <row r="32" spans="1:12">
      <c r="A32" s="161">
        <v>11</v>
      </c>
      <c r="B32" s="164">
        <v>12.30579</v>
      </c>
      <c r="C32" s="164">
        <v>12.61638</v>
      </c>
      <c r="D32" s="164">
        <v>13.88016</v>
      </c>
      <c r="E32" s="164">
        <v>15.43311</v>
      </c>
      <c r="F32" s="164">
        <v>22.31964</v>
      </c>
      <c r="G32" s="164">
        <v>31.65876</v>
      </c>
      <c r="H32" s="164">
        <v>42.34734</v>
      </c>
      <c r="I32" s="164">
        <v>51.03315</v>
      </c>
      <c r="J32" s="165">
        <v>114.87546</v>
      </c>
      <c r="K32" s="178"/>
    </row>
    <row r="33" spans="1:11">
      <c r="A33" s="161">
        <v>12</v>
      </c>
      <c r="B33" s="164">
        <v>12.84129</v>
      </c>
      <c r="C33" s="164">
        <v>13.16259</v>
      </c>
      <c r="D33" s="164">
        <v>14.57631</v>
      </c>
      <c r="E33" s="164">
        <v>16.62192</v>
      </c>
      <c r="F33" s="164">
        <v>24.17247</v>
      </c>
      <c r="G33" s="164">
        <v>34.02567</v>
      </c>
      <c r="H33" s="164">
        <v>45.24975</v>
      </c>
      <c r="I33" s="164">
        <v>54.54603</v>
      </c>
      <c r="J33" s="165">
        <v>123.7005</v>
      </c>
      <c r="K33" s="178"/>
    </row>
    <row r="34" spans="1:11">
      <c r="A34" s="161">
        <v>13</v>
      </c>
      <c r="B34" s="164">
        <v>13.41963</v>
      </c>
      <c r="C34" s="164">
        <v>13.75164</v>
      </c>
      <c r="D34" s="164">
        <v>15.27246</v>
      </c>
      <c r="E34" s="164">
        <v>17.96067</v>
      </c>
      <c r="F34" s="164">
        <v>26.00388</v>
      </c>
      <c r="G34" s="164">
        <v>36.40329</v>
      </c>
      <c r="H34" s="164">
        <v>48.13074</v>
      </c>
      <c r="I34" s="164">
        <v>58.06962</v>
      </c>
      <c r="J34" s="165">
        <v>128.90556</v>
      </c>
      <c r="K34" s="178"/>
    </row>
    <row r="35" spans="1:11">
      <c r="A35" s="161">
        <v>14</v>
      </c>
      <c r="B35" s="164">
        <v>14.04081</v>
      </c>
      <c r="C35" s="164">
        <v>14.39424</v>
      </c>
      <c r="D35" s="164">
        <v>16.21494</v>
      </c>
      <c r="E35" s="164">
        <v>19.26729</v>
      </c>
      <c r="F35" s="164">
        <v>27.82458</v>
      </c>
      <c r="G35" s="164">
        <v>38.67381</v>
      </c>
      <c r="H35" s="164">
        <v>51.05457</v>
      </c>
      <c r="I35" s="164">
        <v>61.60392</v>
      </c>
      <c r="J35" s="165">
        <v>135.9099</v>
      </c>
      <c r="K35" s="178"/>
    </row>
    <row r="36" spans="1:11">
      <c r="A36" s="161">
        <v>15</v>
      </c>
      <c r="B36" s="164">
        <v>14.49063</v>
      </c>
      <c r="C36" s="164">
        <v>14.85477</v>
      </c>
      <c r="D36" s="164">
        <v>17.29665</v>
      </c>
      <c r="E36" s="164">
        <v>20.49894</v>
      </c>
      <c r="F36" s="164">
        <v>29.65599</v>
      </c>
      <c r="G36" s="164">
        <v>40.93362</v>
      </c>
      <c r="H36" s="164">
        <v>53.95698</v>
      </c>
      <c r="I36" s="164">
        <v>65.10609</v>
      </c>
      <c r="J36" s="165">
        <v>140.31171</v>
      </c>
      <c r="K36" s="178"/>
    </row>
    <row r="37" spans="1:11">
      <c r="A37" s="161">
        <v>16</v>
      </c>
      <c r="B37" s="164">
        <v>15.28317</v>
      </c>
      <c r="C37" s="164">
        <v>15.80796</v>
      </c>
      <c r="D37" s="164">
        <v>18.30339</v>
      </c>
      <c r="E37" s="164">
        <v>21.67704</v>
      </c>
      <c r="F37" s="164">
        <v>31.45527</v>
      </c>
      <c r="G37" s="164">
        <v>43.17201</v>
      </c>
      <c r="H37" s="164">
        <v>56.82726</v>
      </c>
      <c r="I37" s="164">
        <v>68.57613</v>
      </c>
      <c r="J37" s="165">
        <v>148.40847</v>
      </c>
      <c r="K37" s="178"/>
    </row>
    <row r="38" spans="1:11">
      <c r="A38" s="161">
        <v>17</v>
      </c>
      <c r="B38" s="164">
        <v>16.09713</v>
      </c>
      <c r="C38" s="164">
        <v>16.65405</v>
      </c>
      <c r="D38" s="164">
        <v>19.32084</v>
      </c>
      <c r="E38" s="164">
        <v>22.85514</v>
      </c>
      <c r="F38" s="164">
        <v>33.07248</v>
      </c>
      <c r="G38" s="164">
        <v>45.16407</v>
      </c>
      <c r="H38" s="164">
        <v>59.47263</v>
      </c>
      <c r="I38" s="164">
        <v>71.79984</v>
      </c>
      <c r="J38" s="165">
        <v>156.34458</v>
      </c>
      <c r="K38" s="178"/>
    </row>
    <row r="39" spans="1:11">
      <c r="A39" s="161">
        <v>18</v>
      </c>
      <c r="B39" s="164">
        <v>17.05032</v>
      </c>
      <c r="C39" s="164">
        <v>17.63937</v>
      </c>
      <c r="D39" s="164">
        <v>20.35971</v>
      </c>
      <c r="E39" s="164">
        <v>24.04395</v>
      </c>
      <c r="F39" s="164">
        <v>34.76466</v>
      </c>
      <c r="G39" s="164">
        <v>47.25252</v>
      </c>
      <c r="H39" s="164">
        <v>62.19297</v>
      </c>
      <c r="I39" s="164">
        <v>75.10923</v>
      </c>
      <c r="J39" s="165">
        <v>164.41992</v>
      </c>
      <c r="K39" s="178"/>
    </row>
    <row r="40" spans="1:11">
      <c r="A40" s="161">
        <v>19</v>
      </c>
      <c r="B40" s="164">
        <v>17.89641</v>
      </c>
      <c r="C40" s="164">
        <v>18.5283</v>
      </c>
      <c r="D40" s="164">
        <v>21.38787</v>
      </c>
      <c r="E40" s="164">
        <v>25.22205</v>
      </c>
      <c r="F40" s="164">
        <v>36.44613</v>
      </c>
      <c r="G40" s="164">
        <v>49.34097</v>
      </c>
      <c r="H40" s="164">
        <v>64.9026</v>
      </c>
      <c r="I40" s="164">
        <v>78.38649</v>
      </c>
      <c r="J40" s="165">
        <v>172.38816</v>
      </c>
      <c r="K40" s="178"/>
    </row>
    <row r="41" spans="1:11">
      <c r="A41" s="161">
        <v>20</v>
      </c>
      <c r="B41" s="164">
        <v>18.96741</v>
      </c>
      <c r="C41" s="164">
        <v>19.79208</v>
      </c>
      <c r="D41" s="164">
        <v>22.96224</v>
      </c>
      <c r="E41" s="164">
        <v>26.53938</v>
      </c>
      <c r="F41" s="164">
        <v>38.64168</v>
      </c>
      <c r="G41" s="164">
        <v>52.45758</v>
      </c>
      <c r="H41" s="164">
        <v>69.4008</v>
      </c>
      <c r="I41" s="164">
        <v>83.1096</v>
      </c>
      <c r="J41" s="165">
        <v>181.89864</v>
      </c>
      <c r="K41" s="178"/>
    </row>
    <row r="42" spans="1:11">
      <c r="A42" s="161">
        <v>21</v>
      </c>
      <c r="B42" s="164">
        <v>20.349</v>
      </c>
      <c r="C42" s="164">
        <v>21.64491</v>
      </c>
      <c r="D42" s="164">
        <v>24.89004</v>
      </c>
      <c r="E42" s="164">
        <v>28.75635</v>
      </c>
      <c r="F42" s="164">
        <v>41.61906</v>
      </c>
      <c r="G42" s="164">
        <v>57.58767</v>
      </c>
      <c r="H42" s="164">
        <v>75.35556</v>
      </c>
      <c r="I42" s="164">
        <v>89.03223</v>
      </c>
      <c r="J42" s="165">
        <v>189.25641</v>
      </c>
      <c r="K42" s="178"/>
    </row>
    <row r="43" spans="1:11">
      <c r="A43" s="161">
        <v>22</v>
      </c>
      <c r="B43" s="164">
        <v>22.50171</v>
      </c>
      <c r="C43" s="164">
        <v>24.10821</v>
      </c>
      <c r="D43" s="164">
        <v>27.89955</v>
      </c>
      <c r="E43" s="164">
        <v>32.42988</v>
      </c>
      <c r="F43" s="164">
        <v>46.10655</v>
      </c>
      <c r="G43" s="164">
        <v>64.00296</v>
      </c>
      <c r="H43" s="164">
        <v>82.54197</v>
      </c>
      <c r="I43" s="164">
        <v>96.50781</v>
      </c>
      <c r="J43" s="165">
        <v>196.57134</v>
      </c>
      <c r="K43" s="178"/>
    </row>
    <row r="44" spans="1:11">
      <c r="A44" s="161">
        <v>23</v>
      </c>
      <c r="B44" s="164">
        <v>24.9543</v>
      </c>
      <c r="C44" s="164">
        <v>26.78571</v>
      </c>
      <c r="D44" s="164">
        <v>31.33746</v>
      </c>
      <c r="E44" s="164">
        <v>37.07802</v>
      </c>
      <c r="F44" s="164">
        <v>51.69717</v>
      </c>
      <c r="G44" s="164">
        <v>71.71416</v>
      </c>
      <c r="H44" s="164">
        <v>90.9279</v>
      </c>
      <c r="I44" s="164">
        <v>105.56847</v>
      </c>
      <c r="J44" s="165">
        <v>204.44319</v>
      </c>
      <c r="K44" s="178"/>
    </row>
    <row r="45" spans="1:11">
      <c r="A45" s="161">
        <v>24</v>
      </c>
      <c r="B45" s="164">
        <v>27.71748</v>
      </c>
      <c r="C45" s="164">
        <v>29.73096</v>
      </c>
      <c r="D45" s="164">
        <v>35.19306</v>
      </c>
      <c r="E45" s="164">
        <v>42.70077</v>
      </c>
      <c r="F45" s="164">
        <v>58.43376</v>
      </c>
      <c r="G45" s="164">
        <v>80.72127</v>
      </c>
      <c r="H45" s="164">
        <v>100.54548</v>
      </c>
      <c r="I45" s="164">
        <v>116.19279</v>
      </c>
      <c r="J45" s="165">
        <v>216.97389</v>
      </c>
      <c r="K45" s="178"/>
    </row>
    <row r="46" spans="1:11">
      <c r="A46" s="161">
        <v>25</v>
      </c>
      <c r="B46" s="164">
        <v>30.51279</v>
      </c>
      <c r="C46" s="164">
        <v>32.89041</v>
      </c>
      <c r="D46" s="164">
        <v>39.48777</v>
      </c>
      <c r="E46" s="164">
        <v>49.08393</v>
      </c>
      <c r="F46" s="164">
        <v>66.16638</v>
      </c>
      <c r="G46" s="164">
        <v>89.06436</v>
      </c>
      <c r="H46" s="164">
        <v>108.83502</v>
      </c>
      <c r="I46" s="164">
        <v>125.8425</v>
      </c>
      <c r="J46" s="165">
        <v>227.30904</v>
      </c>
      <c r="K46" s="178"/>
    </row>
    <row r="47" spans="1:11">
      <c r="A47" s="161">
        <v>26</v>
      </c>
      <c r="B47" s="164">
        <v>33.9507</v>
      </c>
      <c r="C47" s="164">
        <v>38.57742</v>
      </c>
      <c r="D47" s="164">
        <v>45.90306</v>
      </c>
      <c r="E47" s="164">
        <v>60.70428</v>
      </c>
      <c r="F47" s="164">
        <v>82.32777</v>
      </c>
      <c r="G47" s="164">
        <v>106.07184</v>
      </c>
      <c r="H47" s="164">
        <v>127.64178</v>
      </c>
      <c r="I47" s="164">
        <v>149.13675</v>
      </c>
      <c r="J47" s="165">
        <v>239.86116</v>
      </c>
      <c r="K47" s="178"/>
    </row>
    <row r="48" spans="1:11">
      <c r="A48" s="161">
        <v>27</v>
      </c>
      <c r="B48" s="164">
        <v>36.29619</v>
      </c>
      <c r="C48" s="164">
        <v>41.05143</v>
      </c>
      <c r="D48" s="164">
        <v>48.6234</v>
      </c>
      <c r="E48" s="164">
        <v>65.28816</v>
      </c>
      <c r="F48" s="164">
        <v>90.0711</v>
      </c>
      <c r="G48" s="164">
        <v>109.78821</v>
      </c>
      <c r="H48" s="164">
        <v>132.70761</v>
      </c>
      <c r="I48" s="164">
        <v>156.35529</v>
      </c>
      <c r="J48" s="165">
        <v>250.57116</v>
      </c>
      <c r="K48" s="178"/>
    </row>
    <row r="49" spans="1:11">
      <c r="A49" s="161">
        <v>28</v>
      </c>
      <c r="B49" s="164">
        <v>37.82772</v>
      </c>
      <c r="C49" s="164">
        <v>42.49728</v>
      </c>
      <c r="D49" s="164">
        <v>49.91931</v>
      </c>
      <c r="E49" s="164">
        <v>67.56939</v>
      </c>
      <c r="F49" s="164">
        <v>93.0699</v>
      </c>
      <c r="G49" s="164">
        <v>112.55139</v>
      </c>
      <c r="H49" s="164">
        <v>136.83096</v>
      </c>
      <c r="I49" s="164">
        <v>162.77058</v>
      </c>
      <c r="J49" s="165">
        <v>260.27442</v>
      </c>
      <c r="K49" s="178"/>
    </row>
    <row r="50" spans="1:11">
      <c r="A50" s="161">
        <v>29</v>
      </c>
      <c r="B50" s="164">
        <v>39.36996</v>
      </c>
      <c r="C50" s="164">
        <v>43.92171</v>
      </c>
      <c r="D50" s="164">
        <v>51.09741</v>
      </c>
      <c r="E50" s="164">
        <v>69.8292</v>
      </c>
      <c r="F50" s="164">
        <v>95.30829</v>
      </c>
      <c r="G50" s="164">
        <v>115.50735</v>
      </c>
      <c r="H50" s="164">
        <v>140.95431</v>
      </c>
      <c r="I50" s="164">
        <v>168.09345</v>
      </c>
      <c r="J50" s="165">
        <v>268.04988</v>
      </c>
      <c r="K50" s="178"/>
    </row>
    <row r="51" spans="1:11">
      <c r="A51" s="161">
        <v>30</v>
      </c>
      <c r="B51" s="164">
        <v>40.9122</v>
      </c>
      <c r="C51" s="164">
        <v>45.35685</v>
      </c>
      <c r="D51" s="164">
        <v>52.40403</v>
      </c>
      <c r="E51" s="164">
        <v>71.91765</v>
      </c>
      <c r="F51" s="164">
        <v>97.55739</v>
      </c>
      <c r="G51" s="164">
        <v>119.32011</v>
      </c>
      <c r="H51" s="164">
        <v>145.00269</v>
      </c>
      <c r="I51" s="164">
        <v>172.74159</v>
      </c>
      <c r="J51" s="165">
        <v>274.88286</v>
      </c>
      <c r="K51" s="178"/>
    </row>
    <row r="52" spans="1:11">
      <c r="A52" s="161">
        <v>31</v>
      </c>
      <c r="B52" s="164">
        <v>42.43302</v>
      </c>
      <c r="C52" s="164">
        <v>46.75986</v>
      </c>
      <c r="D52" s="164">
        <v>53.53929</v>
      </c>
      <c r="E52" s="164">
        <v>73.65267</v>
      </c>
      <c r="F52" s="164">
        <v>99.74223</v>
      </c>
      <c r="G52" s="164">
        <v>122.12613</v>
      </c>
      <c r="H52" s="164">
        <v>149.0832</v>
      </c>
      <c r="I52" s="164">
        <v>177.62535</v>
      </c>
      <c r="J52" s="165">
        <v>283.2795</v>
      </c>
      <c r="K52" s="178"/>
    </row>
    <row r="53" spans="1:11">
      <c r="A53" s="161">
        <v>32</v>
      </c>
      <c r="B53" s="164">
        <v>43.33266</v>
      </c>
      <c r="C53" s="164">
        <v>47.89512</v>
      </c>
      <c r="D53" s="164">
        <v>55.08153</v>
      </c>
      <c r="E53" s="164">
        <v>75.41982</v>
      </c>
      <c r="F53" s="164">
        <v>101.8521</v>
      </c>
      <c r="G53" s="164">
        <v>124.82505</v>
      </c>
      <c r="H53" s="164">
        <v>153.14229</v>
      </c>
      <c r="I53" s="164">
        <v>181.98432</v>
      </c>
      <c r="J53" s="165">
        <v>290.0268</v>
      </c>
      <c r="K53" s="178"/>
    </row>
    <row r="54" spans="1:11">
      <c r="A54" s="161">
        <v>33</v>
      </c>
      <c r="B54" s="164">
        <v>44.32869</v>
      </c>
      <c r="C54" s="164">
        <v>49.20174</v>
      </c>
      <c r="D54" s="164">
        <v>56.88081</v>
      </c>
      <c r="E54" s="164">
        <v>77.61537</v>
      </c>
      <c r="F54" s="164">
        <v>104.03694</v>
      </c>
      <c r="G54" s="164">
        <v>128.00592</v>
      </c>
      <c r="H54" s="164">
        <v>157.13712</v>
      </c>
      <c r="I54" s="164">
        <v>186.63246</v>
      </c>
      <c r="J54" s="165">
        <v>296.42067</v>
      </c>
      <c r="K54" s="178"/>
    </row>
    <row r="55" spans="1:11">
      <c r="A55" s="161">
        <v>34</v>
      </c>
      <c r="B55" s="164">
        <v>45.11052</v>
      </c>
      <c r="C55" s="164">
        <v>50.34771</v>
      </c>
      <c r="D55" s="164">
        <v>58.61583</v>
      </c>
      <c r="E55" s="164">
        <v>79.83234</v>
      </c>
      <c r="F55" s="164">
        <v>106.78941</v>
      </c>
      <c r="G55" s="164">
        <v>131.57235</v>
      </c>
      <c r="H55" s="164">
        <v>161.13195</v>
      </c>
      <c r="I55" s="164">
        <v>191.18421</v>
      </c>
      <c r="J55" s="165">
        <v>302.96448</v>
      </c>
      <c r="K55" s="178"/>
    </row>
    <row r="56" spans="1:11">
      <c r="A56" s="161">
        <v>35</v>
      </c>
      <c r="B56" s="164">
        <v>45.97803</v>
      </c>
      <c r="C56" s="164">
        <v>51.50439</v>
      </c>
      <c r="D56" s="164">
        <v>60.26517</v>
      </c>
      <c r="E56" s="164">
        <v>81.49239</v>
      </c>
      <c r="F56" s="164">
        <v>109.53117</v>
      </c>
      <c r="G56" s="164">
        <v>135.36369</v>
      </c>
      <c r="H56" s="164">
        <v>165.09465</v>
      </c>
      <c r="I56" s="164">
        <v>195.25401</v>
      </c>
      <c r="J56" s="165">
        <v>309.11202</v>
      </c>
      <c r="K56" s="178"/>
    </row>
    <row r="57" spans="1:11">
      <c r="A57" s="161">
        <v>36</v>
      </c>
      <c r="B57" s="164">
        <v>46.84554</v>
      </c>
      <c r="C57" s="164">
        <v>52.75746</v>
      </c>
      <c r="D57" s="164">
        <v>62.16084</v>
      </c>
      <c r="E57" s="164">
        <v>83.09889</v>
      </c>
      <c r="F57" s="164">
        <v>112.29435</v>
      </c>
      <c r="G57" s="164">
        <v>139.09077</v>
      </c>
      <c r="H57" s="164">
        <v>168.40404</v>
      </c>
      <c r="I57" s="164">
        <v>199.62369</v>
      </c>
      <c r="J57" s="165">
        <v>315.32382</v>
      </c>
      <c r="K57" s="178"/>
    </row>
    <row r="58" spans="1:11">
      <c r="A58" s="161">
        <v>37</v>
      </c>
      <c r="B58" s="164">
        <v>47.69163</v>
      </c>
      <c r="C58" s="164">
        <v>53.84988</v>
      </c>
      <c r="D58" s="164">
        <v>63.63882</v>
      </c>
      <c r="E58" s="164">
        <v>84.74823</v>
      </c>
      <c r="F58" s="164">
        <v>114.8112</v>
      </c>
      <c r="G58" s="164">
        <v>142.93566</v>
      </c>
      <c r="H58" s="164">
        <v>171.63846</v>
      </c>
      <c r="I58" s="164">
        <v>203.9184</v>
      </c>
      <c r="J58" s="165">
        <v>321.44994</v>
      </c>
      <c r="K58" s="178"/>
    </row>
    <row r="59" spans="1:11">
      <c r="A59" s="161">
        <v>38</v>
      </c>
      <c r="B59" s="164">
        <v>48.47346</v>
      </c>
      <c r="C59" s="164">
        <v>54.99585</v>
      </c>
      <c r="D59" s="164">
        <v>65.35242</v>
      </c>
      <c r="E59" s="164">
        <v>86.30118</v>
      </c>
      <c r="F59" s="164">
        <v>117.4887</v>
      </c>
      <c r="G59" s="164">
        <v>146.95191</v>
      </c>
      <c r="H59" s="164">
        <v>174.70152</v>
      </c>
      <c r="I59" s="164">
        <v>208.15956</v>
      </c>
      <c r="J59" s="165">
        <v>327.47967</v>
      </c>
      <c r="K59" s="178"/>
    </row>
    <row r="60" spans="1:11">
      <c r="A60" s="161">
        <v>39</v>
      </c>
      <c r="B60" s="164">
        <v>49.27671</v>
      </c>
      <c r="C60" s="164">
        <v>56.13111</v>
      </c>
      <c r="D60" s="164">
        <v>67.05531</v>
      </c>
      <c r="E60" s="164">
        <v>87.78987</v>
      </c>
      <c r="F60" s="164">
        <v>120.23046</v>
      </c>
      <c r="G60" s="164">
        <v>150.64686</v>
      </c>
      <c r="H60" s="164">
        <v>179.37108</v>
      </c>
      <c r="I60" s="164">
        <v>212.2722</v>
      </c>
      <c r="J60" s="165">
        <v>333.43443</v>
      </c>
      <c r="K60" s="178"/>
    </row>
    <row r="61" spans="1:11">
      <c r="A61" s="161">
        <v>40</v>
      </c>
      <c r="B61" s="164">
        <v>50.09067</v>
      </c>
      <c r="C61" s="164">
        <v>57.23424</v>
      </c>
      <c r="D61" s="164">
        <v>68.64039</v>
      </c>
      <c r="E61" s="164">
        <v>89.35353</v>
      </c>
      <c r="F61" s="164">
        <v>122.99364</v>
      </c>
      <c r="G61" s="164">
        <v>153.65637</v>
      </c>
      <c r="H61" s="164">
        <v>183.64437</v>
      </c>
      <c r="I61" s="164">
        <v>216.2349</v>
      </c>
      <c r="J61" s="165">
        <v>338.92866</v>
      </c>
      <c r="K61" s="178"/>
    </row>
    <row r="62" spans="1:11">
      <c r="A62" s="161">
        <v>41</v>
      </c>
      <c r="B62" s="164">
        <v>50.95818</v>
      </c>
      <c r="C62" s="164">
        <v>58.30524</v>
      </c>
      <c r="D62" s="164">
        <v>70.05411</v>
      </c>
      <c r="E62" s="164">
        <v>90.78867</v>
      </c>
      <c r="F62" s="164">
        <v>124.85718</v>
      </c>
      <c r="G62" s="164">
        <v>156.73014</v>
      </c>
      <c r="H62" s="164">
        <v>187.84269</v>
      </c>
      <c r="I62" s="164">
        <v>220.40109</v>
      </c>
      <c r="J62" s="165">
        <v>346.69341</v>
      </c>
      <c r="K62" s="178"/>
    </row>
    <row r="63" spans="1:11">
      <c r="A63" s="161">
        <v>42</v>
      </c>
      <c r="B63" s="164">
        <v>51.74001</v>
      </c>
      <c r="C63" s="164">
        <v>59.17275</v>
      </c>
      <c r="D63" s="164">
        <v>71.05014</v>
      </c>
      <c r="E63" s="164">
        <v>92.08458</v>
      </c>
      <c r="F63" s="164">
        <v>127.32048</v>
      </c>
      <c r="G63" s="164">
        <v>159.9003</v>
      </c>
      <c r="H63" s="164">
        <v>191.18421</v>
      </c>
      <c r="I63" s="164">
        <v>224.17101</v>
      </c>
      <c r="J63" s="165">
        <v>352.30545</v>
      </c>
      <c r="K63" s="178"/>
    </row>
    <row r="64" spans="1:11">
      <c r="A64" s="161">
        <v>43</v>
      </c>
      <c r="B64" s="164">
        <v>52.68249</v>
      </c>
      <c r="C64" s="164">
        <v>60.13665</v>
      </c>
      <c r="D64" s="164">
        <v>72.02475</v>
      </c>
      <c r="E64" s="164">
        <v>93.38049</v>
      </c>
      <c r="F64" s="164">
        <v>129.76236</v>
      </c>
      <c r="G64" s="164">
        <v>163.70235</v>
      </c>
      <c r="H64" s="164">
        <v>194.37579</v>
      </c>
      <c r="I64" s="164">
        <v>227.65176</v>
      </c>
      <c r="J64" s="165">
        <v>357.69258</v>
      </c>
      <c r="K64" s="178"/>
    </row>
    <row r="65" spans="1:11">
      <c r="A65" s="161">
        <v>44</v>
      </c>
      <c r="B65" s="164">
        <v>53.43219</v>
      </c>
      <c r="C65" s="164">
        <v>60.96132</v>
      </c>
      <c r="D65" s="164">
        <v>72.97794</v>
      </c>
      <c r="E65" s="164">
        <v>94.6764</v>
      </c>
      <c r="F65" s="164">
        <v>132.19353</v>
      </c>
      <c r="G65" s="164">
        <v>166.72257</v>
      </c>
      <c r="H65" s="164">
        <v>197.50311</v>
      </c>
      <c r="I65" s="164">
        <v>231.62517</v>
      </c>
      <c r="J65" s="165">
        <v>362.77983</v>
      </c>
      <c r="K65" s="178"/>
    </row>
    <row r="66" spans="1:11">
      <c r="A66" s="161">
        <v>45</v>
      </c>
      <c r="B66" s="164">
        <v>54.16047</v>
      </c>
      <c r="C66" s="164">
        <v>61.78599</v>
      </c>
      <c r="D66" s="164">
        <v>73.94184</v>
      </c>
      <c r="E66" s="164">
        <v>95.95089</v>
      </c>
      <c r="F66" s="164">
        <v>134.60328</v>
      </c>
      <c r="G66" s="164">
        <v>169.25013</v>
      </c>
      <c r="H66" s="164">
        <v>200.46978</v>
      </c>
      <c r="I66" s="164">
        <v>235.33083</v>
      </c>
      <c r="J66" s="165">
        <v>368.16696</v>
      </c>
      <c r="K66" s="178"/>
    </row>
    <row r="67" spans="1:11">
      <c r="A67" s="161">
        <v>46</v>
      </c>
      <c r="B67" s="164">
        <v>54.98514</v>
      </c>
      <c r="C67" s="164">
        <v>62.6535</v>
      </c>
      <c r="D67" s="164">
        <v>74.88432</v>
      </c>
      <c r="E67" s="164">
        <v>97.21467</v>
      </c>
      <c r="F67" s="164">
        <v>136.99161</v>
      </c>
      <c r="G67" s="164">
        <v>171.80982</v>
      </c>
      <c r="H67" s="164">
        <v>203.44716</v>
      </c>
      <c r="I67" s="164">
        <v>238.91868</v>
      </c>
      <c r="J67" s="165">
        <v>373.3506</v>
      </c>
      <c r="K67" s="178"/>
    </row>
    <row r="68" spans="1:11">
      <c r="A68" s="161">
        <v>47</v>
      </c>
      <c r="B68" s="164">
        <v>55.73484</v>
      </c>
      <c r="C68" s="164">
        <v>63.46746</v>
      </c>
      <c r="D68" s="164">
        <v>75.80538</v>
      </c>
      <c r="E68" s="164">
        <v>98.44632</v>
      </c>
      <c r="F68" s="164">
        <v>139.36923</v>
      </c>
      <c r="G68" s="164">
        <v>174.2517</v>
      </c>
      <c r="H68" s="164">
        <v>206.4888</v>
      </c>
      <c r="I68" s="164">
        <v>242.54937</v>
      </c>
      <c r="J68" s="165">
        <v>378.37359</v>
      </c>
      <c r="K68" s="178"/>
    </row>
    <row r="69" spans="1:11">
      <c r="A69" s="161">
        <v>48</v>
      </c>
      <c r="B69" s="164">
        <v>56.53809</v>
      </c>
      <c r="C69" s="164">
        <v>64.31355</v>
      </c>
      <c r="D69" s="164">
        <v>76.72644</v>
      </c>
      <c r="E69" s="164">
        <v>99.67797</v>
      </c>
      <c r="F69" s="164">
        <v>141.71472</v>
      </c>
      <c r="G69" s="164">
        <v>176.9292</v>
      </c>
      <c r="H69" s="164">
        <v>209.28411</v>
      </c>
      <c r="I69" s="164">
        <v>245.92302</v>
      </c>
      <c r="J69" s="165">
        <v>383.33232</v>
      </c>
      <c r="K69" s="178"/>
    </row>
    <row r="70" spans="1:11">
      <c r="A70" s="161">
        <v>49</v>
      </c>
      <c r="B70" s="164">
        <v>57.30921</v>
      </c>
      <c r="C70" s="164">
        <v>65.13822</v>
      </c>
      <c r="D70" s="164">
        <v>77.61537</v>
      </c>
      <c r="E70" s="164">
        <v>100.89891</v>
      </c>
      <c r="F70" s="164">
        <v>144.06021</v>
      </c>
      <c r="G70" s="164">
        <v>179.72451</v>
      </c>
      <c r="H70" s="164">
        <v>212.19723</v>
      </c>
      <c r="I70" s="164">
        <v>249.24312</v>
      </c>
      <c r="J70" s="165">
        <v>387.96975</v>
      </c>
      <c r="K70" s="178"/>
    </row>
    <row r="71" spans="1:11">
      <c r="A71" s="161">
        <v>50</v>
      </c>
      <c r="B71" s="164">
        <v>57.93039</v>
      </c>
      <c r="C71" s="164">
        <v>65.85579</v>
      </c>
      <c r="D71" s="164">
        <v>78.5043</v>
      </c>
      <c r="E71" s="164">
        <v>102.09843</v>
      </c>
      <c r="F71" s="164">
        <v>146.39499</v>
      </c>
      <c r="G71" s="164">
        <v>182.53053</v>
      </c>
      <c r="H71" s="164">
        <v>215.3781</v>
      </c>
      <c r="I71" s="164">
        <v>252.67032</v>
      </c>
      <c r="J71" s="165">
        <v>392.87493</v>
      </c>
      <c r="K71" s="178"/>
    </row>
    <row r="72" spans="1:11">
      <c r="A72" s="161">
        <v>51</v>
      </c>
      <c r="B72" s="164">
        <v>58.97997</v>
      </c>
      <c r="C72" s="164">
        <v>66.85182</v>
      </c>
      <c r="D72" s="164">
        <v>79.38252</v>
      </c>
      <c r="E72" s="164">
        <v>103.2444</v>
      </c>
      <c r="F72" s="164">
        <v>148.91184</v>
      </c>
      <c r="G72" s="164">
        <v>185.31513</v>
      </c>
      <c r="H72" s="164">
        <v>218.74104</v>
      </c>
      <c r="I72" s="164">
        <v>255.95829</v>
      </c>
      <c r="J72" s="165">
        <v>399.6972</v>
      </c>
      <c r="K72" s="178"/>
    </row>
    <row r="73" spans="1:11">
      <c r="A73" s="161">
        <v>52</v>
      </c>
      <c r="B73" s="164">
        <v>60.05097</v>
      </c>
      <c r="C73" s="164">
        <v>67.83714</v>
      </c>
      <c r="D73" s="164">
        <v>80.23932</v>
      </c>
      <c r="E73" s="164">
        <v>104.41179</v>
      </c>
      <c r="F73" s="164">
        <v>150.53976</v>
      </c>
      <c r="G73" s="164">
        <v>187.64991</v>
      </c>
      <c r="H73" s="164">
        <v>222.21108</v>
      </c>
      <c r="I73" s="164">
        <v>259.44975</v>
      </c>
      <c r="J73" s="165">
        <v>404.92368</v>
      </c>
      <c r="K73" s="178"/>
    </row>
    <row r="74" spans="1:11">
      <c r="A74" s="161">
        <v>53</v>
      </c>
      <c r="B74" s="164">
        <v>61.29333</v>
      </c>
      <c r="C74" s="164">
        <v>68.95098</v>
      </c>
      <c r="D74" s="164">
        <v>81.08541</v>
      </c>
      <c r="E74" s="164">
        <v>105.55776</v>
      </c>
      <c r="F74" s="164">
        <v>152.25336</v>
      </c>
      <c r="G74" s="164">
        <v>189.83475</v>
      </c>
      <c r="H74" s="164">
        <v>225.8739</v>
      </c>
      <c r="I74" s="164">
        <v>263.21967</v>
      </c>
      <c r="J74" s="165">
        <v>410.49288</v>
      </c>
      <c r="K74" s="178"/>
    </row>
    <row r="75" spans="1:11">
      <c r="A75" s="161">
        <v>54</v>
      </c>
      <c r="B75" s="164">
        <v>62.37504</v>
      </c>
      <c r="C75" s="164">
        <v>69.92559</v>
      </c>
      <c r="D75" s="164">
        <v>81.9315</v>
      </c>
      <c r="E75" s="164">
        <v>106.69302</v>
      </c>
      <c r="F75" s="164">
        <v>153.99909</v>
      </c>
      <c r="G75" s="164">
        <v>191.85894</v>
      </c>
      <c r="H75" s="164">
        <v>229.24755</v>
      </c>
      <c r="I75" s="164">
        <v>267.18237</v>
      </c>
      <c r="J75" s="165">
        <v>416.43693</v>
      </c>
      <c r="K75" s="178"/>
    </row>
    <row r="76" spans="1:11">
      <c r="A76" s="161">
        <v>55</v>
      </c>
      <c r="B76" s="164">
        <v>63.48888</v>
      </c>
      <c r="C76" s="164">
        <v>70.93233</v>
      </c>
      <c r="D76" s="164">
        <v>82.74546</v>
      </c>
      <c r="E76" s="164">
        <v>107.80686</v>
      </c>
      <c r="F76" s="164">
        <v>155.51991</v>
      </c>
      <c r="G76" s="164">
        <v>194.01165</v>
      </c>
      <c r="H76" s="164">
        <v>232.85682</v>
      </c>
      <c r="I76" s="164">
        <v>270.963</v>
      </c>
      <c r="J76" s="165">
        <v>422.27388</v>
      </c>
      <c r="K76" s="178"/>
    </row>
    <row r="77" spans="1:11">
      <c r="A77" s="161">
        <v>56</v>
      </c>
      <c r="B77" s="164">
        <v>64.53846</v>
      </c>
      <c r="C77" s="164">
        <v>71.89623</v>
      </c>
      <c r="D77" s="164">
        <v>83.57013</v>
      </c>
      <c r="E77" s="164">
        <v>108.93141</v>
      </c>
      <c r="F77" s="164">
        <v>157.14783</v>
      </c>
      <c r="G77" s="164">
        <v>195.92874</v>
      </c>
      <c r="H77" s="164">
        <v>236.17692</v>
      </c>
      <c r="I77" s="164">
        <v>274.30452</v>
      </c>
      <c r="J77" s="165">
        <v>427.16835</v>
      </c>
      <c r="K77" s="178"/>
    </row>
    <row r="78" spans="1:11">
      <c r="A78" s="161">
        <v>57</v>
      </c>
      <c r="B78" s="164">
        <v>65.68443</v>
      </c>
      <c r="C78" s="164">
        <v>72.91368</v>
      </c>
      <c r="D78" s="164">
        <v>84.37338</v>
      </c>
      <c r="E78" s="164">
        <v>110.01312</v>
      </c>
      <c r="F78" s="164">
        <v>158.6151</v>
      </c>
      <c r="G78" s="164">
        <v>197.97435</v>
      </c>
      <c r="H78" s="164">
        <v>238.47957</v>
      </c>
      <c r="I78" s="164">
        <v>277.12125</v>
      </c>
      <c r="J78" s="165">
        <v>431.63442</v>
      </c>
      <c r="K78" s="178"/>
    </row>
    <row r="79" spans="1:11">
      <c r="A79" s="161">
        <v>58</v>
      </c>
      <c r="B79" s="164">
        <v>66.79827</v>
      </c>
      <c r="C79" s="164">
        <v>73.899</v>
      </c>
      <c r="D79" s="164">
        <v>85.16592</v>
      </c>
      <c r="E79" s="164">
        <v>111.07341</v>
      </c>
      <c r="F79" s="164">
        <v>160.09308</v>
      </c>
      <c r="G79" s="164">
        <v>199.78434</v>
      </c>
      <c r="H79" s="164">
        <v>241.14636</v>
      </c>
      <c r="I79" s="164">
        <v>280.15218</v>
      </c>
      <c r="J79" s="165">
        <v>435.84345</v>
      </c>
      <c r="K79" s="178"/>
    </row>
    <row r="80" spans="1:11">
      <c r="A80" s="161">
        <v>59</v>
      </c>
      <c r="B80" s="164">
        <v>67.87998</v>
      </c>
      <c r="C80" s="164">
        <v>74.88432</v>
      </c>
      <c r="D80" s="164">
        <v>85.94775</v>
      </c>
      <c r="E80" s="164">
        <v>112.1337</v>
      </c>
      <c r="F80" s="164">
        <v>161.52822</v>
      </c>
      <c r="G80" s="164">
        <v>201.5622</v>
      </c>
      <c r="H80" s="164">
        <v>243.39546</v>
      </c>
      <c r="I80" s="164">
        <v>282.94749</v>
      </c>
      <c r="J80" s="165">
        <v>439.82757</v>
      </c>
      <c r="K80" s="178"/>
    </row>
    <row r="81" spans="1:12">
      <c r="A81" s="161">
        <v>60</v>
      </c>
      <c r="B81" s="164">
        <v>68.8653</v>
      </c>
      <c r="C81" s="164">
        <v>75.77325</v>
      </c>
      <c r="D81" s="164">
        <v>86.70816</v>
      </c>
      <c r="E81" s="164">
        <v>113.16186</v>
      </c>
      <c r="F81" s="164">
        <v>162.92052</v>
      </c>
      <c r="G81" s="164">
        <v>203.23296</v>
      </c>
      <c r="H81" s="164">
        <v>245.62314</v>
      </c>
      <c r="I81" s="164">
        <v>285.61428</v>
      </c>
      <c r="J81" s="165">
        <v>443.69388</v>
      </c>
      <c r="K81" s="178"/>
    </row>
    <row r="82" spans="1:12">
      <c r="A82" s="161">
        <v>61</v>
      </c>
      <c r="B82" s="164">
        <v>70.05411</v>
      </c>
      <c r="C82" s="164">
        <v>76.80141</v>
      </c>
      <c r="D82" s="164">
        <v>87.43644</v>
      </c>
      <c r="E82" s="164">
        <v>114.20073</v>
      </c>
      <c r="F82" s="164">
        <v>164.21643</v>
      </c>
      <c r="G82" s="164">
        <v>204.96798</v>
      </c>
      <c r="H82" s="164">
        <v>248.58981</v>
      </c>
      <c r="I82" s="164">
        <v>289.4913</v>
      </c>
      <c r="J82" s="165">
        <v>449.62722</v>
      </c>
      <c r="K82" s="178"/>
    </row>
    <row r="83" spans="1:12">
      <c r="A83" s="161">
        <v>62</v>
      </c>
      <c r="B83" s="164">
        <v>71.06085</v>
      </c>
      <c r="C83" s="164">
        <v>77.71176</v>
      </c>
      <c r="D83" s="164">
        <v>88.19685</v>
      </c>
      <c r="E83" s="164">
        <v>115.19676</v>
      </c>
      <c r="F83" s="164">
        <v>165.44808</v>
      </c>
      <c r="G83" s="164">
        <v>206.57448</v>
      </c>
      <c r="H83" s="164">
        <v>251.61003</v>
      </c>
      <c r="I83" s="164">
        <v>293.79672</v>
      </c>
      <c r="J83" s="165">
        <v>456.29955</v>
      </c>
      <c r="K83" s="178"/>
    </row>
    <row r="84" spans="1:12">
      <c r="A84" s="161">
        <v>63</v>
      </c>
      <c r="B84" s="164">
        <v>72.33534</v>
      </c>
      <c r="C84" s="164">
        <v>78.78276</v>
      </c>
      <c r="D84" s="164">
        <v>88.92513</v>
      </c>
      <c r="E84" s="164">
        <v>116.2035</v>
      </c>
      <c r="F84" s="164">
        <v>166.7547</v>
      </c>
      <c r="G84" s="164">
        <v>208.28808</v>
      </c>
      <c r="H84" s="164">
        <v>253.58067</v>
      </c>
      <c r="I84" s="164">
        <v>298.0593</v>
      </c>
      <c r="J84" s="165">
        <v>463.13253</v>
      </c>
      <c r="K84" s="178"/>
    </row>
    <row r="85" spans="1:12">
      <c r="A85" s="161">
        <v>64</v>
      </c>
      <c r="B85" s="164">
        <v>73.16001</v>
      </c>
      <c r="C85" s="164">
        <v>79.56459</v>
      </c>
      <c r="D85" s="164">
        <v>89.63199</v>
      </c>
      <c r="E85" s="164">
        <v>117.19953</v>
      </c>
      <c r="F85" s="164">
        <v>167.98635</v>
      </c>
      <c r="G85" s="164">
        <v>209.81961</v>
      </c>
      <c r="H85" s="164">
        <v>255.48705</v>
      </c>
      <c r="I85" s="164">
        <v>302.2362</v>
      </c>
      <c r="J85" s="165">
        <v>469.79415</v>
      </c>
      <c r="K85" s="178"/>
    </row>
    <row r="86" spans="1:12">
      <c r="A86" s="161">
        <v>65</v>
      </c>
      <c r="B86" s="164">
        <v>74.26314</v>
      </c>
      <c r="C86" s="164">
        <v>80.51778</v>
      </c>
      <c r="D86" s="164">
        <v>90.32814</v>
      </c>
      <c r="E86" s="164">
        <v>118.18485</v>
      </c>
      <c r="F86" s="164">
        <v>169.02522</v>
      </c>
      <c r="G86" s="164">
        <v>211.15836</v>
      </c>
      <c r="H86" s="164">
        <v>257.45769</v>
      </c>
      <c r="I86" s="164">
        <v>306.32742</v>
      </c>
      <c r="J86" s="165">
        <v>476.58429</v>
      </c>
      <c r="K86" s="178"/>
    </row>
    <row r="87" spans="1:12">
      <c r="A87" s="161">
        <v>66</v>
      </c>
      <c r="B87" s="164">
        <v>75.32343</v>
      </c>
      <c r="C87" s="164">
        <v>81.43884</v>
      </c>
      <c r="D87" s="164">
        <v>91.035</v>
      </c>
      <c r="E87" s="164">
        <v>119.12733</v>
      </c>
      <c r="F87" s="164">
        <v>170.22474</v>
      </c>
      <c r="G87" s="164">
        <v>212.72202</v>
      </c>
      <c r="H87" s="164">
        <v>259.08561</v>
      </c>
      <c r="I87" s="164">
        <v>310.60071</v>
      </c>
      <c r="J87" s="165">
        <v>483.08526</v>
      </c>
      <c r="K87" s="178"/>
    </row>
    <row r="88" spans="1:12">
      <c r="A88" s="161">
        <v>67</v>
      </c>
      <c r="B88" s="164">
        <v>76.48011</v>
      </c>
      <c r="C88" s="164">
        <v>82.40274</v>
      </c>
      <c r="D88" s="164">
        <v>91.70973</v>
      </c>
      <c r="E88" s="164">
        <v>120.74454</v>
      </c>
      <c r="F88" s="164">
        <v>171.29574</v>
      </c>
      <c r="G88" s="164">
        <v>214.06077</v>
      </c>
      <c r="H88" s="164">
        <v>260.86347</v>
      </c>
      <c r="I88" s="164">
        <v>314.31708</v>
      </c>
      <c r="J88" s="165">
        <v>489.13641</v>
      </c>
      <c r="K88" s="178"/>
    </row>
    <row r="89" spans="1:12">
      <c r="A89" s="161">
        <v>68</v>
      </c>
      <c r="B89" s="164">
        <v>77.44401</v>
      </c>
      <c r="C89" s="164">
        <v>83.25954</v>
      </c>
      <c r="D89" s="164">
        <v>92.36304</v>
      </c>
      <c r="E89" s="164">
        <v>122.04045</v>
      </c>
      <c r="F89" s="164">
        <v>172.25964</v>
      </c>
      <c r="G89" s="164">
        <v>216.51336</v>
      </c>
      <c r="H89" s="164">
        <v>262.79127</v>
      </c>
      <c r="I89" s="164">
        <v>317.66931</v>
      </c>
      <c r="J89" s="165">
        <v>494.29863</v>
      </c>
      <c r="K89" s="178"/>
    </row>
    <row r="90" spans="1:12">
      <c r="A90" s="161">
        <v>69</v>
      </c>
      <c r="B90" s="164">
        <v>78.53643</v>
      </c>
      <c r="C90" s="164">
        <v>84.19131</v>
      </c>
      <c r="D90" s="164">
        <v>93.02706</v>
      </c>
      <c r="E90" s="164">
        <v>123.3792</v>
      </c>
      <c r="F90" s="164">
        <v>173.25567</v>
      </c>
      <c r="G90" s="164">
        <v>218.90169</v>
      </c>
      <c r="H90" s="164">
        <v>264.60126</v>
      </c>
      <c r="I90" s="164">
        <v>321.03225</v>
      </c>
      <c r="J90" s="165">
        <v>499.52511</v>
      </c>
      <c r="K90" s="178"/>
    </row>
    <row r="91" ht="16.05" spans="1:12">
      <c r="A91" s="168">
        <v>70</v>
      </c>
      <c r="B91" s="169">
        <v>79.44678</v>
      </c>
      <c r="C91" s="169">
        <v>84.99456</v>
      </c>
      <c r="D91" s="169">
        <v>93.66966</v>
      </c>
      <c r="E91" s="169">
        <v>124.91073</v>
      </c>
      <c r="F91" s="169">
        <v>174.2517</v>
      </c>
      <c r="G91" s="169">
        <v>221.27931</v>
      </c>
      <c r="H91" s="169">
        <v>266.26131</v>
      </c>
      <c r="I91" s="169">
        <v>324.45945</v>
      </c>
      <c r="J91" s="170">
        <v>504.77301</v>
      </c>
      <c r="K91" s="178"/>
    </row>
    <row r="92" s="154" customFormat="1" spans="1:12">
      <c r="A92" s="155"/>
      <c r="B92" s="155"/>
      <c r="C92" s="155"/>
      <c r="D92" s="155"/>
      <c r="E92" s="155"/>
      <c r="F92" s="155"/>
      <c r="G92" s="155"/>
      <c r="H92" s="155"/>
      <c r="I92" s="155"/>
      <c r="J92" s="155"/>
      <c r="K92" s="155"/>
      <c r="L92" s="156"/>
    </row>
    <row r="93" s="154" customFormat="1" spans="1:12">
      <c r="A93" s="155"/>
      <c r="B93" s="155"/>
      <c r="C93" s="155"/>
      <c r="D93" s="155"/>
      <c r="E93" s="155"/>
      <c r="F93" s="155"/>
      <c r="G93" s="155"/>
      <c r="H93" s="155"/>
      <c r="I93" s="155"/>
      <c r="J93" s="155"/>
      <c r="K93" s="155"/>
      <c r="L93" s="156"/>
    </row>
    <row r="94" s="154" customFormat="1" spans="1:12">
      <c r="A94" s="155"/>
      <c r="B94" s="155"/>
      <c r="C94" s="155"/>
      <c r="D94" s="155"/>
      <c r="E94" s="155"/>
      <c r="F94" s="155"/>
      <c r="G94" s="155"/>
      <c r="H94" s="155"/>
      <c r="I94" s="155"/>
      <c r="J94" s="155"/>
      <c r="K94" s="155"/>
      <c r="L94" s="156"/>
    </row>
    <row r="95" s="154" customFormat="1" spans="1:12">
      <c r="A95" s="155"/>
      <c r="B95" s="155"/>
      <c r="C95" s="155"/>
      <c r="D95" s="155"/>
      <c r="E95" s="155"/>
      <c r="F95" s="155"/>
      <c r="G95" s="155"/>
      <c r="H95" s="155"/>
      <c r="I95" s="155"/>
      <c r="J95" s="155"/>
      <c r="K95" s="155"/>
      <c r="L95" s="156"/>
    </row>
    <row r="96" s="154" customFormat="1" spans="1:12">
      <c r="A96" s="155"/>
      <c r="B96" s="155"/>
      <c r="C96" s="155"/>
      <c r="D96" s="155"/>
      <c r="E96" s="155"/>
      <c r="F96" s="155"/>
      <c r="G96" s="155"/>
      <c r="H96" s="155"/>
      <c r="I96" s="155"/>
      <c r="J96" s="155"/>
      <c r="K96" s="155"/>
      <c r="L96" s="156"/>
    </row>
    <row r="97" s="154" customFormat="1" spans="1:12">
      <c r="A97" s="155"/>
      <c r="B97" s="155"/>
      <c r="C97" s="155"/>
      <c r="D97" s="155"/>
      <c r="E97" s="155"/>
      <c r="F97" s="155"/>
      <c r="G97" s="155"/>
      <c r="H97" s="155"/>
      <c r="I97" s="155"/>
      <c r="J97" s="155"/>
      <c r="K97" s="155"/>
      <c r="L97" s="156"/>
    </row>
    <row r="98" s="154" customFormat="1" spans="1:12">
      <c r="A98" s="155"/>
      <c r="B98" s="155"/>
      <c r="C98" s="155"/>
      <c r="D98" s="155"/>
      <c r="E98" s="155"/>
      <c r="F98" s="155"/>
      <c r="G98" s="155"/>
      <c r="H98" s="155"/>
      <c r="I98" s="155"/>
      <c r="J98" s="155"/>
      <c r="K98" s="155"/>
      <c r="L98" s="156"/>
    </row>
    <row r="99" s="154" customFormat="1" spans="1:12">
      <c r="A99" s="155"/>
      <c r="B99" s="155"/>
      <c r="C99" s="155"/>
      <c r="D99" s="155"/>
      <c r="E99" s="155"/>
      <c r="F99" s="155"/>
      <c r="G99" s="155"/>
      <c r="H99" s="155"/>
      <c r="I99" s="155"/>
      <c r="J99" s="155"/>
      <c r="K99" s="155"/>
      <c r="L99" s="156"/>
    </row>
    <row r="100" s="154" customFormat="1" spans="1:12">
      <c r="A100" s="155"/>
      <c r="B100" s="155"/>
      <c r="C100" s="155"/>
      <c r="D100" s="155"/>
      <c r="E100" s="155"/>
      <c r="F100" s="155"/>
      <c r="G100" s="155"/>
      <c r="H100" s="155"/>
      <c r="I100" s="155"/>
      <c r="J100" s="155"/>
      <c r="K100" s="155"/>
      <c r="L100" s="156"/>
    </row>
    <row r="101" s="154" customFormat="1" spans="1:12">
      <c r="A101" s="155"/>
      <c r="B101" s="155"/>
      <c r="C101" s="155"/>
      <c r="D101" s="155"/>
      <c r="E101" s="155"/>
      <c r="F101" s="155"/>
      <c r="G101" s="155"/>
      <c r="H101" s="155"/>
      <c r="I101" s="155"/>
      <c r="J101" s="155"/>
      <c r="K101" s="155"/>
      <c r="L101" s="156"/>
    </row>
    <row r="102" s="154" customFormat="1" spans="1:12">
      <c r="A102" s="155"/>
      <c r="B102" s="155"/>
      <c r="C102" s="155"/>
      <c r="D102" s="155"/>
      <c r="E102" s="155"/>
      <c r="F102" s="155"/>
      <c r="G102" s="155"/>
      <c r="H102" s="155"/>
      <c r="I102" s="155"/>
      <c r="J102" s="155"/>
      <c r="K102" s="155"/>
      <c r="L102" s="156"/>
    </row>
    <row r="103" s="154" customFormat="1" spans="1:12">
      <c r="A103" s="155"/>
      <c r="B103" s="155"/>
      <c r="C103" s="155"/>
      <c r="D103" s="155"/>
      <c r="E103" s="155"/>
      <c r="F103" s="155"/>
      <c r="G103" s="155"/>
      <c r="H103" s="155"/>
      <c r="I103" s="155"/>
      <c r="J103" s="155"/>
      <c r="K103" s="155"/>
      <c r="L103" s="156"/>
    </row>
    <row r="104" s="154" customFormat="1" spans="1:12">
      <c r="A104" s="155"/>
      <c r="B104" s="155"/>
      <c r="C104" s="155"/>
      <c r="D104" s="155"/>
      <c r="E104" s="155"/>
      <c r="F104" s="155"/>
      <c r="G104" s="155"/>
      <c r="H104" s="155"/>
      <c r="I104" s="155"/>
      <c r="J104" s="155"/>
      <c r="K104" s="155"/>
      <c r="L104" s="156"/>
    </row>
    <row r="105" s="154" customFormat="1" spans="1:12">
      <c r="A105" s="155"/>
      <c r="B105" s="155"/>
      <c r="C105" s="155"/>
      <c r="D105" s="155"/>
      <c r="E105" s="155"/>
      <c r="F105" s="155"/>
      <c r="G105" s="155"/>
      <c r="H105" s="155"/>
      <c r="I105" s="155"/>
      <c r="J105" s="155"/>
      <c r="K105" s="155"/>
      <c r="L105" s="156"/>
    </row>
    <row r="106" s="154" customFormat="1" spans="1:12">
      <c r="A106" s="155"/>
      <c r="B106" s="155"/>
      <c r="C106" s="155"/>
      <c r="D106" s="155"/>
      <c r="E106" s="155"/>
      <c r="F106" s="155"/>
      <c r="G106" s="155"/>
      <c r="H106" s="155"/>
      <c r="I106" s="155"/>
      <c r="J106" s="155"/>
      <c r="K106" s="155"/>
      <c r="L106" s="156"/>
    </row>
    <row r="107" s="154" customFormat="1" spans="1:12">
      <c r="A107" s="155"/>
      <c r="B107" s="155"/>
      <c r="C107" s="155"/>
      <c r="D107" s="155"/>
      <c r="E107" s="155"/>
      <c r="F107" s="155"/>
      <c r="G107" s="155"/>
      <c r="H107" s="155"/>
      <c r="I107" s="155"/>
      <c r="J107" s="155"/>
      <c r="K107" s="155"/>
      <c r="L107" s="156"/>
    </row>
    <row r="108" s="154" customFormat="1" spans="1:12">
      <c r="A108" s="155"/>
      <c r="B108" s="155"/>
      <c r="C108" s="155"/>
      <c r="D108" s="155"/>
      <c r="E108" s="155"/>
      <c r="F108" s="155"/>
      <c r="G108" s="155"/>
      <c r="H108" s="155"/>
      <c r="I108" s="155"/>
      <c r="J108" s="155"/>
      <c r="K108" s="155"/>
      <c r="L108" s="156"/>
    </row>
    <row r="109" s="154" customFormat="1" spans="1:12">
      <c r="A109" s="155"/>
      <c r="B109" s="155"/>
      <c r="C109" s="155"/>
      <c r="D109" s="155"/>
      <c r="E109" s="155"/>
      <c r="F109" s="155"/>
      <c r="G109" s="155"/>
      <c r="H109" s="155"/>
      <c r="I109" s="155"/>
      <c r="J109" s="155"/>
      <c r="K109" s="155"/>
      <c r="L109" s="156"/>
    </row>
    <row r="110" s="154" customFormat="1" spans="1:12">
      <c r="A110" s="155"/>
      <c r="B110" s="155"/>
      <c r="C110" s="155"/>
      <c r="D110" s="155"/>
      <c r="E110" s="155"/>
      <c r="F110" s="155"/>
      <c r="G110" s="155"/>
      <c r="H110" s="155"/>
      <c r="I110" s="155"/>
      <c r="J110" s="155"/>
      <c r="K110" s="155"/>
      <c r="L110" s="156"/>
    </row>
    <row r="111" s="154" customFormat="1" spans="1:12">
      <c r="A111" s="155"/>
      <c r="B111" s="155"/>
      <c r="C111" s="155"/>
      <c r="D111" s="155"/>
      <c r="E111" s="155"/>
      <c r="F111" s="155"/>
      <c r="G111" s="155"/>
      <c r="H111" s="155"/>
      <c r="I111" s="155"/>
      <c r="J111" s="155"/>
      <c r="K111" s="155"/>
      <c r="L111" s="156"/>
    </row>
    <row r="112" s="154" customFormat="1" spans="1:12">
      <c r="A112" s="155"/>
      <c r="B112" s="155"/>
      <c r="C112" s="155"/>
      <c r="D112" s="155"/>
      <c r="E112" s="155"/>
      <c r="F112" s="155"/>
      <c r="G112" s="155"/>
      <c r="H112" s="155"/>
      <c r="I112" s="155"/>
      <c r="J112" s="155"/>
      <c r="K112" s="155"/>
      <c r="L112" s="156"/>
    </row>
    <row r="113" s="154" customFormat="1" spans="1:12">
      <c r="A113" s="155"/>
      <c r="B113" s="155"/>
      <c r="C113" s="155"/>
      <c r="D113" s="155"/>
      <c r="E113" s="155"/>
      <c r="F113" s="155"/>
      <c r="G113" s="155"/>
      <c r="H113" s="155"/>
      <c r="I113" s="155"/>
      <c r="J113" s="155"/>
      <c r="K113" s="155"/>
      <c r="L113" s="156"/>
    </row>
    <row r="114" s="154" customFormat="1" spans="1:12">
      <c r="A114" s="155"/>
      <c r="B114" s="155"/>
      <c r="C114" s="155"/>
      <c r="D114" s="155"/>
      <c r="E114" s="155"/>
      <c r="F114" s="155"/>
      <c r="G114" s="155"/>
      <c r="H114" s="155"/>
      <c r="I114" s="155"/>
      <c r="J114" s="155"/>
      <c r="K114" s="155"/>
      <c r="L114" s="156"/>
    </row>
    <row r="115" s="154" customFormat="1" spans="1:12">
      <c r="A115" s="155"/>
      <c r="B115" s="155"/>
      <c r="C115" s="155"/>
      <c r="D115" s="155"/>
      <c r="E115" s="155"/>
      <c r="F115" s="155"/>
      <c r="G115" s="155"/>
      <c r="H115" s="155"/>
      <c r="I115" s="155"/>
      <c r="J115" s="155"/>
      <c r="K115" s="155"/>
      <c r="L115" s="156"/>
    </row>
    <row r="116" s="154" customFormat="1" spans="1:12">
      <c r="A116" s="155"/>
      <c r="B116" s="155"/>
      <c r="C116" s="155"/>
      <c r="D116" s="155"/>
      <c r="E116" s="155"/>
      <c r="F116" s="155"/>
      <c r="G116" s="155"/>
      <c r="H116" s="155"/>
      <c r="I116" s="155"/>
      <c r="J116" s="155"/>
      <c r="K116" s="155"/>
      <c r="L116" s="156"/>
    </row>
    <row r="117" s="154" customFormat="1" spans="1:12">
      <c r="A117" s="155"/>
      <c r="B117" s="155"/>
      <c r="C117" s="155"/>
      <c r="D117" s="155"/>
      <c r="E117" s="155"/>
      <c r="F117" s="155"/>
      <c r="G117" s="155"/>
      <c r="H117" s="155"/>
      <c r="I117" s="155"/>
      <c r="J117" s="155"/>
      <c r="K117" s="155"/>
      <c r="L117" s="156"/>
    </row>
    <row r="118" s="154" customFormat="1" spans="1:12">
      <c r="A118" s="155"/>
      <c r="B118" s="155"/>
      <c r="C118" s="155"/>
      <c r="D118" s="155"/>
      <c r="E118" s="155"/>
      <c r="F118" s="155"/>
      <c r="G118" s="155"/>
      <c r="H118" s="155"/>
      <c r="I118" s="155"/>
      <c r="J118" s="155"/>
      <c r="K118" s="155"/>
      <c r="L118" s="156"/>
    </row>
    <row r="119" s="154" customFormat="1" spans="1:12">
      <c r="A119" s="155"/>
      <c r="B119" s="155"/>
      <c r="C119" s="155"/>
      <c r="D119" s="155"/>
      <c r="E119" s="155"/>
      <c r="F119" s="155"/>
      <c r="G119" s="155"/>
      <c r="H119" s="155"/>
      <c r="I119" s="155"/>
      <c r="J119" s="155"/>
      <c r="K119" s="155"/>
      <c r="L119" s="156"/>
    </row>
    <row r="120" s="154" customFormat="1" spans="1:12">
      <c r="A120" s="155"/>
      <c r="B120" s="155"/>
      <c r="C120" s="155"/>
      <c r="D120" s="155"/>
      <c r="E120" s="155"/>
      <c r="F120" s="155"/>
      <c r="G120" s="155"/>
      <c r="H120" s="155"/>
      <c r="I120" s="155"/>
      <c r="J120" s="155"/>
      <c r="K120" s="155"/>
      <c r="L120" s="156"/>
    </row>
    <row r="121" s="154" customFormat="1" spans="1:12">
      <c r="A121" s="155"/>
      <c r="B121" s="155"/>
      <c r="C121" s="155"/>
      <c r="D121" s="155"/>
      <c r="E121" s="155"/>
      <c r="F121" s="155"/>
      <c r="G121" s="155"/>
      <c r="H121" s="155"/>
      <c r="I121" s="155"/>
      <c r="J121" s="155"/>
      <c r="K121" s="155"/>
      <c r="L121" s="156"/>
    </row>
    <row r="122" s="154" customFormat="1" spans="1:12">
      <c r="A122" s="155"/>
      <c r="B122" s="155"/>
      <c r="C122" s="155"/>
      <c r="D122" s="155"/>
      <c r="E122" s="155"/>
      <c r="F122" s="155"/>
      <c r="G122" s="155"/>
      <c r="H122" s="155"/>
      <c r="I122" s="155"/>
      <c r="J122" s="155"/>
      <c r="K122" s="155"/>
      <c r="L122" s="156"/>
    </row>
    <row r="123" s="154" customFormat="1" spans="1:12">
      <c r="A123" s="155"/>
      <c r="B123" s="155"/>
      <c r="C123" s="155"/>
      <c r="D123" s="155"/>
      <c r="E123" s="155"/>
      <c r="F123" s="155"/>
      <c r="G123" s="155"/>
      <c r="H123" s="155"/>
      <c r="I123" s="155"/>
      <c r="J123" s="155"/>
      <c r="K123" s="155"/>
      <c r="L123" s="156"/>
    </row>
    <row r="124" s="154" customFormat="1" spans="1:12">
      <c r="A124" s="155"/>
      <c r="B124" s="155"/>
      <c r="C124" s="155"/>
      <c r="D124" s="155"/>
      <c r="E124" s="155"/>
      <c r="F124" s="155"/>
      <c r="G124" s="155"/>
      <c r="H124" s="155"/>
      <c r="I124" s="155"/>
      <c r="J124" s="155"/>
      <c r="K124" s="155"/>
      <c r="L124" s="156"/>
    </row>
    <row r="125" s="154" customFormat="1" spans="1:12">
      <c r="A125" s="155"/>
      <c r="B125" s="155"/>
      <c r="C125" s="155"/>
      <c r="D125" s="155"/>
      <c r="E125" s="155"/>
      <c r="F125" s="155"/>
      <c r="G125" s="155"/>
      <c r="H125" s="155"/>
      <c r="I125" s="155"/>
      <c r="J125" s="155"/>
      <c r="K125" s="155"/>
      <c r="L125" s="156"/>
    </row>
    <row r="126" s="154" customFormat="1" spans="1:12">
      <c r="A126" s="155"/>
      <c r="B126" s="155"/>
      <c r="C126" s="155"/>
      <c r="D126" s="155"/>
      <c r="E126" s="155"/>
      <c r="F126" s="155"/>
      <c r="G126" s="155"/>
      <c r="H126" s="155"/>
      <c r="I126" s="155"/>
      <c r="J126" s="155"/>
      <c r="K126" s="155"/>
      <c r="L126" s="156"/>
    </row>
    <row r="127" s="154" customFormat="1" spans="1:12">
      <c r="A127" s="155"/>
      <c r="B127" s="155"/>
      <c r="C127" s="155"/>
      <c r="D127" s="155"/>
      <c r="E127" s="155"/>
      <c r="F127" s="155"/>
      <c r="G127" s="155"/>
      <c r="H127" s="155"/>
      <c r="I127" s="155"/>
      <c r="J127" s="155"/>
      <c r="K127" s="155"/>
      <c r="L127" s="156"/>
    </row>
    <row r="128" s="154" customFormat="1" spans="1:12">
      <c r="A128" s="155"/>
      <c r="B128" s="155"/>
      <c r="C128" s="155"/>
      <c r="D128" s="155"/>
      <c r="E128" s="155"/>
      <c r="F128" s="155"/>
      <c r="G128" s="155"/>
      <c r="H128" s="155"/>
      <c r="I128" s="155"/>
      <c r="J128" s="155"/>
      <c r="K128" s="155"/>
      <c r="L128" s="156"/>
    </row>
    <row r="129" s="154" customFormat="1" spans="1:12">
      <c r="A129" s="155"/>
      <c r="B129" s="155"/>
      <c r="C129" s="155"/>
      <c r="D129" s="155"/>
      <c r="E129" s="155"/>
      <c r="F129" s="155"/>
      <c r="G129" s="155"/>
      <c r="H129" s="155"/>
      <c r="I129" s="155"/>
      <c r="J129" s="155"/>
      <c r="K129" s="155"/>
      <c r="L129" s="156"/>
    </row>
    <row r="130" s="154" customFormat="1" spans="1:12">
      <c r="A130" s="155"/>
      <c r="B130" s="155"/>
      <c r="C130" s="155"/>
      <c r="D130" s="155"/>
      <c r="E130" s="155"/>
      <c r="F130" s="155"/>
      <c r="G130" s="155"/>
      <c r="H130" s="155"/>
      <c r="I130" s="155"/>
      <c r="J130" s="155"/>
      <c r="K130" s="155"/>
      <c r="L130" s="156"/>
    </row>
    <row r="131" s="154" customFormat="1" spans="1:12">
      <c r="A131" s="155"/>
      <c r="B131" s="155"/>
      <c r="C131" s="155"/>
      <c r="D131" s="155"/>
      <c r="E131" s="155"/>
      <c r="F131" s="155"/>
      <c r="G131" s="155"/>
      <c r="H131" s="155"/>
      <c r="I131" s="155"/>
      <c r="J131" s="155"/>
      <c r="K131" s="155"/>
      <c r="L131" s="156"/>
    </row>
    <row r="132" s="154" customFormat="1" spans="1:12">
      <c r="A132" s="155"/>
      <c r="B132" s="155"/>
      <c r="C132" s="155"/>
      <c r="D132" s="155"/>
      <c r="E132" s="155"/>
      <c r="F132" s="155"/>
      <c r="G132" s="155"/>
      <c r="H132" s="155"/>
      <c r="I132" s="155"/>
      <c r="J132" s="155"/>
      <c r="K132" s="155"/>
      <c r="L132" s="156"/>
    </row>
    <row r="133" s="154" customFormat="1" spans="1:12">
      <c r="A133" s="155"/>
      <c r="B133" s="155"/>
      <c r="C133" s="155"/>
      <c r="D133" s="155"/>
      <c r="E133" s="155"/>
      <c r="F133" s="155"/>
      <c r="G133" s="155"/>
      <c r="H133" s="155"/>
      <c r="I133" s="155"/>
      <c r="J133" s="155"/>
      <c r="K133" s="155"/>
      <c r="L133" s="156"/>
    </row>
    <row r="134" s="154" customFormat="1" spans="1:12">
      <c r="A134" s="155"/>
      <c r="B134" s="155"/>
      <c r="C134" s="155"/>
      <c r="D134" s="155"/>
      <c r="E134" s="155"/>
      <c r="F134" s="155"/>
      <c r="G134" s="155"/>
      <c r="H134" s="155"/>
      <c r="I134" s="155"/>
      <c r="J134" s="155"/>
      <c r="K134" s="155"/>
      <c r="L134" s="156"/>
    </row>
    <row r="135" s="154" customFormat="1" spans="1:12">
      <c r="A135" s="155"/>
      <c r="B135" s="155"/>
      <c r="C135" s="155"/>
      <c r="D135" s="155"/>
      <c r="E135" s="155"/>
      <c r="F135" s="155"/>
      <c r="G135" s="155"/>
      <c r="H135" s="155"/>
      <c r="I135" s="155"/>
      <c r="J135" s="155"/>
      <c r="K135" s="155"/>
      <c r="L135" s="156"/>
    </row>
    <row r="136" s="154" customFormat="1" spans="1:12">
      <c r="A136" s="155"/>
      <c r="B136" s="155"/>
      <c r="C136" s="155"/>
      <c r="D136" s="155"/>
      <c r="E136" s="155"/>
      <c r="F136" s="155"/>
      <c r="G136" s="155"/>
      <c r="H136" s="155"/>
      <c r="I136" s="155"/>
      <c r="J136" s="155"/>
      <c r="K136" s="155"/>
      <c r="L136" s="156"/>
    </row>
    <row r="137" s="154" customFormat="1" spans="1:12">
      <c r="A137" s="155"/>
      <c r="B137" s="155"/>
      <c r="C137" s="155"/>
      <c r="D137" s="155"/>
      <c r="E137" s="155"/>
      <c r="F137" s="155"/>
      <c r="G137" s="155"/>
      <c r="H137" s="155"/>
      <c r="I137" s="155"/>
      <c r="J137" s="155"/>
      <c r="K137" s="155"/>
      <c r="L137" s="156"/>
    </row>
    <row r="138" s="154" customFormat="1" spans="1:12">
      <c r="A138" s="155"/>
      <c r="B138" s="155"/>
      <c r="C138" s="155"/>
      <c r="D138" s="155"/>
      <c r="E138" s="155"/>
      <c r="F138" s="155"/>
      <c r="G138" s="155"/>
      <c r="H138" s="155"/>
      <c r="I138" s="155"/>
      <c r="J138" s="155"/>
      <c r="K138" s="155"/>
      <c r="L138" s="156"/>
    </row>
    <row r="139" s="154" customFormat="1" spans="1:12">
      <c r="A139" s="155"/>
      <c r="B139" s="155"/>
      <c r="C139" s="155"/>
      <c r="D139" s="155"/>
      <c r="E139" s="155"/>
      <c r="F139" s="155"/>
      <c r="G139" s="155"/>
      <c r="H139" s="155"/>
      <c r="I139" s="155"/>
      <c r="J139" s="155"/>
      <c r="K139" s="155"/>
      <c r="L139" s="156"/>
    </row>
    <row r="140" s="154" customFormat="1" spans="1:12">
      <c r="A140" s="155"/>
      <c r="B140" s="155"/>
      <c r="C140" s="155"/>
      <c r="D140" s="155"/>
      <c r="E140" s="155"/>
      <c r="F140" s="155"/>
      <c r="G140" s="155"/>
      <c r="H140" s="155"/>
      <c r="I140" s="155"/>
      <c r="J140" s="155"/>
      <c r="K140" s="155"/>
      <c r="L140" s="156"/>
    </row>
    <row r="141" s="154" customFormat="1" spans="1:12">
      <c r="A141" s="155"/>
      <c r="B141" s="155"/>
      <c r="C141" s="155"/>
      <c r="D141" s="155"/>
      <c r="E141" s="155"/>
      <c r="F141" s="155"/>
      <c r="G141" s="155"/>
      <c r="H141" s="155"/>
      <c r="I141" s="155"/>
      <c r="J141" s="155"/>
      <c r="K141" s="155"/>
      <c r="L141" s="156"/>
    </row>
    <row r="142" s="154" customFormat="1" spans="1:12">
      <c r="A142" s="155"/>
      <c r="B142" s="155"/>
      <c r="C142" s="155"/>
      <c r="D142" s="155"/>
      <c r="E142" s="155"/>
      <c r="F142" s="155"/>
      <c r="G142" s="155"/>
      <c r="H142" s="155"/>
      <c r="I142" s="155"/>
      <c r="J142" s="155"/>
      <c r="K142" s="155"/>
      <c r="L142" s="156"/>
    </row>
    <row r="143" s="154" customFormat="1" spans="1:12">
      <c r="A143" s="155"/>
      <c r="B143" s="155"/>
      <c r="C143" s="155"/>
      <c r="D143" s="155"/>
      <c r="E143" s="155"/>
      <c r="F143" s="155"/>
      <c r="G143" s="155"/>
      <c r="H143" s="155"/>
      <c r="I143" s="155"/>
      <c r="J143" s="155"/>
      <c r="K143" s="155"/>
      <c r="L143" s="156"/>
    </row>
    <row r="144" s="154" customFormat="1" spans="1:12">
      <c r="A144" s="155"/>
      <c r="B144" s="155"/>
      <c r="C144" s="155"/>
      <c r="D144" s="155"/>
      <c r="E144" s="155"/>
      <c r="F144" s="155"/>
      <c r="G144" s="155"/>
      <c r="H144" s="155"/>
      <c r="I144" s="155"/>
      <c r="J144" s="155"/>
      <c r="K144" s="155"/>
      <c r="L144" s="156"/>
    </row>
    <row r="145" s="154" customFormat="1" spans="1:12">
      <c r="A145" s="155"/>
      <c r="B145" s="155"/>
      <c r="C145" s="155"/>
      <c r="D145" s="155"/>
      <c r="E145" s="155"/>
      <c r="F145" s="155"/>
      <c r="G145" s="155"/>
      <c r="H145" s="155"/>
      <c r="I145" s="155"/>
      <c r="J145" s="155"/>
      <c r="K145" s="155"/>
      <c r="L145" s="156"/>
    </row>
    <row r="146" s="154" customFormat="1" spans="1:12">
      <c r="A146" s="155"/>
      <c r="B146" s="155"/>
      <c r="C146" s="155"/>
      <c r="D146" s="155"/>
      <c r="E146" s="155"/>
      <c r="F146" s="155"/>
      <c r="G146" s="155"/>
      <c r="H146" s="155"/>
      <c r="I146" s="155"/>
      <c r="J146" s="155"/>
      <c r="K146" s="155"/>
      <c r="L146" s="156"/>
    </row>
    <row r="147" s="154" customFormat="1" spans="1:12">
      <c r="A147" s="155"/>
      <c r="B147" s="155"/>
      <c r="C147" s="155"/>
      <c r="D147" s="155"/>
      <c r="E147" s="155"/>
      <c r="F147" s="155"/>
      <c r="G147" s="155"/>
      <c r="H147" s="155"/>
      <c r="I147" s="155"/>
      <c r="J147" s="155"/>
      <c r="K147" s="155"/>
      <c r="L147" s="156"/>
    </row>
    <row r="148" s="154" customFormat="1" spans="1:12">
      <c r="A148" s="155"/>
      <c r="B148" s="155"/>
      <c r="C148" s="155"/>
      <c r="D148" s="155"/>
      <c r="E148" s="155"/>
      <c r="F148" s="155"/>
      <c r="G148" s="155"/>
      <c r="H148" s="155"/>
      <c r="I148" s="155"/>
      <c r="J148" s="155"/>
      <c r="K148" s="155"/>
      <c r="L148" s="156"/>
    </row>
    <row r="149" s="154" customFormat="1" spans="1:12">
      <c r="A149" s="155"/>
      <c r="B149" s="155"/>
      <c r="C149" s="155"/>
      <c r="D149" s="155"/>
      <c r="E149" s="155"/>
      <c r="F149" s="155"/>
      <c r="G149" s="155"/>
      <c r="H149" s="155"/>
      <c r="I149" s="155"/>
      <c r="J149" s="155"/>
      <c r="K149" s="155"/>
      <c r="L149" s="156"/>
    </row>
    <row r="150" s="154" customFormat="1" spans="1:12">
      <c r="A150" s="155"/>
      <c r="B150" s="155"/>
      <c r="C150" s="155"/>
      <c r="D150" s="155"/>
      <c r="E150" s="155"/>
      <c r="F150" s="155"/>
      <c r="G150" s="155"/>
      <c r="H150" s="155"/>
      <c r="I150" s="155"/>
      <c r="J150" s="155"/>
      <c r="K150" s="155"/>
      <c r="L150" s="156"/>
    </row>
    <row r="151" s="154" customFormat="1" spans="1:12">
      <c r="A151" s="155"/>
      <c r="B151" s="155"/>
      <c r="C151" s="155"/>
      <c r="D151" s="155"/>
      <c r="E151" s="155"/>
      <c r="F151" s="155"/>
      <c r="G151" s="155"/>
      <c r="H151" s="155"/>
      <c r="I151" s="155"/>
      <c r="J151" s="155"/>
      <c r="K151" s="155"/>
      <c r="L151" s="156"/>
    </row>
    <row r="152" s="154" customFormat="1" spans="1:12">
      <c r="A152" s="155"/>
      <c r="B152" s="155"/>
      <c r="C152" s="155"/>
      <c r="D152" s="155"/>
      <c r="E152" s="155"/>
      <c r="F152" s="155"/>
      <c r="G152" s="155"/>
      <c r="H152" s="155"/>
      <c r="I152" s="155"/>
      <c r="J152" s="155"/>
      <c r="K152" s="155"/>
      <c r="L152" s="156"/>
    </row>
    <row r="153" s="154" customFormat="1" spans="1:12">
      <c r="A153" s="155"/>
      <c r="B153" s="155"/>
      <c r="C153" s="155"/>
      <c r="D153" s="155"/>
      <c r="E153" s="155"/>
      <c r="F153" s="155"/>
      <c r="G153" s="155"/>
      <c r="H153" s="155"/>
      <c r="I153" s="155"/>
      <c r="J153" s="155"/>
      <c r="K153" s="155"/>
      <c r="L153" s="156"/>
    </row>
    <row r="154" s="154" customFormat="1" spans="1:12">
      <c r="A154" s="155"/>
      <c r="B154" s="155"/>
      <c r="C154" s="155"/>
      <c r="D154" s="155"/>
      <c r="E154" s="155"/>
      <c r="F154" s="155"/>
      <c r="G154" s="155"/>
      <c r="H154" s="155"/>
      <c r="I154" s="155"/>
      <c r="J154" s="155"/>
      <c r="K154" s="155"/>
      <c r="L154" s="156"/>
    </row>
    <row r="155" s="154" customFormat="1" spans="1:12">
      <c r="A155" s="155"/>
      <c r="B155" s="155"/>
      <c r="C155" s="155"/>
      <c r="D155" s="155"/>
      <c r="E155" s="155"/>
      <c r="F155" s="155"/>
      <c r="G155" s="155"/>
      <c r="H155" s="155"/>
      <c r="I155" s="155"/>
      <c r="J155" s="155"/>
      <c r="K155" s="155"/>
      <c r="L155" s="156"/>
    </row>
    <row r="156" s="154" customFormat="1" spans="1:12">
      <c r="A156" s="155"/>
      <c r="B156" s="155"/>
      <c r="C156" s="155"/>
      <c r="D156" s="155"/>
      <c r="E156" s="155"/>
      <c r="F156" s="155"/>
      <c r="G156" s="155"/>
      <c r="H156" s="155"/>
      <c r="I156" s="155"/>
      <c r="J156" s="155"/>
      <c r="K156" s="155"/>
      <c r="L156" s="156"/>
    </row>
    <row r="157" s="154" customFormat="1" spans="1:12">
      <c r="A157" s="155"/>
      <c r="B157" s="155"/>
      <c r="C157" s="155"/>
      <c r="D157" s="155"/>
      <c r="E157" s="155"/>
      <c r="F157" s="155"/>
      <c r="G157" s="155"/>
      <c r="H157" s="155"/>
      <c r="I157" s="155"/>
      <c r="J157" s="155"/>
      <c r="K157" s="155"/>
      <c r="L157" s="156"/>
    </row>
    <row r="158" s="154" customFormat="1" spans="1:12">
      <c r="A158" s="155"/>
      <c r="B158" s="155"/>
      <c r="C158" s="155"/>
      <c r="D158" s="155"/>
      <c r="E158" s="155"/>
      <c r="F158" s="155"/>
      <c r="G158" s="155"/>
      <c r="H158" s="155"/>
      <c r="I158" s="155"/>
      <c r="J158" s="155"/>
      <c r="K158" s="155"/>
      <c r="L158" s="156"/>
    </row>
    <row r="159" s="154" customFormat="1" spans="1:12">
      <c r="A159" s="155"/>
      <c r="B159" s="155"/>
      <c r="C159" s="155"/>
      <c r="D159" s="155"/>
      <c r="E159" s="155"/>
      <c r="F159" s="155"/>
      <c r="G159" s="155"/>
      <c r="H159" s="155"/>
      <c r="I159" s="155"/>
      <c r="J159" s="155"/>
      <c r="K159" s="155"/>
      <c r="L159" s="156"/>
    </row>
    <row r="160" s="154" customFormat="1" spans="1:12">
      <c r="A160" s="155"/>
      <c r="B160" s="155"/>
      <c r="C160" s="155"/>
      <c r="D160" s="155"/>
      <c r="E160" s="155"/>
      <c r="F160" s="155"/>
      <c r="G160" s="155"/>
      <c r="H160" s="155"/>
      <c r="I160" s="155"/>
      <c r="J160" s="155"/>
      <c r="K160" s="155"/>
      <c r="L160" s="156"/>
    </row>
    <row r="161" s="154" customFormat="1" spans="1:12">
      <c r="A161" s="155"/>
      <c r="B161" s="155"/>
      <c r="C161" s="155"/>
      <c r="D161" s="155"/>
      <c r="E161" s="155"/>
      <c r="F161" s="155"/>
      <c r="G161" s="155"/>
      <c r="H161" s="155"/>
      <c r="I161" s="155"/>
      <c r="J161" s="155"/>
      <c r="K161" s="155"/>
      <c r="L161" s="156"/>
    </row>
    <row r="162" s="154" customFormat="1" spans="1:12">
      <c r="A162" s="155"/>
      <c r="B162" s="155"/>
      <c r="C162" s="155"/>
      <c r="D162" s="155"/>
      <c r="E162" s="155"/>
      <c r="F162" s="155"/>
      <c r="G162" s="155"/>
      <c r="H162" s="155"/>
      <c r="I162" s="155"/>
      <c r="J162" s="155"/>
      <c r="K162" s="155"/>
      <c r="L162" s="156"/>
    </row>
    <row r="163" s="154" customFormat="1" spans="1:12">
      <c r="A163" s="155"/>
      <c r="B163" s="155"/>
      <c r="C163" s="155"/>
      <c r="D163" s="155"/>
      <c r="E163" s="155"/>
      <c r="F163" s="155"/>
      <c r="G163" s="155"/>
      <c r="H163" s="155"/>
      <c r="I163" s="155"/>
      <c r="J163" s="155"/>
      <c r="K163" s="155"/>
      <c r="L163" s="156"/>
    </row>
    <row r="164" s="154" customFormat="1" spans="1:12">
      <c r="A164" s="155"/>
      <c r="B164" s="155"/>
      <c r="C164" s="155"/>
      <c r="D164" s="155"/>
      <c r="E164" s="155"/>
      <c r="F164" s="155"/>
      <c r="G164" s="155"/>
      <c r="H164" s="155"/>
      <c r="I164" s="155"/>
      <c r="J164" s="155"/>
      <c r="K164" s="155"/>
      <c r="L164" s="156"/>
    </row>
    <row r="165" s="154" customFormat="1" spans="1:12">
      <c r="A165" s="155"/>
      <c r="B165" s="155"/>
      <c r="C165" s="155"/>
      <c r="D165" s="155"/>
      <c r="E165" s="155"/>
      <c r="F165" s="155"/>
      <c r="G165" s="155"/>
      <c r="H165" s="155"/>
      <c r="I165" s="155"/>
      <c r="J165" s="155"/>
      <c r="K165" s="155"/>
      <c r="L165" s="156"/>
    </row>
    <row r="166" s="154" customFormat="1" spans="1:12">
      <c r="A166" s="155"/>
      <c r="B166" s="155"/>
      <c r="C166" s="155"/>
      <c r="D166" s="155"/>
      <c r="E166" s="155"/>
      <c r="F166" s="155"/>
      <c r="G166" s="155"/>
      <c r="H166" s="155"/>
      <c r="I166" s="155"/>
      <c r="J166" s="155"/>
      <c r="K166" s="155"/>
      <c r="L166" s="156"/>
    </row>
    <row r="167" s="154" customFormat="1" spans="1:12">
      <c r="A167" s="155"/>
      <c r="B167" s="155"/>
      <c r="C167" s="155"/>
      <c r="D167" s="155"/>
      <c r="E167" s="155"/>
      <c r="F167" s="155"/>
      <c r="G167" s="155"/>
      <c r="H167" s="155"/>
      <c r="I167" s="155"/>
      <c r="J167" s="155"/>
      <c r="K167" s="155"/>
      <c r="L167" s="156"/>
    </row>
    <row r="168" s="154" customFormat="1" spans="1:12">
      <c r="A168" s="155"/>
      <c r="B168" s="155"/>
      <c r="C168" s="155"/>
      <c r="D168" s="155"/>
      <c r="E168" s="155"/>
      <c r="F168" s="155"/>
      <c r="G168" s="155"/>
      <c r="H168" s="155"/>
      <c r="I168" s="155"/>
      <c r="J168" s="155"/>
      <c r="K168" s="155"/>
      <c r="L168" s="156"/>
    </row>
    <row r="169" s="154" customFormat="1" spans="1:12">
      <c r="A169" s="155"/>
      <c r="B169" s="155"/>
      <c r="C169" s="155"/>
      <c r="D169" s="155"/>
      <c r="E169" s="155"/>
      <c r="F169" s="155"/>
      <c r="G169" s="155"/>
      <c r="H169" s="155"/>
      <c r="I169" s="155"/>
      <c r="J169" s="155"/>
      <c r="K169" s="155"/>
      <c r="L169" s="156"/>
    </row>
    <row r="170" s="154" customFormat="1" spans="1:12">
      <c r="A170" s="155"/>
      <c r="B170" s="155"/>
      <c r="C170" s="155"/>
      <c r="D170" s="155"/>
      <c r="E170" s="155"/>
      <c r="F170" s="155"/>
      <c r="G170" s="155"/>
      <c r="H170" s="155"/>
      <c r="I170" s="155"/>
      <c r="J170" s="155"/>
      <c r="K170" s="155"/>
      <c r="L170" s="156"/>
    </row>
    <row r="171" s="154" customFormat="1" spans="1:12">
      <c r="A171" s="155"/>
      <c r="B171" s="155"/>
      <c r="C171" s="155"/>
      <c r="D171" s="155"/>
      <c r="E171" s="155"/>
      <c r="F171" s="155"/>
      <c r="G171" s="155"/>
      <c r="H171" s="155"/>
      <c r="I171" s="155"/>
      <c r="J171" s="155"/>
      <c r="K171" s="155"/>
      <c r="L171" s="156"/>
    </row>
    <row r="172" s="154" customFormat="1" spans="1:12">
      <c r="A172" s="155"/>
      <c r="B172" s="155"/>
      <c r="C172" s="155"/>
      <c r="D172" s="155"/>
      <c r="E172" s="155"/>
      <c r="F172" s="155"/>
      <c r="G172" s="155"/>
      <c r="H172" s="155"/>
      <c r="I172" s="155"/>
      <c r="J172" s="155"/>
      <c r="K172" s="155"/>
      <c r="L172" s="156"/>
    </row>
    <row r="173" s="154" customFormat="1" spans="1:12">
      <c r="A173" s="155"/>
      <c r="B173" s="155"/>
      <c r="C173" s="155"/>
      <c r="D173" s="155"/>
      <c r="E173" s="155"/>
      <c r="F173" s="155"/>
      <c r="G173" s="155"/>
      <c r="H173" s="155"/>
      <c r="I173" s="155"/>
      <c r="J173" s="155"/>
      <c r="K173" s="155"/>
      <c r="L173" s="156"/>
    </row>
  </sheetData>
  <sheetProtection formatCells="0" formatColumns="0" formatRows="0" insertRows="0" insertColumns="0" insertHyperlinks="0" deleteColumns="0" deleteRows="0" sort="0" autoFilter="0" pivotTables="0"/>
  <mergeCells count="2">
    <mergeCell ref="A2:J2"/>
    <mergeCell ref="A20:J20"/>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tabColor rgb="FF00FFD9"/>
  </sheetPr>
  <dimension ref="A2:M92"/>
  <sheetViews>
    <sheetView workbookViewId="0">
      <selection activeCell="M2" sqref="A2:J2 M2"/>
    </sheetView>
  </sheetViews>
  <sheetFormatPr defaultColWidth="8.73684210526316" defaultRowHeight="15.3"/>
  <cols>
    <col min="1" max="1" width="9" style="125" customWidth="1"/>
    <col min="2" max="10" width="8.73684210526316" style="125"/>
    <col min="11" max="12" width="8.73684210526316" style="126"/>
    <col min="13" max="13" width="134.868421052632" style="126" customWidth="1"/>
    <col min="14" max="16384" width="8.73684210526316" style="126"/>
  </cols>
  <sheetData>
    <row r="2" ht="19.95" spans="1:13">
      <c r="A2" s="127" t="s">
        <v>215</v>
      </c>
      <c r="B2" s="128"/>
      <c r="C2" s="128"/>
      <c r="D2" s="128"/>
      <c r="E2" s="128"/>
      <c r="F2" s="128"/>
      <c r="G2" s="128"/>
      <c r="H2" s="128"/>
      <c r="I2" s="128"/>
      <c r="J2" s="129"/>
      <c r="M2" s="130" t="s">
        <v>216</v>
      </c>
    </row>
    <row r="3" ht="17.1" spans="1:13">
      <c r="A3" s="131" t="s">
        <v>197</v>
      </c>
      <c r="B3" s="132" t="s">
        <v>198</v>
      </c>
      <c r="C3" s="132" t="s">
        <v>199</v>
      </c>
      <c r="D3" s="132" t="s">
        <v>200</v>
      </c>
      <c r="E3" s="132" t="s">
        <v>201</v>
      </c>
      <c r="F3" s="132" t="s">
        <v>202</v>
      </c>
      <c r="G3" s="132" t="s">
        <v>203</v>
      </c>
      <c r="H3" s="132" t="s">
        <v>204</v>
      </c>
      <c r="I3" s="132" t="s">
        <v>205</v>
      </c>
      <c r="J3" s="133" t="s">
        <v>206</v>
      </c>
      <c r="M3" s="134" t="s">
        <v>217</v>
      </c>
    </row>
    <row r="4" ht="17.1" spans="1:13">
      <c r="A4" s="135" t="s">
        <v>218</v>
      </c>
      <c r="B4" s="132">
        <v>3.79</v>
      </c>
      <c r="C4" s="132">
        <v>3.84</v>
      </c>
      <c r="D4" s="132">
        <v>3.86</v>
      </c>
      <c r="E4" s="132">
        <v>3.96</v>
      </c>
      <c r="F4" s="132">
        <v>4.02</v>
      </c>
      <c r="G4" s="132">
        <v>4.11</v>
      </c>
      <c r="H4" s="132">
        <v>4.19</v>
      </c>
      <c r="I4" s="132">
        <v>4.36</v>
      </c>
      <c r="J4" s="133">
        <v>4.36</v>
      </c>
      <c r="M4" s="136" t="s">
        <v>208</v>
      </c>
    </row>
    <row r="5" ht="17.1" spans="1:13">
      <c r="A5" s="137" t="s">
        <v>219</v>
      </c>
      <c r="B5" s="132">
        <v>3.79</v>
      </c>
      <c r="C5" s="132">
        <v>3.84</v>
      </c>
      <c r="D5" s="132">
        <v>3.86</v>
      </c>
      <c r="E5" s="132">
        <v>3.96</v>
      </c>
      <c r="F5" s="132">
        <v>4.02</v>
      </c>
      <c r="G5" s="132">
        <v>4.11</v>
      </c>
      <c r="H5" s="132">
        <v>4.19</v>
      </c>
      <c r="I5" s="132">
        <v>4.36</v>
      </c>
      <c r="J5" s="133">
        <v>4.36</v>
      </c>
      <c r="M5" s="136" t="s">
        <v>209</v>
      </c>
    </row>
    <row r="6" ht="17.1" spans="1:13">
      <c r="A6" s="135" t="s">
        <v>220</v>
      </c>
      <c r="B6" s="132">
        <v>3.79</v>
      </c>
      <c r="C6" s="132">
        <v>3.84</v>
      </c>
      <c r="D6" s="132">
        <v>3.86</v>
      </c>
      <c r="E6" s="132">
        <v>3.96</v>
      </c>
      <c r="F6" s="132">
        <v>4.02</v>
      </c>
      <c r="G6" s="132">
        <v>4.11</v>
      </c>
      <c r="H6" s="132">
        <v>4.19</v>
      </c>
      <c r="I6" s="132">
        <v>4.36</v>
      </c>
      <c r="J6" s="133">
        <v>4.36</v>
      </c>
      <c r="M6" s="136" t="s">
        <v>210</v>
      </c>
    </row>
    <row r="7" ht="17.1" spans="1:13">
      <c r="A7" s="137" t="s">
        <v>221</v>
      </c>
      <c r="B7" s="132">
        <v>3.79</v>
      </c>
      <c r="C7" s="132">
        <v>3.84</v>
      </c>
      <c r="D7" s="132">
        <v>3.86</v>
      </c>
      <c r="E7" s="132">
        <v>3.96</v>
      </c>
      <c r="F7" s="132">
        <v>4.02</v>
      </c>
      <c r="G7" s="132">
        <v>4.11</v>
      </c>
      <c r="H7" s="132">
        <v>4.19</v>
      </c>
      <c r="I7" s="132">
        <v>4.36</v>
      </c>
      <c r="J7" s="133">
        <v>4.36</v>
      </c>
      <c r="M7" s="136" t="s">
        <v>211</v>
      </c>
    </row>
    <row r="8" ht="17.1" spans="1:13">
      <c r="A8" s="135" t="s">
        <v>222</v>
      </c>
      <c r="B8" s="132">
        <v>4.21</v>
      </c>
      <c r="C8" s="132">
        <v>4.28</v>
      </c>
      <c r="D8" s="132">
        <v>4.31</v>
      </c>
      <c r="E8" s="132">
        <v>4.38</v>
      </c>
      <c r="F8" s="132">
        <v>4.43</v>
      </c>
      <c r="G8" s="132">
        <v>4.47</v>
      </c>
      <c r="H8" s="132">
        <v>4.55</v>
      </c>
      <c r="I8" s="132">
        <v>4.68</v>
      </c>
      <c r="J8" s="133">
        <v>4.68</v>
      </c>
      <c r="M8" s="136" t="s">
        <v>212</v>
      </c>
    </row>
    <row r="9" ht="15.35" spans="1:13">
      <c r="A9" s="137" t="s">
        <v>223</v>
      </c>
      <c r="B9" s="132">
        <v>4.21</v>
      </c>
      <c r="C9" s="132">
        <v>4.28</v>
      </c>
      <c r="D9" s="132">
        <v>4.31</v>
      </c>
      <c r="E9" s="132">
        <v>4.38</v>
      </c>
      <c r="F9" s="132">
        <v>4.43</v>
      </c>
      <c r="G9" s="132">
        <v>4.47</v>
      </c>
      <c r="H9" s="132">
        <v>4.55</v>
      </c>
      <c r="I9" s="132">
        <v>4.68</v>
      </c>
      <c r="J9" s="133">
        <v>4.68</v>
      </c>
      <c r="M9" s="138" t="s">
        <v>224</v>
      </c>
    </row>
    <row r="10" ht="16.05" spans="1:13">
      <c r="A10" s="135" t="s">
        <v>225</v>
      </c>
      <c r="B10" s="132">
        <v>4.21</v>
      </c>
      <c r="C10" s="132">
        <v>4.28</v>
      </c>
      <c r="D10" s="132">
        <v>4.31</v>
      </c>
      <c r="E10" s="132">
        <v>4.38</v>
      </c>
      <c r="F10" s="132">
        <v>4.43</v>
      </c>
      <c r="G10" s="132">
        <v>4.47</v>
      </c>
      <c r="H10" s="132">
        <v>4.55</v>
      </c>
      <c r="I10" s="132">
        <v>4.68</v>
      </c>
      <c r="J10" s="133">
        <v>4.68</v>
      </c>
      <c r="M10" s="139"/>
    </row>
    <row r="11" ht="15.35" spans="1:13">
      <c r="A11" s="137" t="s">
        <v>226</v>
      </c>
      <c r="B11" s="132">
        <v>4.21</v>
      </c>
      <c r="C11" s="132">
        <v>4.28</v>
      </c>
      <c r="D11" s="132">
        <v>4.31</v>
      </c>
      <c r="E11" s="132">
        <v>4.38</v>
      </c>
      <c r="F11" s="132">
        <v>4.43</v>
      </c>
      <c r="G11" s="132">
        <v>4.47</v>
      </c>
      <c r="H11" s="132">
        <v>4.55</v>
      </c>
      <c r="I11" s="132">
        <v>4.68</v>
      </c>
      <c r="J11" s="133">
        <v>4.68</v>
      </c>
    </row>
    <row r="12" spans="1:13">
      <c r="A12" s="135" t="s">
        <v>227</v>
      </c>
      <c r="B12" s="132">
        <v>4.87</v>
      </c>
      <c r="C12" s="132">
        <v>4.95</v>
      </c>
      <c r="D12" s="132">
        <v>5</v>
      </c>
      <c r="E12" s="132">
        <v>5.07</v>
      </c>
      <c r="F12" s="132">
        <v>5.15</v>
      </c>
      <c r="G12" s="132">
        <v>5.32</v>
      </c>
      <c r="H12" s="132">
        <v>5.45</v>
      </c>
      <c r="I12" s="132">
        <v>5.62</v>
      </c>
      <c r="J12" s="133">
        <v>5.62</v>
      </c>
    </row>
    <row r="13" ht="15.35" spans="1:13">
      <c r="A13" s="137" t="s">
        <v>228</v>
      </c>
      <c r="B13" s="132">
        <v>4.87</v>
      </c>
      <c r="C13" s="132">
        <v>4.95</v>
      </c>
      <c r="D13" s="132">
        <v>5</v>
      </c>
      <c r="E13" s="132">
        <v>5.07</v>
      </c>
      <c r="F13" s="132">
        <v>5.15</v>
      </c>
      <c r="G13" s="132">
        <v>5.32</v>
      </c>
      <c r="H13" s="132">
        <v>5.45</v>
      </c>
      <c r="I13" s="132">
        <v>5.62</v>
      </c>
      <c r="J13" s="133">
        <v>5.62</v>
      </c>
    </row>
    <row r="14" spans="1:13">
      <c r="A14" s="135" t="s">
        <v>229</v>
      </c>
      <c r="B14" s="132">
        <v>4.87</v>
      </c>
      <c r="C14" s="132">
        <v>4.95</v>
      </c>
      <c r="D14" s="132">
        <v>5</v>
      </c>
      <c r="E14" s="132">
        <v>5.07</v>
      </c>
      <c r="F14" s="132">
        <v>5.15</v>
      </c>
      <c r="G14" s="132">
        <v>5.32</v>
      </c>
      <c r="H14" s="132">
        <v>5.45</v>
      </c>
      <c r="I14" s="132">
        <v>5.62</v>
      </c>
      <c r="J14" s="133">
        <v>5.62</v>
      </c>
    </row>
    <row r="15" ht="15.35" spans="1:13">
      <c r="A15" s="137" t="s">
        <v>230</v>
      </c>
      <c r="B15" s="132">
        <v>4.87</v>
      </c>
      <c r="C15" s="132">
        <v>4.95</v>
      </c>
      <c r="D15" s="132">
        <v>5</v>
      </c>
      <c r="E15" s="132">
        <v>5.07</v>
      </c>
      <c r="F15" s="132">
        <v>5.15</v>
      </c>
      <c r="G15" s="132">
        <v>5.32</v>
      </c>
      <c r="H15" s="132">
        <v>5.45</v>
      </c>
      <c r="I15" s="132">
        <v>5.62</v>
      </c>
      <c r="J15" s="133">
        <v>5.62</v>
      </c>
    </row>
    <row r="16" spans="1:13">
      <c r="A16" s="135" t="s">
        <v>231</v>
      </c>
      <c r="B16" s="132">
        <v>6.17</v>
      </c>
      <c r="C16" s="132">
        <v>6.26</v>
      </c>
      <c r="D16" s="132">
        <v>6.33</v>
      </c>
      <c r="E16" s="132">
        <v>6.4</v>
      </c>
      <c r="F16" s="132">
        <v>6.56</v>
      </c>
      <c r="G16" s="132">
        <v>6.79</v>
      </c>
      <c r="H16" s="132">
        <v>6.96</v>
      </c>
      <c r="I16" s="132">
        <v>7.15</v>
      </c>
      <c r="J16" s="133">
        <v>7.15</v>
      </c>
    </row>
    <row r="17" ht="15.35" spans="1:10">
      <c r="A17" s="137" t="s">
        <v>232</v>
      </c>
      <c r="B17" s="132">
        <v>6.17</v>
      </c>
      <c r="C17" s="132">
        <v>6.26</v>
      </c>
      <c r="D17" s="132">
        <v>6.33</v>
      </c>
      <c r="E17" s="132">
        <v>6.4</v>
      </c>
      <c r="F17" s="132">
        <v>6.56</v>
      </c>
      <c r="G17" s="132">
        <v>6.79</v>
      </c>
      <c r="H17" s="132">
        <v>6.96</v>
      </c>
      <c r="I17" s="132">
        <v>7.15</v>
      </c>
      <c r="J17" s="133">
        <v>7.15</v>
      </c>
    </row>
    <row r="18" spans="1:10">
      <c r="A18" s="135" t="s">
        <v>233</v>
      </c>
      <c r="B18" s="132">
        <v>6.17</v>
      </c>
      <c r="C18" s="132">
        <v>6.26</v>
      </c>
      <c r="D18" s="132">
        <v>6.33</v>
      </c>
      <c r="E18" s="132">
        <v>6.4</v>
      </c>
      <c r="F18" s="132">
        <v>6.56</v>
      </c>
      <c r="G18" s="132">
        <v>6.79</v>
      </c>
      <c r="H18" s="132">
        <v>6.96</v>
      </c>
      <c r="I18" s="132">
        <v>7.15</v>
      </c>
      <c r="J18" s="133">
        <v>7.15</v>
      </c>
    </row>
    <row r="19" ht="16.1" spans="1:10">
      <c r="A19" s="140" t="s">
        <v>234</v>
      </c>
      <c r="B19" s="141">
        <v>6.17</v>
      </c>
      <c r="C19" s="141">
        <v>6.26</v>
      </c>
      <c r="D19" s="141">
        <v>6.33</v>
      </c>
      <c r="E19" s="141">
        <v>6.4</v>
      </c>
      <c r="F19" s="141">
        <v>6.56</v>
      </c>
      <c r="G19" s="141">
        <v>6.79</v>
      </c>
      <c r="H19" s="141">
        <v>6.96</v>
      </c>
      <c r="I19" s="141">
        <v>7.15</v>
      </c>
      <c r="J19" s="142">
        <v>7.15</v>
      </c>
    </row>
    <row r="20" ht="15.7" spans="1:10">
      <c r="A20" s="143"/>
      <c r="B20" s="144"/>
      <c r="C20" s="144"/>
      <c r="D20" s="144"/>
      <c r="E20" s="144"/>
      <c r="F20" s="144"/>
      <c r="G20" s="144"/>
      <c r="H20" s="144"/>
      <c r="I20" s="144"/>
      <c r="J20" s="145"/>
    </row>
    <row r="21" spans="1:10">
      <c r="A21" s="146" t="s">
        <v>214</v>
      </c>
      <c r="B21" s="147" t="s">
        <v>198</v>
      </c>
      <c r="C21" s="147" t="s">
        <v>199</v>
      </c>
      <c r="D21" s="147" t="s">
        <v>200</v>
      </c>
      <c r="E21" s="147" t="s">
        <v>201</v>
      </c>
      <c r="F21" s="147" t="s">
        <v>202</v>
      </c>
      <c r="G21" s="147" t="s">
        <v>203</v>
      </c>
      <c r="H21" s="147" t="s">
        <v>204</v>
      </c>
      <c r="I21" s="147" t="s">
        <v>205</v>
      </c>
      <c r="J21" s="148" t="s">
        <v>206</v>
      </c>
    </row>
    <row r="22" spans="1:10">
      <c r="A22" s="135" t="s">
        <v>235</v>
      </c>
      <c r="B22" s="149">
        <v>6.83</v>
      </c>
      <c r="C22" s="149">
        <v>6.91</v>
      </c>
      <c r="D22" s="149">
        <v>6.99</v>
      </c>
      <c r="E22" s="149">
        <v>7.13</v>
      </c>
      <c r="F22" s="149">
        <v>7.49</v>
      </c>
      <c r="G22" s="149">
        <v>8.42</v>
      </c>
      <c r="H22" s="149">
        <v>8.63</v>
      </c>
      <c r="I22" s="149">
        <v>8.91</v>
      </c>
      <c r="J22" s="133">
        <v>8.91</v>
      </c>
    </row>
    <row r="23" ht="15.35" spans="1:10">
      <c r="A23" s="137" t="s">
        <v>236</v>
      </c>
      <c r="B23" s="149">
        <v>7.21</v>
      </c>
      <c r="C23" s="149">
        <v>7.32</v>
      </c>
      <c r="D23" s="149">
        <v>7.54</v>
      </c>
      <c r="E23" s="149">
        <v>7.75</v>
      </c>
      <c r="F23" s="149">
        <v>8.28</v>
      </c>
      <c r="G23" s="149">
        <v>9.67</v>
      </c>
      <c r="H23" s="149">
        <v>9.99</v>
      </c>
      <c r="I23" s="149">
        <v>10.42</v>
      </c>
      <c r="J23" s="133">
        <v>10.42</v>
      </c>
    </row>
    <row r="24" spans="1:10">
      <c r="A24" s="135" t="s">
        <v>237</v>
      </c>
      <c r="B24" s="149">
        <v>7.56</v>
      </c>
      <c r="C24" s="149">
        <v>7.66</v>
      </c>
      <c r="D24" s="149">
        <v>8.16</v>
      </c>
      <c r="E24" s="149">
        <v>8.51</v>
      </c>
      <c r="F24" s="149">
        <v>9.23</v>
      </c>
      <c r="G24" s="149">
        <v>10.58</v>
      </c>
      <c r="H24" s="149">
        <v>11.27</v>
      </c>
      <c r="I24" s="149">
        <v>12.06</v>
      </c>
      <c r="J24" s="133">
        <v>12.06</v>
      </c>
    </row>
    <row r="25" ht="15.35" spans="1:10">
      <c r="A25" s="137" t="s">
        <v>238</v>
      </c>
      <c r="B25" s="149">
        <v>7.81</v>
      </c>
      <c r="C25" s="149">
        <v>7.89</v>
      </c>
      <c r="D25" s="149">
        <v>8.56</v>
      </c>
      <c r="E25" s="149">
        <v>9.03</v>
      </c>
      <c r="F25" s="149">
        <v>9.86</v>
      </c>
      <c r="G25" s="149">
        <v>11.19</v>
      </c>
      <c r="H25" s="149">
        <v>12.12</v>
      </c>
      <c r="I25" s="149">
        <v>13.16</v>
      </c>
      <c r="J25" s="133">
        <v>13.16</v>
      </c>
    </row>
    <row r="26" spans="1:10">
      <c r="A26" s="135" t="s">
        <v>239</v>
      </c>
      <c r="B26" s="149">
        <v>7.99</v>
      </c>
      <c r="C26" s="149">
        <v>8.06</v>
      </c>
      <c r="D26" s="149">
        <v>8.86</v>
      </c>
      <c r="E26" s="149">
        <v>9.41</v>
      </c>
      <c r="F26" s="149">
        <v>10.44</v>
      </c>
      <c r="G26" s="149">
        <v>11.77</v>
      </c>
      <c r="H26" s="149">
        <v>12.89</v>
      </c>
      <c r="I26" s="149">
        <v>14.16</v>
      </c>
      <c r="J26" s="133">
        <v>14.16</v>
      </c>
    </row>
    <row r="27" ht="15.35" spans="1:10">
      <c r="A27" s="137" t="s">
        <v>240</v>
      </c>
      <c r="B27" s="149">
        <v>8.17</v>
      </c>
      <c r="C27" s="149">
        <v>8.23</v>
      </c>
      <c r="D27" s="149">
        <v>9.17</v>
      </c>
      <c r="E27" s="149">
        <v>9.79</v>
      </c>
      <c r="F27" s="149">
        <v>11.02</v>
      </c>
      <c r="G27" s="149">
        <v>12.36</v>
      </c>
      <c r="H27" s="149">
        <v>13.67</v>
      </c>
      <c r="I27" s="149">
        <v>15.16</v>
      </c>
      <c r="J27" s="133">
        <v>15.16</v>
      </c>
    </row>
    <row r="28" spans="1:10">
      <c r="A28" s="135" t="s">
        <v>241</v>
      </c>
      <c r="B28" s="149">
        <v>8.43</v>
      </c>
      <c r="C28" s="149">
        <v>8.5</v>
      </c>
      <c r="D28" s="149">
        <v>9.59</v>
      </c>
      <c r="E28" s="149">
        <v>10.32</v>
      </c>
      <c r="F28" s="149">
        <v>11.67</v>
      </c>
      <c r="G28" s="149">
        <v>13.07</v>
      </c>
      <c r="H28" s="149">
        <v>14.58</v>
      </c>
      <c r="I28" s="149">
        <v>16.3</v>
      </c>
      <c r="J28" s="133">
        <v>16.3</v>
      </c>
    </row>
    <row r="29" ht="15.35" spans="1:10">
      <c r="A29" s="137" t="s">
        <v>242</v>
      </c>
      <c r="B29" s="149">
        <v>8.79</v>
      </c>
      <c r="C29" s="149">
        <v>8.84</v>
      </c>
      <c r="D29" s="149">
        <v>10.05</v>
      </c>
      <c r="E29" s="149">
        <v>10.87</v>
      </c>
      <c r="F29" s="149">
        <v>12.31</v>
      </c>
      <c r="G29" s="149">
        <v>13.78</v>
      </c>
      <c r="H29" s="149">
        <v>15.49</v>
      </c>
      <c r="I29" s="149">
        <v>17.44</v>
      </c>
      <c r="J29" s="133">
        <v>17.44</v>
      </c>
    </row>
    <row r="30" spans="1:10">
      <c r="A30" s="135" t="s">
        <v>243</v>
      </c>
      <c r="B30" s="149">
        <v>9.28</v>
      </c>
      <c r="C30" s="149">
        <v>9.35</v>
      </c>
      <c r="D30" s="149">
        <v>10.56</v>
      </c>
      <c r="E30" s="149">
        <v>11.46</v>
      </c>
      <c r="F30" s="149">
        <v>12.94</v>
      </c>
      <c r="G30" s="149">
        <v>14.5</v>
      </c>
      <c r="H30" s="149">
        <v>16.38</v>
      </c>
      <c r="I30" s="149">
        <v>18.6</v>
      </c>
      <c r="J30" s="133">
        <v>18.6</v>
      </c>
    </row>
    <row r="31" ht="15.35" spans="1:10">
      <c r="A31" s="137" t="s">
        <v>244</v>
      </c>
      <c r="B31" s="150">
        <v>9.9</v>
      </c>
      <c r="C31" s="150">
        <v>9.96</v>
      </c>
      <c r="D31" s="150">
        <v>11.09</v>
      </c>
      <c r="E31" s="150">
        <v>12.06</v>
      </c>
      <c r="F31" s="150">
        <v>13.58</v>
      </c>
      <c r="G31" s="150">
        <v>15.22</v>
      </c>
      <c r="H31" s="150">
        <v>17.28</v>
      </c>
      <c r="I31" s="150">
        <v>19.76</v>
      </c>
      <c r="J31" s="133">
        <v>19.76</v>
      </c>
    </row>
    <row r="32" spans="1:10">
      <c r="A32" s="135" t="s">
        <v>245</v>
      </c>
      <c r="B32" s="132">
        <v>10.78</v>
      </c>
      <c r="C32" s="132">
        <v>10.83</v>
      </c>
      <c r="D32" s="132">
        <v>11.64</v>
      </c>
      <c r="E32" s="132">
        <v>12.68</v>
      </c>
      <c r="F32" s="132">
        <v>14.21</v>
      </c>
      <c r="G32" s="132">
        <v>15.97</v>
      </c>
      <c r="H32" s="132">
        <v>18.18</v>
      </c>
      <c r="I32" s="132">
        <v>20.91</v>
      </c>
      <c r="J32" s="133">
        <v>20.91</v>
      </c>
    </row>
    <row r="33" ht="15.35" spans="1:10">
      <c r="A33" s="137" t="s">
        <v>246</v>
      </c>
      <c r="B33" s="132">
        <v>11.33</v>
      </c>
      <c r="C33" s="132">
        <v>11.39</v>
      </c>
      <c r="D33" s="132">
        <v>12.16</v>
      </c>
      <c r="E33" s="132">
        <v>13.28</v>
      </c>
      <c r="F33" s="132">
        <v>14.86</v>
      </c>
      <c r="G33" s="132">
        <v>16.73</v>
      </c>
      <c r="H33" s="132">
        <v>19.1</v>
      </c>
      <c r="I33" s="132">
        <v>22.06</v>
      </c>
      <c r="J33" s="133">
        <v>22.06</v>
      </c>
    </row>
    <row r="34" spans="1:10">
      <c r="A34" s="135" t="s">
        <v>247</v>
      </c>
      <c r="B34" s="132">
        <v>11.84</v>
      </c>
      <c r="C34" s="132">
        <v>11.92</v>
      </c>
      <c r="D34" s="132">
        <v>12.68</v>
      </c>
      <c r="E34" s="132">
        <v>13.86</v>
      </c>
      <c r="F34" s="132">
        <v>15.52</v>
      </c>
      <c r="G34" s="132">
        <v>17.51</v>
      </c>
      <c r="H34" s="132">
        <v>20.01</v>
      </c>
      <c r="I34" s="132">
        <v>23.22</v>
      </c>
      <c r="J34" s="133">
        <v>23.22</v>
      </c>
    </row>
    <row r="35" ht="15.35" spans="1:10">
      <c r="A35" s="137" t="s">
        <v>248</v>
      </c>
      <c r="B35" s="132">
        <v>12.28</v>
      </c>
      <c r="C35" s="132">
        <v>12.4</v>
      </c>
      <c r="D35" s="132">
        <v>13.15</v>
      </c>
      <c r="E35" s="132">
        <v>14.39</v>
      </c>
      <c r="F35" s="132">
        <v>16.17</v>
      </c>
      <c r="G35" s="132">
        <v>18.31</v>
      </c>
      <c r="H35" s="132">
        <v>20.95</v>
      </c>
      <c r="I35" s="132">
        <v>24.38</v>
      </c>
      <c r="J35" s="133">
        <v>24.38</v>
      </c>
    </row>
    <row r="36" spans="1:10">
      <c r="A36" s="135" t="s">
        <v>249</v>
      </c>
      <c r="B36" s="132">
        <v>12.65</v>
      </c>
      <c r="C36" s="132">
        <v>12.78</v>
      </c>
      <c r="D36" s="132">
        <v>13.56</v>
      </c>
      <c r="E36" s="132">
        <v>14.86</v>
      </c>
      <c r="F36" s="132">
        <v>16.83</v>
      </c>
      <c r="G36" s="132">
        <v>19.11</v>
      </c>
      <c r="H36" s="132">
        <v>21.87</v>
      </c>
      <c r="I36" s="132">
        <v>25.52</v>
      </c>
      <c r="J36" s="133">
        <v>25.52</v>
      </c>
    </row>
    <row r="37" ht="15.35" spans="1:10">
      <c r="A37" s="137" t="s">
        <v>250</v>
      </c>
      <c r="B37" s="132">
        <v>12.94</v>
      </c>
      <c r="C37" s="132">
        <v>13.09</v>
      </c>
      <c r="D37" s="132">
        <v>13.9</v>
      </c>
      <c r="E37" s="132">
        <v>15.28</v>
      </c>
      <c r="F37" s="132">
        <v>17.46</v>
      </c>
      <c r="G37" s="132">
        <v>19.88</v>
      </c>
      <c r="H37" s="132">
        <v>22.76</v>
      </c>
      <c r="I37" s="132">
        <v>26.63</v>
      </c>
      <c r="J37" s="133">
        <v>26.63</v>
      </c>
    </row>
    <row r="38" spans="1:10">
      <c r="A38" s="135" t="s">
        <v>251</v>
      </c>
      <c r="B38" s="132">
        <v>13.23</v>
      </c>
      <c r="C38" s="132">
        <v>13.4</v>
      </c>
      <c r="D38" s="132">
        <v>14.26</v>
      </c>
      <c r="E38" s="132">
        <v>15.7</v>
      </c>
      <c r="F38" s="132">
        <v>17.92</v>
      </c>
      <c r="G38" s="132">
        <v>20.4</v>
      </c>
      <c r="H38" s="132">
        <v>23.41</v>
      </c>
      <c r="I38" s="132">
        <v>27.47</v>
      </c>
      <c r="J38" s="133">
        <v>27.47</v>
      </c>
    </row>
    <row r="39" ht="15.35" spans="1:10">
      <c r="A39" s="137" t="s">
        <v>252</v>
      </c>
      <c r="B39" s="132">
        <v>13.57</v>
      </c>
      <c r="C39" s="132">
        <v>13.75</v>
      </c>
      <c r="D39" s="132">
        <v>14.64</v>
      </c>
      <c r="E39" s="132">
        <v>16.13</v>
      </c>
      <c r="F39" s="132">
        <v>18.44</v>
      </c>
      <c r="G39" s="132">
        <v>21.02</v>
      </c>
      <c r="H39" s="132">
        <v>24.15</v>
      </c>
      <c r="I39" s="132">
        <v>28.41</v>
      </c>
      <c r="J39" s="133">
        <v>28.41</v>
      </c>
    </row>
    <row r="40" spans="1:10">
      <c r="A40" s="135" t="s">
        <v>253</v>
      </c>
      <c r="B40" s="132">
        <v>13.88</v>
      </c>
      <c r="C40" s="132">
        <v>14.09</v>
      </c>
      <c r="D40" s="132">
        <v>15.01</v>
      </c>
      <c r="E40" s="132">
        <v>16.55</v>
      </c>
      <c r="F40" s="132">
        <v>18.95</v>
      </c>
      <c r="G40" s="132">
        <v>21.62</v>
      </c>
      <c r="H40" s="132">
        <v>24.87</v>
      </c>
      <c r="I40" s="132">
        <v>29.32</v>
      </c>
      <c r="J40" s="133">
        <v>29.32</v>
      </c>
    </row>
    <row r="41" ht="15.35" spans="1:10">
      <c r="A41" s="137" t="s">
        <v>254</v>
      </c>
      <c r="B41" s="132">
        <v>14.5</v>
      </c>
      <c r="C41" s="132">
        <v>14.9</v>
      </c>
      <c r="D41" s="132">
        <v>15.95</v>
      </c>
      <c r="E41" s="132">
        <v>17.12</v>
      </c>
      <c r="F41" s="132">
        <v>20.01</v>
      </c>
      <c r="G41" s="132">
        <v>23.32</v>
      </c>
      <c r="H41" s="132">
        <v>27.46</v>
      </c>
      <c r="I41" s="132">
        <v>31.72</v>
      </c>
      <c r="J41" s="133">
        <v>31.72</v>
      </c>
    </row>
    <row r="42" spans="1:10">
      <c r="A42" s="135" t="s">
        <v>255</v>
      </c>
      <c r="B42" s="132">
        <v>15.4</v>
      </c>
      <c r="C42" s="132">
        <v>16.29</v>
      </c>
      <c r="D42" s="132">
        <v>17.23</v>
      </c>
      <c r="E42" s="132">
        <v>18.17</v>
      </c>
      <c r="F42" s="132">
        <v>21.73</v>
      </c>
      <c r="G42" s="132">
        <v>26.3</v>
      </c>
      <c r="H42" s="132">
        <v>31.56</v>
      </c>
      <c r="I42" s="132">
        <v>35.76</v>
      </c>
      <c r="J42" s="133">
        <v>35.76</v>
      </c>
    </row>
    <row r="43" ht="15.35" spans="1:10">
      <c r="A43" s="137" t="s">
        <v>256</v>
      </c>
      <c r="B43" s="132">
        <v>16.54</v>
      </c>
      <c r="C43" s="132">
        <v>17.71</v>
      </c>
      <c r="D43" s="132">
        <v>18.84</v>
      </c>
      <c r="E43" s="132">
        <v>20.06</v>
      </c>
      <c r="F43" s="132">
        <v>24.51</v>
      </c>
      <c r="G43" s="132">
        <v>30.5</v>
      </c>
      <c r="H43" s="132">
        <v>36.86</v>
      </c>
      <c r="I43" s="132">
        <v>41.37</v>
      </c>
      <c r="J43" s="133">
        <v>41.37</v>
      </c>
    </row>
    <row r="44" spans="1:10">
      <c r="A44" s="135" t="s">
        <v>257</v>
      </c>
      <c r="B44" s="132">
        <v>17.92</v>
      </c>
      <c r="C44" s="132">
        <v>19.31</v>
      </c>
      <c r="D44" s="132">
        <v>20.78</v>
      </c>
      <c r="E44" s="132">
        <v>22.79</v>
      </c>
      <c r="F44" s="132">
        <v>28.34</v>
      </c>
      <c r="G44" s="132">
        <v>35.92</v>
      </c>
      <c r="H44" s="132">
        <v>43.35</v>
      </c>
      <c r="I44" s="132">
        <v>48.56</v>
      </c>
      <c r="J44" s="133">
        <v>48.56</v>
      </c>
    </row>
    <row r="45" ht="15.35" spans="1:10">
      <c r="A45" s="137" t="s">
        <v>258</v>
      </c>
      <c r="B45" s="132">
        <v>19.53</v>
      </c>
      <c r="C45" s="132">
        <v>21.08</v>
      </c>
      <c r="D45" s="132">
        <v>23.05</v>
      </c>
      <c r="E45" s="132">
        <v>26.36</v>
      </c>
      <c r="F45" s="132">
        <v>33.24</v>
      </c>
      <c r="G45" s="132">
        <v>42.56</v>
      </c>
      <c r="H45" s="132">
        <v>51.04</v>
      </c>
      <c r="I45" s="132">
        <v>57.33</v>
      </c>
      <c r="J45" s="133">
        <v>57.33</v>
      </c>
    </row>
    <row r="46" spans="1:10">
      <c r="A46" s="135" t="s">
        <v>259</v>
      </c>
      <c r="B46" s="132">
        <v>21.1</v>
      </c>
      <c r="C46" s="132">
        <v>22.99</v>
      </c>
      <c r="D46" s="132">
        <v>25.63</v>
      </c>
      <c r="E46" s="132">
        <v>30.52</v>
      </c>
      <c r="F46" s="132">
        <v>39.07</v>
      </c>
      <c r="G46" s="132">
        <v>48.34</v>
      </c>
      <c r="H46" s="132">
        <v>57.24</v>
      </c>
      <c r="I46" s="132">
        <v>65</v>
      </c>
      <c r="J46" s="133">
        <v>65</v>
      </c>
    </row>
    <row r="47" ht="15.35" spans="1:10">
      <c r="A47" s="137" t="s">
        <v>260</v>
      </c>
      <c r="B47" s="132">
        <v>21.89</v>
      </c>
      <c r="C47" s="132">
        <v>23.94</v>
      </c>
      <c r="D47" s="132">
        <v>26.92</v>
      </c>
      <c r="E47" s="132">
        <v>32.59</v>
      </c>
      <c r="F47" s="132">
        <v>41.99</v>
      </c>
      <c r="G47" s="132">
        <v>51.23</v>
      </c>
      <c r="H47" s="132">
        <v>60.34</v>
      </c>
      <c r="I47" s="132">
        <v>68.83</v>
      </c>
      <c r="J47" s="133">
        <v>68.83</v>
      </c>
    </row>
    <row r="48" spans="1:10">
      <c r="A48" s="135" t="s">
        <v>261</v>
      </c>
      <c r="B48" s="132">
        <v>22.68</v>
      </c>
      <c r="C48" s="132">
        <v>24.89</v>
      </c>
      <c r="D48" s="132">
        <v>28.21</v>
      </c>
      <c r="E48" s="132">
        <v>34.67</v>
      </c>
      <c r="F48" s="132">
        <v>44.9</v>
      </c>
      <c r="G48" s="132">
        <v>54.13</v>
      </c>
      <c r="H48" s="132">
        <v>63.44</v>
      </c>
      <c r="I48" s="132">
        <v>72.67</v>
      </c>
      <c r="J48" s="133">
        <v>72.67</v>
      </c>
    </row>
    <row r="49" ht="15.35" spans="1:10">
      <c r="A49" s="137" t="s">
        <v>262</v>
      </c>
      <c r="B49" s="132">
        <v>23.31</v>
      </c>
      <c r="C49" s="132">
        <v>25.62</v>
      </c>
      <c r="D49" s="132">
        <v>29.07</v>
      </c>
      <c r="E49" s="132">
        <v>35.73</v>
      </c>
      <c r="F49" s="132">
        <v>46.39</v>
      </c>
      <c r="G49" s="132">
        <v>55.98</v>
      </c>
      <c r="H49" s="132">
        <v>65.65</v>
      </c>
      <c r="I49" s="132">
        <v>75.22</v>
      </c>
      <c r="J49" s="133">
        <v>75.22</v>
      </c>
    </row>
    <row r="50" spans="1:10">
      <c r="A50" s="135" t="s">
        <v>263</v>
      </c>
      <c r="B50" s="132">
        <v>23.93</v>
      </c>
      <c r="C50" s="132">
        <v>26.33</v>
      </c>
      <c r="D50" s="132">
        <v>29.92</v>
      </c>
      <c r="E50" s="132">
        <v>36.77</v>
      </c>
      <c r="F50" s="132">
        <v>47.87</v>
      </c>
      <c r="G50" s="132">
        <v>57.8</v>
      </c>
      <c r="H50" s="132">
        <v>67.82</v>
      </c>
      <c r="I50" s="132">
        <v>77.74</v>
      </c>
      <c r="J50" s="133">
        <v>77.74</v>
      </c>
    </row>
    <row r="51" ht="15.35" spans="1:10">
      <c r="A51" s="137" t="s">
        <v>264</v>
      </c>
      <c r="B51" s="132">
        <v>24.55</v>
      </c>
      <c r="C51" s="132">
        <v>27.03</v>
      </c>
      <c r="D51" s="132">
        <v>30.76</v>
      </c>
      <c r="E51" s="132">
        <v>37.8</v>
      </c>
      <c r="F51" s="132">
        <v>49.33</v>
      </c>
      <c r="G51" s="132">
        <v>59.61</v>
      </c>
      <c r="H51" s="132">
        <v>69.97</v>
      </c>
      <c r="I51" s="132">
        <v>80.23</v>
      </c>
      <c r="J51" s="133">
        <v>80.23</v>
      </c>
    </row>
    <row r="52" spans="1:10">
      <c r="A52" s="135" t="s">
        <v>265</v>
      </c>
      <c r="B52" s="132">
        <v>25.16</v>
      </c>
      <c r="C52" s="132">
        <v>27.73</v>
      </c>
      <c r="D52" s="132">
        <v>31.58</v>
      </c>
      <c r="E52" s="132">
        <v>38.81</v>
      </c>
      <c r="F52" s="132">
        <v>50.76</v>
      </c>
      <c r="G52" s="132">
        <v>61.39</v>
      </c>
      <c r="H52" s="132">
        <v>72.1</v>
      </c>
      <c r="I52" s="132">
        <v>82.7</v>
      </c>
      <c r="J52" s="133">
        <v>82.7</v>
      </c>
    </row>
    <row r="53" ht="15.35" spans="1:10">
      <c r="A53" s="137" t="s">
        <v>266</v>
      </c>
      <c r="B53" s="132">
        <v>25.77</v>
      </c>
      <c r="C53" s="132">
        <v>28.42</v>
      </c>
      <c r="D53" s="132">
        <v>32.39</v>
      </c>
      <c r="E53" s="132">
        <v>39.8</v>
      </c>
      <c r="F53" s="132">
        <v>52.18</v>
      </c>
      <c r="G53" s="132">
        <v>63.15</v>
      </c>
      <c r="H53" s="132">
        <v>74.2</v>
      </c>
      <c r="I53" s="132">
        <v>85.14</v>
      </c>
      <c r="J53" s="133">
        <v>85.14</v>
      </c>
    </row>
    <row r="54" spans="1:10">
      <c r="A54" s="135" t="s">
        <v>267</v>
      </c>
      <c r="B54" s="132">
        <v>26.37</v>
      </c>
      <c r="C54" s="132">
        <v>29.1</v>
      </c>
      <c r="D54" s="132">
        <v>33.19</v>
      </c>
      <c r="E54" s="132">
        <v>40.78</v>
      </c>
      <c r="F54" s="132">
        <v>53.58</v>
      </c>
      <c r="G54" s="132">
        <v>64.89</v>
      </c>
      <c r="H54" s="132">
        <v>76.28</v>
      </c>
      <c r="I54" s="132">
        <v>87.56</v>
      </c>
      <c r="J54" s="133">
        <v>87.56</v>
      </c>
    </row>
    <row r="55" ht="15.35" spans="1:10">
      <c r="A55" s="137" t="s">
        <v>268</v>
      </c>
      <c r="B55" s="132">
        <v>26.96</v>
      </c>
      <c r="C55" s="132">
        <v>29.77</v>
      </c>
      <c r="D55" s="132">
        <v>33.97</v>
      </c>
      <c r="E55" s="132">
        <v>41.74</v>
      </c>
      <c r="F55" s="132">
        <v>54.97</v>
      </c>
      <c r="G55" s="132">
        <v>66.61</v>
      </c>
      <c r="H55" s="132">
        <v>78.33</v>
      </c>
      <c r="I55" s="132">
        <v>89.95</v>
      </c>
      <c r="J55" s="133">
        <v>89.95</v>
      </c>
    </row>
    <row r="56" spans="1:10">
      <c r="A56" s="135" t="s">
        <v>269</v>
      </c>
      <c r="B56" s="132">
        <v>27.55</v>
      </c>
      <c r="C56" s="132">
        <v>30.43</v>
      </c>
      <c r="D56" s="132">
        <v>34.74</v>
      </c>
      <c r="E56" s="132">
        <v>42.69</v>
      </c>
      <c r="F56" s="132">
        <v>56.33</v>
      </c>
      <c r="G56" s="132">
        <v>68.3</v>
      </c>
      <c r="H56" s="132">
        <v>80.36</v>
      </c>
      <c r="I56" s="132">
        <v>92.31</v>
      </c>
      <c r="J56" s="133">
        <v>92.31</v>
      </c>
    </row>
    <row r="57" ht="15.35" spans="1:10">
      <c r="A57" s="137" t="s">
        <v>270</v>
      </c>
      <c r="B57" s="132">
        <v>28.14</v>
      </c>
      <c r="C57" s="132">
        <v>31.08</v>
      </c>
      <c r="D57" s="132">
        <v>35.5</v>
      </c>
      <c r="E57" s="132">
        <v>43.62</v>
      </c>
      <c r="F57" s="132">
        <v>57.67</v>
      </c>
      <c r="G57" s="132">
        <v>69.97</v>
      </c>
      <c r="H57" s="132">
        <v>82.36</v>
      </c>
      <c r="I57" s="132">
        <v>94.65</v>
      </c>
      <c r="J57" s="133">
        <v>94.65</v>
      </c>
    </row>
    <row r="58" spans="1:10">
      <c r="A58" s="135" t="s">
        <v>271</v>
      </c>
      <c r="B58" s="132">
        <v>28.71</v>
      </c>
      <c r="C58" s="132">
        <v>31.73</v>
      </c>
      <c r="D58" s="132">
        <v>36.25</v>
      </c>
      <c r="E58" s="132">
        <v>44.54</v>
      </c>
      <c r="F58" s="132">
        <v>59</v>
      </c>
      <c r="G58" s="132">
        <v>71.62</v>
      </c>
      <c r="H58" s="132">
        <v>84.34</v>
      </c>
      <c r="I58" s="132">
        <v>96.96</v>
      </c>
      <c r="J58" s="133">
        <v>96.96</v>
      </c>
    </row>
    <row r="59" ht="15.35" spans="1:10">
      <c r="A59" s="137" t="s">
        <v>272</v>
      </c>
      <c r="B59" s="132">
        <v>29.28</v>
      </c>
      <c r="C59" s="132">
        <v>32.36</v>
      </c>
      <c r="D59" s="132">
        <v>36.98</v>
      </c>
      <c r="E59" s="132">
        <v>45.44</v>
      </c>
      <c r="F59" s="132">
        <v>60.3</v>
      </c>
      <c r="G59" s="132">
        <v>73.25</v>
      </c>
      <c r="H59" s="132">
        <v>86.29</v>
      </c>
      <c r="I59" s="132">
        <v>99.24</v>
      </c>
      <c r="J59" s="133">
        <v>99.24</v>
      </c>
    </row>
    <row r="60" spans="1:10">
      <c r="A60" s="135" t="s">
        <v>273</v>
      </c>
      <c r="B60" s="132">
        <v>29.85</v>
      </c>
      <c r="C60" s="132">
        <v>32.99</v>
      </c>
      <c r="D60" s="132">
        <v>37.7</v>
      </c>
      <c r="E60" s="132">
        <v>46.32</v>
      </c>
      <c r="F60" s="132">
        <v>61.59</v>
      </c>
      <c r="G60" s="132">
        <v>74.86</v>
      </c>
      <c r="H60" s="132">
        <v>88.21</v>
      </c>
      <c r="I60" s="132">
        <v>101.5</v>
      </c>
      <c r="J60" s="133">
        <v>101.5</v>
      </c>
    </row>
    <row r="61" ht="15.35" spans="1:10">
      <c r="A61" s="137" t="s">
        <v>274</v>
      </c>
      <c r="B61" s="132">
        <v>30.41</v>
      </c>
      <c r="C61" s="132">
        <v>33.61</v>
      </c>
      <c r="D61" s="132">
        <v>38.41</v>
      </c>
      <c r="E61" s="132">
        <v>47.19</v>
      </c>
      <c r="F61" s="132">
        <v>62.86</v>
      </c>
      <c r="G61" s="132">
        <v>76.44</v>
      </c>
      <c r="H61" s="132">
        <v>90.11</v>
      </c>
      <c r="I61" s="132">
        <v>103.73</v>
      </c>
      <c r="J61" s="133">
        <v>103.73</v>
      </c>
    </row>
    <row r="62" spans="1:10">
      <c r="A62" s="135" t="s">
        <v>275</v>
      </c>
      <c r="B62" s="132">
        <v>30.96</v>
      </c>
      <c r="C62" s="132">
        <v>34.22</v>
      </c>
      <c r="D62" s="132">
        <v>39.1</v>
      </c>
      <c r="E62" s="132">
        <v>48.05</v>
      </c>
      <c r="F62" s="132">
        <v>64.11</v>
      </c>
      <c r="G62" s="132">
        <v>78</v>
      </c>
      <c r="H62" s="132">
        <v>91.99</v>
      </c>
      <c r="I62" s="132">
        <v>105.93</v>
      </c>
      <c r="J62" s="133">
        <v>105.93</v>
      </c>
    </row>
    <row r="63" ht="15.35" spans="1:10">
      <c r="A63" s="137" t="s">
        <v>276</v>
      </c>
      <c r="B63" s="132">
        <v>31.51</v>
      </c>
      <c r="C63" s="132">
        <v>34.82</v>
      </c>
      <c r="D63" s="132">
        <v>39.78</v>
      </c>
      <c r="E63" s="132">
        <v>48.88</v>
      </c>
      <c r="F63" s="132">
        <v>65.34</v>
      </c>
      <c r="G63" s="132">
        <v>79.54</v>
      </c>
      <c r="H63" s="132">
        <v>93.84</v>
      </c>
      <c r="I63" s="132">
        <v>108.11</v>
      </c>
      <c r="J63" s="133">
        <v>108.11</v>
      </c>
    </row>
    <row r="64" spans="1:10">
      <c r="A64" s="135" t="s">
        <v>277</v>
      </c>
      <c r="B64" s="132">
        <v>32.05</v>
      </c>
      <c r="C64" s="132">
        <v>35.41</v>
      </c>
      <c r="D64" s="132">
        <v>40.45</v>
      </c>
      <c r="E64" s="132">
        <v>49.7</v>
      </c>
      <c r="F64" s="132">
        <v>66.55</v>
      </c>
      <c r="G64" s="132">
        <v>81.06</v>
      </c>
      <c r="H64" s="132">
        <v>95.67</v>
      </c>
      <c r="I64" s="132">
        <v>110.26</v>
      </c>
      <c r="J64" s="133">
        <v>110.26</v>
      </c>
    </row>
    <row r="65" ht="15.35" spans="1:10">
      <c r="A65" s="137" t="s">
        <v>278</v>
      </c>
      <c r="B65" s="132">
        <v>32.59</v>
      </c>
      <c r="C65" s="132">
        <v>35.99</v>
      </c>
      <c r="D65" s="132">
        <v>41.1</v>
      </c>
      <c r="E65" s="132">
        <v>50.51</v>
      </c>
      <c r="F65" s="132">
        <v>67.74</v>
      </c>
      <c r="G65" s="132">
        <v>82.55</v>
      </c>
      <c r="H65" s="132">
        <v>97.47</v>
      </c>
      <c r="I65" s="132">
        <v>112.38</v>
      </c>
      <c r="J65" s="133">
        <v>112.38</v>
      </c>
    </row>
    <row r="66" spans="1:10">
      <c r="A66" s="135" t="s">
        <v>279</v>
      </c>
      <c r="B66" s="132">
        <v>33.12</v>
      </c>
      <c r="C66" s="132">
        <v>36.57</v>
      </c>
      <c r="D66" s="132">
        <v>41.75</v>
      </c>
      <c r="E66" s="132">
        <v>51.3</v>
      </c>
      <c r="F66" s="132">
        <v>68.92</v>
      </c>
      <c r="G66" s="132">
        <v>84.02</v>
      </c>
      <c r="H66" s="132">
        <v>99.24</v>
      </c>
      <c r="I66" s="132">
        <v>114.48</v>
      </c>
      <c r="J66" s="133">
        <v>114.48</v>
      </c>
    </row>
    <row r="67" ht="15.35" spans="1:10">
      <c r="A67" s="137" t="s">
        <v>280</v>
      </c>
      <c r="B67" s="132">
        <v>33.64</v>
      </c>
      <c r="C67" s="132">
        <v>37.13</v>
      </c>
      <c r="D67" s="132">
        <v>42.38</v>
      </c>
      <c r="E67" s="132">
        <v>52.07</v>
      </c>
      <c r="F67" s="132">
        <v>70.07</v>
      </c>
      <c r="G67" s="132">
        <v>85.48</v>
      </c>
      <c r="H67" s="132">
        <v>101</v>
      </c>
      <c r="I67" s="132">
        <v>116.55</v>
      </c>
      <c r="J67" s="133">
        <v>116.55</v>
      </c>
    </row>
    <row r="68" spans="1:10">
      <c r="A68" s="135" t="s">
        <v>281</v>
      </c>
      <c r="B68" s="132">
        <v>34.16</v>
      </c>
      <c r="C68" s="132">
        <v>37.69</v>
      </c>
      <c r="D68" s="132">
        <v>42.99</v>
      </c>
      <c r="E68" s="132">
        <v>52.83</v>
      </c>
      <c r="F68" s="132">
        <v>71.21</v>
      </c>
      <c r="G68" s="132">
        <v>86.9</v>
      </c>
      <c r="H68" s="132">
        <v>102.72</v>
      </c>
      <c r="I68" s="132">
        <v>118.59</v>
      </c>
      <c r="J68" s="133">
        <v>118.59</v>
      </c>
    </row>
    <row r="69" ht="15.35" spans="1:10">
      <c r="A69" s="137" t="s">
        <v>282</v>
      </c>
      <c r="B69" s="132">
        <v>34.67</v>
      </c>
      <c r="C69" s="132">
        <v>38.24</v>
      </c>
      <c r="D69" s="132">
        <v>43.6</v>
      </c>
      <c r="E69" s="132">
        <v>53.57</v>
      </c>
      <c r="F69" s="132">
        <v>72.33</v>
      </c>
      <c r="G69" s="132">
        <v>88.31</v>
      </c>
      <c r="H69" s="132">
        <v>104.42</v>
      </c>
      <c r="I69" s="132">
        <v>120.61</v>
      </c>
      <c r="J69" s="133">
        <v>120.61</v>
      </c>
    </row>
    <row r="70" spans="1:10">
      <c r="A70" s="135" t="s">
        <v>283</v>
      </c>
      <c r="B70" s="132">
        <v>35.18</v>
      </c>
      <c r="C70" s="132">
        <v>38.78</v>
      </c>
      <c r="D70" s="132">
        <v>44.19</v>
      </c>
      <c r="E70" s="132">
        <v>54.3</v>
      </c>
      <c r="F70" s="132">
        <v>73.43</v>
      </c>
      <c r="G70" s="132">
        <v>89.69</v>
      </c>
      <c r="H70" s="132">
        <v>106.1</v>
      </c>
      <c r="I70" s="132">
        <v>122.6</v>
      </c>
      <c r="J70" s="133">
        <v>122.6</v>
      </c>
    </row>
    <row r="71" ht="15.35" spans="1:10">
      <c r="A71" s="137" t="s">
        <v>284</v>
      </c>
      <c r="B71" s="132">
        <v>35.68</v>
      </c>
      <c r="C71" s="132">
        <v>39.31</v>
      </c>
      <c r="D71" s="132">
        <v>44.77</v>
      </c>
      <c r="E71" s="132">
        <v>55.01</v>
      </c>
      <c r="F71" s="132">
        <v>74.51</v>
      </c>
      <c r="G71" s="132">
        <v>91.05</v>
      </c>
      <c r="H71" s="132">
        <v>107.75</v>
      </c>
      <c r="I71" s="132">
        <v>124.56</v>
      </c>
      <c r="J71" s="133">
        <v>124.56</v>
      </c>
    </row>
    <row r="72" spans="1:10">
      <c r="A72" s="135" t="s">
        <v>285</v>
      </c>
      <c r="B72" s="132">
        <v>36.17</v>
      </c>
      <c r="C72" s="132">
        <v>39.84</v>
      </c>
      <c r="D72" s="132">
        <v>45.33</v>
      </c>
      <c r="E72" s="132">
        <v>55.7</v>
      </c>
      <c r="F72" s="132">
        <v>75.57</v>
      </c>
      <c r="G72" s="132">
        <v>92.39</v>
      </c>
      <c r="H72" s="132">
        <v>109.37</v>
      </c>
      <c r="I72" s="132">
        <v>126.5</v>
      </c>
      <c r="J72" s="133">
        <v>126.5</v>
      </c>
    </row>
    <row r="73" ht="15.35" spans="1:10">
      <c r="A73" s="137" t="s">
        <v>286</v>
      </c>
      <c r="B73" s="132">
        <v>36.66</v>
      </c>
      <c r="C73" s="132">
        <v>40.35</v>
      </c>
      <c r="D73" s="132">
        <v>45.88</v>
      </c>
      <c r="E73" s="132">
        <v>56.38</v>
      </c>
      <c r="F73" s="132">
        <v>76.61</v>
      </c>
      <c r="G73" s="132">
        <v>93.71</v>
      </c>
      <c r="H73" s="132">
        <v>110.97</v>
      </c>
      <c r="I73" s="132">
        <v>128.41</v>
      </c>
      <c r="J73" s="133">
        <v>128.41</v>
      </c>
    </row>
    <row r="74" spans="1:10">
      <c r="A74" s="135" t="s">
        <v>287</v>
      </c>
      <c r="B74" s="132">
        <v>37.14</v>
      </c>
      <c r="C74" s="132">
        <v>40.86</v>
      </c>
      <c r="D74" s="132">
        <v>46.42</v>
      </c>
      <c r="E74" s="132">
        <v>57.04</v>
      </c>
      <c r="F74" s="132">
        <v>77.63</v>
      </c>
      <c r="G74" s="132">
        <v>95</v>
      </c>
      <c r="H74" s="132">
        <v>112.55</v>
      </c>
      <c r="I74" s="132">
        <v>130.3</v>
      </c>
      <c r="J74" s="133">
        <v>130.3</v>
      </c>
    </row>
    <row r="75" ht="15.35" spans="1:10">
      <c r="A75" s="137" t="s">
        <v>288</v>
      </c>
      <c r="B75" s="132">
        <v>37.62</v>
      </c>
      <c r="C75" s="132">
        <v>41.35</v>
      </c>
      <c r="D75" s="132">
        <v>46.95</v>
      </c>
      <c r="E75" s="132">
        <v>57.69</v>
      </c>
      <c r="F75" s="132">
        <v>78.64</v>
      </c>
      <c r="G75" s="132">
        <v>96.28</v>
      </c>
      <c r="H75" s="132">
        <v>114.1</v>
      </c>
      <c r="I75" s="132">
        <v>132.15</v>
      </c>
      <c r="J75" s="133">
        <v>132.15</v>
      </c>
    </row>
    <row r="76" spans="1:10">
      <c r="A76" s="135" t="s">
        <v>289</v>
      </c>
      <c r="B76" s="132">
        <v>38.09</v>
      </c>
      <c r="C76" s="132">
        <v>41.84</v>
      </c>
      <c r="D76" s="132">
        <v>47.46</v>
      </c>
      <c r="E76" s="132">
        <v>58.32</v>
      </c>
      <c r="F76" s="132">
        <v>79.62</v>
      </c>
      <c r="G76" s="132">
        <v>97.53</v>
      </c>
      <c r="H76" s="132">
        <v>115.63</v>
      </c>
      <c r="I76" s="132">
        <v>133.99</v>
      </c>
      <c r="J76" s="133">
        <v>133.99</v>
      </c>
    </row>
    <row r="77" ht="15.35" spans="1:10">
      <c r="A77" s="137" t="s">
        <v>290</v>
      </c>
      <c r="B77" s="132">
        <v>38.56</v>
      </c>
      <c r="C77" s="132">
        <v>42.32</v>
      </c>
      <c r="D77" s="132">
        <v>47.96</v>
      </c>
      <c r="E77" s="132">
        <v>58.94</v>
      </c>
      <c r="F77" s="132">
        <v>80.59</v>
      </c>
      <c r="G77" s="132">
        <v>98.75</v>
      </c>
      <c r="H77" s="132">
        <v>117.13</v>
      </c>
      <c r="I77" s="132">
        <v>135.79</v>
      </c>
      <c r="J77" s="133">
        <v>135.79</v>
      </c>
    </row>
    <row r="78" spans="1:10">
      <c r="A78" s="135" t="s">
        <v>291</v>
      </c>
      <c r="B78" s="132">
        <v>39.02</v>
      </c>
      <c r="C78" s="132">
        <v>42.79</v>
      </c>
      <c r="D78" s="132">
        <v>48.45</v>
      </c>
      <c r="E78" s="132">
        <v>59.54</v>
      </c>
      <c r="F78" s="132">
        <v>81.54</v>
      </c>
      <c r="G78" s="132">
        <v>99.96</v>
      </c>
      <c r="H78" s="132">
        <v>118.6</v>
      </c>
      <c r="I78" s="132">
        <v>137.57</v>
      </c>
      <c r="J78" s="133">
        <v>137.57</v>
      </c>
    </row>
    <row r="79" ht="15.35" spans="1:10">
      <c r="A79" s="137" t="s">
        <v>292</v>
      </c>
      <c r="B79" s="132">
        <v>39.47</v>
      </c>
      <c r="C79" s="132">
        <v>43.25</v>
      </c>
      <c r="D79" s="132">
        <v>48.93</v>
      </c>
      <c r="E79" s="132">
        <v>60.12</v>
      </c>
      <c r="F79" s="132">
        <v>82.47</v>
      </c>
      <c r="G79" s="132">
        <v>101.14</v>
      </c>
      <c r="H79" s="132">
        <v>120.05</v>
      </c>
      <c r="I79" s="132">
        <v>139.32</v>
      </c>
      <c r="J79" s="133">
        <v>139.32</v>
      </c>
    </row>
    <row r="80" spans="1:10">
      <c r="A80" s="135" t="s">
        <v>293</v>
      </c>
      <c r="B80" s="132">
        <v>39.92</v>
      </c>
      <c r="C80" s="132">
        <v>43.71</v>
      </c>
      <c r="D80" s="132">
        <v>49.39</v>
      </c>
      <c r="E80" s="132">
        <v>60.69</v>
      </c>
      <c r="F80" s="132">
        <v>83.38</v>
      </c>
      <c r="G80" s="132">
        <v>102.31</v>
      </c>
      <c r="H80" s="132">
        <v>121.48</v>
      </c>
      <c r="I80" s="132">
        <v>141.04</v>
      </c>
      <c r="J80" s="133">
        <v>141.04</v>
      </c>
    </row>
    <row r="81" ht="15.35" spans="1:10">
      <c r="A81" s="137" t="s">
        <v>294</v>
      </c>
      <c r="B81" s="132">
        <v>40.36</v>
      </c>
      <c r="C81" s="132">
        <v>44.15</v>
      </c>
      <c r="D81" s="132">
        <v>49.84</v>
      </c>
      <c r="E81" s="132">
        <v>61.24</v>
      </c>
      <c r="F81" s="132">
        <v>84.27</v>
      </c>
      <c r="G81" s="132">
        <v>103.44</v>
      </c>
      <c r="H81" s="132">
        <v>122.88</v>
      </c>
      <c r="I81" s="132">
        <v>142.74</v>
      </c>
      <c r="J81" s="133">
        <v>142.74</v>
      </c>
    </row>
    <row r="82" spans="1:10">
      <c r="A82" s="135" t="s">
        <v>295</v>
      </c>
      <c r="B82" s="132">
        <v>40.8</v>
      </c>
      <c r="C82" s="132">
        <v>44.59</v>
      </c>
      <c r="D82" s="132">
        <v>50.27</v>
      </c>
      <c r="E82" s="132">
        <v>61.78</v>
      </c>
      <c r="F82" s="132">
        <v>85.14</v>
      </c>
      <c r="G82" s="132">
        <v>104.56</v>
      </c>
      <c r="H82" s="132">
        <v>124.25</v>
      </c>
      <c r="I82" s="132">
        <v>144.41</v>
      </c>
      <c r="J82" s="133">
        <v>144.41</v>
      </c>
    </row>
    <row r="83" ht="15.35" spans="1:10">
      <c r="A83" s="137" t="s">
        <v>296</v>
      </c>
      <c r="B83" s="132">
        <v>41.23</v>
      </c>
      <c r="C83" s="132">
        <v>45.02</v>
      </c>
      <c r="D83" s="132">
        <v>50.7</v>
      </c>
      <c r="E83" s="132">
        <v>62.3</v>
      </c>
      <c r="F83" s="132">
        <v>85.99</v>
      </c>
      <c r="G83" s="132">
        <v>105.66</v>
      </c>
      <c r="H83" s="132">
        <v>125.6</v>
      </c>
      <c r="I83" s="132">
        <v>146.06</v>
      </c>
      <c r="J83" s="133">
        <v>146.06</v>
      </c>
    </row>
    <row r="84" spans="1:10">
      <c r="A84" s="135" t="s">
        <v>297</v>
      </c>
      <c r="B84" s="132">
        <v>41.65</v>
      </c>
      <c r="C84" s="132">
        <v>45.44</v>
      </c>
      <c r="D84" s="132">
        <v>51.11</v>
      </c>
      <c r="E84" s="132">
        <v>62.8</v>
      </c>
      <c r="F84" s="132">
        <v>86.83</v>
      </c>
      <c r="G84" s="132">
        <v>106.73</v>
      </c>
      <c r="H84" s="132">
        <v>126.93</v>
      </c>
      <c r="I84" s="132">
        <v>147.68</v>
      </c>
      <c r="J84" s="133">
        <v>147.68</v>
      </c>
    </row>
    <row r="85" ht="15.35" spans="1:10">
      <c r="A85" s="137" t="s">
        <v>298</v>
      </c>
      <c r="B85" s="132">
        <v>42.07</v>
      </c>
      <c r="C85" s="132">
        <v>45.85</v>
      </c>
      <c r="D85" s="132">
        <v>51.51</v>
      </c>
      <c r="E85" s="132">
        <v>63.29</v>
      </c>
      <c r="F85" s="132">
        <v>87.65</v>
      </c>
      <c r="G85" s="132">
        <v>107.78</v>
      </c>
      <c r="H85" s="132">
        <v>128.23</v>
      </c>
      <c r="I85" s="132">
        <v>149.27</v>
      </c>
      <c r="J85" s="133">
        <v>149.27</v>
      </c>
    </row>
    <row r="86" spans="1:10">
      <c r="A86" s="135" t="s">
        <v>299</v>
      </c>
      <c r="B86" s="132">
        <v>42.48</v>
      </c>
      <c r="C86" s="132">
        <v>46.25</v>
      </c>
      <c r="D86" s="132">
        <v>51.89</v>
      </c>
      <c r="E86" s="132">
        <v>63.76</v>
      </c>
      <c r="F86" s="132">
        <v>88.44</v>
      </c>
      <c r="G86" s="132">
        <v>108.81</v>
      </c>
      <c r="H86" s="132">
        <v>129.5</v>
      </c>
      <c r="I86" s="132">
        <v>150.83</v>
      </c>
      <c r="J86" s="133">
        <v>150.83</v>
      </c>
    </row>
    <row r="87" ht="15.35" spans="1:10">
      <c r="A87" s="137" t="s">
        <v>300</v>
      </c>
      <c r="B87" s="132">
        <v>42.89</v>
      </c>
      <c r="C87" s="132">
        <v>46.64</v>
      </c>
      <c r="D87" s="132">
        <v>52.26</v>
      </c>
      <c r="E87" s="132">
        <v>64.22</v>
      </c>
      <c r="F87" s="132">
        <v>89.22</v>
      </c>
      <c r="G87" s="132">
        <v>109.81</v>
      </c>
      <c r="H87" s="132">
        <v>130.75</v>
      </c>
      <c r="I87" s="132">
        <v>152.37</v>
      </c>
      <c r="J87" s="133">
        <v>152.37</v>
      </c>
    </row>
    <row r="88" spans="1:10">
      <c r="A88" s="135" t="s">
        <v>301</v>
      </c>
      <c r="B88" s="132">
        <v>43.29</v>
      </c>
      <c r="C88" s="132">
        <v>47.02</v>
      </c>
      <c r="D88" s="132">
        <v>52.62</v>
      </c>
      <c r="E88" s="132">
        <v>64.66</v>
      </c>
      <c r="F88" s="132">
        <v>89.98</v>
      </c>
      <c r="G88" s="132">
        <v>110.8</v>
      </c>
      <c r="H88" s="132">
        <v>131.98</v>
      </c>
      <c r="I88" s="132">
        <v>153.89</v>
      </c>
      <c r="J88" s="133">
        <v>153.89</v>
      </c>
    </row>
    <row r="89" ht="15.35" spans="1:10">
      <c r="A89" s="137" t="s">
        <v>302</v>
      </c>
      <c r="B89" s="132">
        <v>43.69</v>
      </c>
      <c r="C89" s="132">
        <v>47.4</v>
      </c>
      <c r="D89" s="132">
        <v>52.97</v>
      </c>
      <c r="E89" s="132">
        <v>65.09</v>
      </c>
      <c r="F89" s="132">
        <v>90.72</v>
      </c>
      <c r="G89" s="132">
        <v>111.76</v>
      </c>
      <c r="H89" s="132">
        <v>133.18</v>
      </c>
      <c r="I89" s="132">
        <v>155.37</v>
      </c>
      <c r="J89" s="133">
        <v>155.37</v>
      </c>
    </row>
    <row r="90" spans="1:10">
      <c r="A90" s="135" t="s">
        <v>303</v>
      </c>
      <c r="B90" s="132">
        <v>44.08</v>
      </c>
      <c r="C90" s="132">
        <v>47.77</v>
      </c>
      <c r="D90" s="132">
        <v>53.3</v>
      </c>
      <c r="E90" s="132">
        <v>65.5</v>
      </c>
      <c r="F90" s="132">
        <v>91.44</v>
      </c>
      <c r="G90" s="132">
        <v>112.7</v>
      </c>
      <c r="H90" s="132">
        <v>134.35</v>
      </c>
      <c r="I90" s="132">
        <v>156.83</v>
      </c>
      <c r="J90" s="133">
        <v>156.83</v>
      </c>
    </row>
    <row r="91" ht="15.35" spans="1:10">
      <c r="A91" s="137" t="s">
        <v>304</v>
      </c>
      <c r="B91" s="132">
        <v>44.46</v>
      </c>
      <c r="C91" s="132">
        <v>48.13</v>
      </c>
      <c r="D91" s="132">
        <v>53.62</v>
      </c>
      <c r="E91" s="132">
        <v>65.89</v>
      </c>
      <c r="F91" s="132">
        <v>92.15</v>
      </c>
      <c r="G91" s="132">
        <v>113.61</v>
      </c>
      <c r="H91" s="132">
        <v>135.5</v>
      </c>
      <c r="I91" s="132">
        <v>158.26</v>
      </c>
      <c r="J91" s="133">
        <v>158.26</v>
      </c>
    </row>
    <row r="92" ht="16.05" spans="1:10">
      <c r="A92" s="151" t="s">
        <v>305</v>
      </c>
      <c r="B92" s="152">
        <v>88.62</v>
      </c>
      <c r="C92" s="152">
        <v>98.24</v>
      </c>
      <c r="D92" s="152">
        <v>112.66</v>
      </c>
      <c r="E92" s="152">
        <v>136.75</v>
      </c>
      <c r="F92" s="152">
        <v>160.52</v>
      </c>
      <c r="G92" s="152">
        <v>184.55</v>
      </c>
      <c r="H92" s="152">
        <v>208.53</v>
      </c>
      <c r="I92" s="152">
        <v>232.63</v>
      </c>
      <c r="J92" s="153">
        <v>232.63</v>
      </c>
    </row>
  </sheetData>
  <sheetProtection formatCells="0" formatColumns="0" formatRows="0" insertRows="0" insertColumns="0" insertHyperlinks="0" deleteColumns="0" deleteRows="0" sort="0" autoFilter="0" pivotTables="0"/>
  <mergeCells count="3">
    <mergeCell ref="A2:J2"/>
    <mergeCell ref="A20:J20"/>
    <mergeCell ref="M9:M10"/>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19">
    <tabColor theme="9" tint="0.799981688894314"/>
  </sheetPr>
  <dimension ref="A1:AY57"/>
  <sheetViews>
    <sheetView zoomScale="115" zoomScaleNormal="115" workbookViewId="0">
      <selection activeCell="C11" sqref="C11"/>
    </sheetView>
  </sheetViews>
  <sheetFormatPr defaultColWidth="9" defaultRowHeight="13.5"/>
  <cols>
    <col min="1" max="1" width="9" style="110"/>
    <col min="2" max="2" width="29.5350877192982" style="110" customWidth="1"/>
    <col min="3" max="4" width="12.5350877192982" style="110" customWidth="1"/>
    <col min="5" max="5" width="67.3947368421053" style="110" customWidth="1"/>
    <col min="6" max="16384" width="9" style="110"/>
  </cols>
  <sheetData>
    <row r="1" ht="52.05" customHeight="1" spans="1:5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c r="AN1" s="111"/>
      <c r="AO1" s="111"/>
      <c r="AP1" s="111"/>
      <c r="AQ1" s="111"/>
      <c r="AR1" s="111"/>
      <c r="AS1" s="111"/>
      <c r="AT1" s="111"/>
      <c r="AU1" s="111"/>
      <c r="AV1" s="111"/>
      <c r="AW1" s="111"/>
      <c r="AX1" s="111"/>
      <c r="AY1" s="111"/>
    </row>
    <row r="2" ht="36" customHeight="1" spans="1:51">
      <c r="A2" s="112" t="s">
        <v>306</v>
      </c>
      <c r="B2" s="112" t="s">
        <v>307</v>
      </c>
      <c r="C2" s="112" t="s">
        <v>308</v>
      </c>
      <c r="D2" s="112" t="s">
        <v>309</v>
      </c>
      <c r="E2" s="112" t="s">
        <v>45</v>
      </c>
      <c r="F2" s="111"/>
      <c r="G2" s="111"/>
      <c r="H2" s="111"/>
      <c r="I2" s="111"/>
      <c r="J2" s="111"/>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c r="AY2" s="111"/>
    </row>
    <row r="3" ht="43.05" customHeight="1" spans="1:51">
      <c r="A3" s="113">
        <v>1</v>
      </c>
      <c r="B3" s="113" t="s">
        <v>310</v>
      </c>
      <c r="C3" s="113" t="s">
        <v>311</v>
      </c>
      <c r="D3" s="113" t="s">
        <v>312</v>
      </c>
      <c r="E3" s="114" t="s">
        <v>313</v>
      </c>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row>
    <row r="4" ht="31.05" customHeight="1" spans="1:51">
      <c r="A4" s="113"/>
      <c r="B4" s="113" t="s">
        <v>314</v>
      </c>
      <c r="C4" s="113" t="s">
        <v>315</v>
      </c>
      <c r="D4" s="113" t="s">
        <v>316</v>
      </c>
      <c r="E4" s="114" t="s">
        <v>317</v>
      </c>
      <c r="F4" s="111"/>
      <c r="G4" s="111"/>
      <c r="H4" s="111"/>
      <c r="I4" s="111"/>
      <c r="J4" s="111"/>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c r="AY4" s="111"/>
    </row>
    <row r="5" ht="25.05" customHeight="1" spans="1:51">
      <c r="A5" s="113">
        <v>2</v>
      </c>
      <c r="B5" s="113" t="s">
        <v>318</v>
      </c>
      <c r="C5" s="113" t="s">
        <v>315</v>
      </c>
      <c r="D5" s="113" t="s">
        <v>319</v>
      </c>
      <c r="E5" s="115" t="s">
        <v>320</v>
      </c>
      <c r="F5" s="111"/>
      <c r="G5" s="111"/>
      <c r="H5" s="111"/>
      <c r="I5" s="111"/>
      <c r="J5" s="111"/>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c r="AY5" s="111"/>
    </row>
    <row r="6" ht="25.05" customHeight="1" spans="1:51">
      <c r="A6" s="113">
        <v>3</v>
      </c>
      <c r="B6" s="113" t="s">
        <v>321</v>
      </c>
      <c r="C6" s="113" t="s">
        <v>322</v>
      </c>
      <c r="D6" s="113" t="s">
        <v>319</v>
      </c>
      <c r="E6" s="115" t="s">
        <v>320</v>
      </c>
      <c r="F6" s="111"/>
      <c r="G6" s="111"/>
      <c r="H6" s="111"/>
      <c r="I6" s="111"/>
      <c r="J6" s="111"/>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c r="AY6" s="111"/>
    </row>
    <row r="7" ht="25.05" customHeight="1" spans="1:51">
      <c r="A7" s="113">
        <v>4</v>
      </c>
      <c r="B7" s="113" t="s">
        <v>323</v>
      </c>
      <c r="C7" s="113" t="s">
        <v>324</v>
      </c>
      <c r="D7" s="113" t="s">
        <v>325</v>
      </c>
      <c r="E7" s="114" t="s">
        <v>326</v>
      </c>
      <c r="F7" s="111"/>
      <c r="G7" s="111"/>
      <c r="H7" s="111"/>
      <c r="I7" s="111"/>
      <c r="J7" s="111"/>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c r="AY7" s="111"/>
    </row>
    <row r="8" ht="25.05" customHeight="1" spans="1:51">
      <c r="A8" s="116">
        <v>5</v>
      </c>
      <c r="B8" s="116" t="s">
        <v>327</v>
      </c>
      <c r="C8" s="113" t="s">
        <v>315</v>
      </c>
      <c r="D8" s="113" t="s">
        <v>328</v>
      </c>
      <c r="E8" s="117" t="s">
        <v>329</v>
      </c>
      <c r="F8" s="111"/>
      <c r="G8" s="111"/>
      <c r="H8" s="111"/>
      <c r="I8" s="111"/>
      <c r="J8" s="111"/>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c r="AY8" s="111"/>
    </row>
    <row r="9" ht="25.05" customHeight="1" spans="1:51">
      <c r="A9" s="118"/>
      <c r="B9" s="118"/>
      <c r="C9" s="113" t="s">
        <v>330</v>
      </c>
      <c r="D9" s="113" t="s">
        <v>328</v>
      </c>
      <c r="E9" s="117" t="s">
        <v>331</v>
      </c>
      <c r="F9" s="111"/>
      <c r="G9" s="111"/>
      <c r="H9" s="111"/>
      <c r="I9" s="111"/>
      <c r="J9" s="111"/>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row>
    <row r="10" ht="25.05" customHeight="1" spans="1:51">
      <c r="A10" s="118"/>
      <c r="B10" s="118"/>
      <c r="C10" s="113" t="s">
        <v>332</v>
      </c>
      <c r="D10" s="113" t="s">
        <v>328</v>
      </c>
      <c r="E10" s="117" t="s">
        <v>333</v>
      </c>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row>
    <row r="11" ht="25.05" customHeight="1" spans="1:51">
      <c r="A11" s="113">
        <v>6</v>
      </c>
      <c r="B11" s="113" t="s">
        <v>334</v>
      </c>
      <c r="C11" s="113" t="s">
        <v>324</v>
      </c>
      <c r="D11" s="113" t="s">
        <v>335</v>
      </c>
      <c r="E11" s="117" t="s">
        <v>336</v>
      </c>
      <c r="F11" s="111"/>
      <c r="G11" s="111"/>
      <c r="H11" s="111"/>
      <c r="I11" s="111"/>
      <c r="J11" s="111"/>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c r="AY11" s="111"/>
    </row>
    <row r="12" ht="25.05" customHeight="1" spans="1:51">
      <c r="A12" s="113">
        <v>7</v>
      </c>
      <c r="B12" s="113" t="s">
        <v>337</v>
      </c>
      <c r="C12" s="113" t="s">
        <v>315</v>
      </c>
      <c r="D12" s="113" t="s">
        <v>319</v>
      </c>
      <c r="E12" s="117" t="s">
        <v>338</v>
      </c>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c r="AY12" s="111"/>
    </row>
    <row r="13" ht="25.05" customHeight="1" spans="1:51">
      <c r="A13" s="116">
        <v>8</v>
      </c>
      <c r="B13" s="119" t="s">
        <v>339</v>
      </c>
      <c r="C13" s="116" t="s">
        <v>340</v>
      </c>
      <c r="D13" s="116" t="s">
        <v>316</v>
      </c>
      <c r="E13" s="120" t="s">
        <v>341</v>
      </c>
      <c r="F13" s="111"/>
      <c r="G13" s="111"/>
      <c r="H13" s="111"/>
      <c r="I13" s="111"/>
      <c r="J13" s="111"/>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111"/>
      <c r="AU13" s="111"/>
      <c r="AV13" s="111"/>
      <c r="AW13" s="111"/>
      <c r="AX13" s="111"/>
      <c r="AY13" s="111"/>
    </row>
    <row r="14" ht="25.05" customHeight="1" spans="1:51">
      <c r="A14" s="118"/>
      <c r="B14" s="121"/>
      <c r="C14" s="116" t="s">
        <v>322</v>
      </c>
      <c r="D14" s="116" t="s">
        <v>342</v>
      </c>
      <c r="E14" s="120" t="s">
        <v>343</v>
      </c>
      <c r="F14" s="111"/>
      <c r="G14" s="111"/>
      <c r="H14" s="111"/>
      <c r="I14" s="111"/>
      <c r="J14" s="111"/>
      <c r="K14" s="111"/>
      <c r="L14" s="111"/>
      <c r="M14" s="111"/>
      <c r="N14" s="111"/>
      <c r="O14" s="111"/>
      <c r="P14" s="111"/>
      <c r="Q14" s="111"/>
      <c r="R14" s="111"/>
      <c r="S14" s="111"/>
      <c r="T14" s="111"/>
      <c r="U14" s="111"/>
      <c r="V14" s="111"/>
      <c r="W14" s="111"/>
      <c r="X14" s="111"/>
      <c r="Y14" s="111"/>
      <c r="Z14" s="111"/>
      <c r="AA14" s="111"/>
      <c r="AB14" s="111"/>
      <c r="AC14" s="111"/>
      <c r="AD14" s="111"/>
      <c r="AE14" s="111"/>
      <c r="AF14" s="111"/>
      <c r="AG14" s="111"/>
      <c r="AH14" s="111"/>
      <c r="AI14" s="111"/>
      <c r="AJ14" s="111"/>
      <c r="AK14" s="111"/>
      <c r="AL14" s="111"/>
      <c r="AM14" s="111"/>
      <c r="AN14" s="111"/>
      <c r="AO14" s="111"/>
      <c r="AP14" s="111"/>
      <c r="AQ14" s="111"/>
      <c r="AR14" s="111"/>
      <c r="AS14" s="111"/>
      <c r="AT14" s="111"/>
      <c r="AU14" s="111"/>
      <c r="AV14" s="111"/>
      <c r="AW14" s="111"/>
      <c r="AX14" s="111"/>
      <c r="AY14" s="111"/>
    </row>
    <row r="15" ht="25.05" customHeight="1" spans="1:51">
      <c r="A15" s="122"/>
      <c r="B15" s="121"/>
      <c r="C15" s="116" t="s">
        <v>344</v>
      </c>
      <c r="D15" s="116" t="s">
        <v>342</v>
      </c>
      <c r="E15" s="120" t="s">
        <v>345</v>
      </c>
      <c r="F15" s="111"/>
      <c r="G15" s="111"/>
      <c r="H15" s="111"/>
      <c r="I15" s="111"/>
      <c r="J15" s="111"/>
      <c r="K15" s="111"/>
      <c r="L15" s="111"/>
      <c r="M15" s="111"/>
      <c r="N15" s="111"/>
      <c r="O15" s="111"/>
      <c r="P15" s="111"/>
      <c r="Q15" s="111"/>
      <c r="R15" s="111"/>
      <c r="S15" s="111"/>
      <c r="T15" s="111"/>
      <c r="U15" s="111"/>
      <c r="V15" s="111"/>
      <c r="W15" s="111"/>
      <c r="X15" s="111"/>
      <c r="Y15" s="111"/>
      <c r="Z15" s="111"/>
      <c r="AA15" s="111"/>
      <c r="AB15" s="111"/>
      <c r="AC15" s="111"/>
      <c r="AD15" s="111"/>
      <c r="AE15" s="111"/>
      <c r="AF15" s="111"/>
      <c r="AG15" s="111"/>
      <c r="AH15" s="111"/>
      <c r="AI15" s="111"/>
      <c r="AJ15" s="111"/>
      <c r="AK15" s="111"/>
      <c r="AL15" s="111"/>
      <c r="AM15" s="111"/>
      <c r="AN15" s="111"/>
      <c r="AO15" s="111"/>
      <c r="AP15" s="111"/>
      <c r="AQ15" s="111"/>
      <c r="AR15" s="111"/>
      <c r="AS15" s="111"/>
      <c r="AT15" s="111"/>
      <c r="AU15" s="111"/>
      <c r="AV15" s="111"/>
      <c r="AW15" s="111"/>
      <c r="AX15" s="111"/>
      <c r="AY15" s="111"/>
    </row>
    <row r="16" ht="25.05" customHeight="1" spans="1:51">
      <c r="A16" s="113">
        <v>9</v>
      </c>
      <c r="B16" s="116" t="s">
        <v>346</v>
      </c>
      <c r="C16" s="116"/>
      <c r="D16" s="116"/>
      <c r="E16" s="120" t="s">
        <v>347</v>
      </c>
      <c r="F16" s="111"/>
      <c r="G16" s="111"/>
      <c r="H16" s="111"/>
      <c r="I16" s="111"/>
      <c r="J16" s="111"/>
      <c r="K16" s="111"/>
      <c r="L16" s="111"/>
      <c r="M16" s="111"/>
      <c r="N16" s="111"/>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1"/>
      <c r="AX16" s="111"/>
      <c r="AY16" s="111"/>
    </row>
    <row r="17" ht="25.05" customHeight="1" spans="1:51">
      <c r="A17" s="113">
        <v>10</v>
      </c>
      <c r="B17" s="113" t="s">
        <v>348</v>
      </c>
      <c r="C17" s="113" t="s">
        <v>332</v>
      </c>
      <c r="D17" s="113" t="s">
        <v>316</v>
      </c>
      <c r="E17" s="117" t="s">
        <v>349</v>
      </c>
      <c r="F17" s="111"/>
      <c r="G17" s="111"/>
      <c r="H17" s="111"/>
      <c r="I17" s="111"/>
      <c r="J17" s="111"/>
      <c r="K17" s="111"/>
      <c r="L17" s="111"/>
      <c r="M17" s="111"/>
      <c r="N17" s="111"/>
      <c r="O17" s="111"/>
      <c r="P17" s="111"/>
      <c r="Q17" s="111"/>
      <c r="R17" s="111"/>
      <c r="S17" s="111"/>
      <c r="T17" s="111"/>
      <c r="U17" s="111"/>
      <c r="V17" s="111"/>
      <c r="W17" s="111"/>
      <c r="X17" s="111"/>
      <c r="Y17" s="111"/>
      <c r="Z17" s="111"/>
      <c r="AA17" s="111"/>
      <c r="AB17" s="111"/>
      <c r="AC17" s="111"/>
      <c r="AD17" s="111"/>
      <c r="AE17" s="111"/>
      <c r="AF17" s="111"/>
      <c r="AG17" s="111"/>
      <c r="AH17" s="111"/>
      <c r="AI17" s="111"/>
      <c r="AJ17" s="111"/>
      <c r="AK17" s="111"/>
      <c r="AL17" s="111"/>
      <c r="AM17" s="111"/>
      <c r="AN17" s="111"/>
      <c r="AO17" s="111"/>
      <c r="AP17" s="111"/>
      <c r="AQ17" s="111"/>
      <c r="AR17" s="111"/>
      <c r="AS17" s="111"/>
      <c r="AT17" s="111"/>
      <c r="AU17" s="111"/>
      <c r="AV17" s="111"/>
      <c r="AW17" s="111"/>
      <c r="AX17" s="111"/>
      <c r="AY17" s="111"/>
    </row>
    <row r="18" ht="25.05" customHeight="1" spans="1:51">
      <c r="A18" s="116">
        <v>11</v>
      </c>
      <c r="B18" s="119" t="s">
        <v>350</v>
      </c>
      <c r="C18" s="116" t="s">
        <v>351</v>
      </c>
      <c r="D18" s="116" t="s">
        <v>352</v>
      </c>
      <c r="E18" s="120" t="s">
        <v>353</v>
      </c>
      <c r="F18" s="111"/>
      <c r="G18" s="111"/>
      <c r="H18" s="111"/>
      <c r="I18" s="111"/>
      <c r="J18" s="111"/>
      <c r="K18" s="111"/>
      <c r="L18" s="111"/>
      <c r="M18" s="111"/>
      <c r="N18" s="111"/>
      <c r="O18" s="111"/>
      <c r="P18" s="111"/>
      <c r="Q18" s="111"/>
      <c r="R18" s="111"/>
      <c r="S18" s="111"/>
      <c r="T18" s="111"/>
      <c r="U18" s="111"/>
      <c r="V18" s="111"/>
      <c r="W18" s="111"/>
      <c r="X18" s="111"/>
      <c r="Y18" s="111"/>
      <c r="Z18" s="111"/>
      <c r="AA18" s="111"/>
      <c r="AB18" s="111"/>
      <c r="AC18" s="111"/>
      <c r="AD18" s="111"/>
      <c r="AE18" s="111"/>
      <c r="AF18" s="111"/>
      <c r="AG18" s="111"/>
      <c r="AH18" s="111"/>
      <c r="AI18" s="111"/>
      <c r="AJ18" s="111"/>
      <c r="AK18" s="111"/>
      <c r="AL18" s="111"/>
      <c r="AM18" s="111"/>
      <c r="AN18" s="111"/>
      <c r="AO18" s="111"/>
      <c r="AP18" s="111"/>
      <c r="AQ18" s="111"/>
      <c r="AR18" s="111"/>
      <c r="AS18" s="111"/>
      <c r="AT18" s="111"/>
      <c r="AU18" s="111"/>
      <c r="AV18" s="111"/>
      <c r="AW18" s="111"/>
      <c r="AX18" s="111"/>
      <c r="AY18" s="111"/>
    </row>
    <row r="19" ht="25.05" customHeight="1" spans="1:51">
      <c r="A19" s="118"/>
      <c r="B19" s="118"/>
      <c r="C19" s="116" t="s">
        <v>354</v>
      </c>
      <c r="D19" s="116" t="s">
        <v>352</v>
      </c>
      <c r="E19" s="120" t="s">
        <v>355</v>
      </c>
      <c r="F19" s="111"/>
      <c r="G19" s="111"/>
      <c r="H19" s="111"/>
      <c r="I19" s="111"/>
      <c r="J19" s="111"/>
      <c r="K19" s="111"/>
      <c r="L19" s="111"/>
      <c r="M19" s="111"/>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row>
    <row r="20" ht="25.05" customHeight="1" spans="1:51">
      <c r="A20" s="122"/>
      <c r="B20" s="118"/>
      <c r="C20" s="116" t="s">
        <v>356</v>
      </c>
      <c r="D20" s="116" t="s">
        <v>352</v>
      </c>
      <c r="E20" s="120" t="s">
        <v>357</v>
      </c>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11"/>
      <c r="AD20" s="111"/>
      <c r="AE20" s="111"/>
      <c r="AF20" s="111"/>
      <c r="AG20" s="111"/>
      <c r="AH20" s="111"/>
      <c r="AI20" s="111"/>
      <c r="AJ20" s="111"/>
      <c r="AK20" s="111"/>
      <c r="AL20" s="111"/>
      <c r="AM20" s="111"/>
      <c r="AN20" s="111"/>
      <c r="AO20" s="111"/>
      <c r="AP20" s="111"/>
      <c r="AQ20" s="111"/>
      <c r="AR20" s="111"/>
      <c r="AS20" s="111"/>
      <c r="AT20" s="111"/>
      <c r="AU20" s="111"/>
      <c r="AV20" s="111"/>
      <c r="AW20" s="111"/>
      <c r="AX20" s="111"/>
      <c r="AY20" s="111"/>
    </row>
    <row r="21" ht="60" customHeight="1" spans="1:51">
      <c r="A21" s="123" t="s">
        <v>45</v>
      </c>
      <c r="B21" s="124" t="s">
        <v>358</v>
      </c>
      <c r="C21" s="124"/>
      <c r="D21" s="124"/>
      <c r="E21" s="124"/>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11"/>
      <c r="AD21" s="111"/>
      <c r="AE21" s="111"/>
      <c r="AF21" s="111"/>
      <c r="AG21" s="111"/>
      <c r="AH21" s="111"/>
      <c r="AI21" s="111"/>
      <c r="AJ21" s="111"/>
      <c r="AK21" s="111"/>
      <c r="AL21" s="111"/>
      <c r="AM21" s="111"/>
      <c r="AN21" s="111"/>
      <c r="AO21" s="111"/>
      <c r="AP21" s="111"/>
      <c r="AQ21" s="111"/>
      <c r="AR21" s="111"/>
      <c r="AS21" s="111"/>
      <c r="AT21" s="111"/>
      <c r="AU21" s="111"/>
      <c r="AV21" s="111"/>
      <c r="AW21" s="111"/>
      <c r="AX21" s="111"/>
      <c r="AY21" s="111"/>
    </row>
    <row r="22" spans="1:51">
      <c r="F22" s="111"/>
      <c r="G22" s="111"/>
      <c r="H22" s="111"/>
      <c r="I22" s="111"/>
      <c r="J22" s="111"/>
      <c r="K22" s="111"/>
      <c r="L22" s="111"/>
      <c r="M22" s="111"/>
      <c r="N22" s="111"/>
      <c r="O22" s="111"/>
      <c r="P22" s="111"/>
      <c r="Q22" s="111"/>
      <c r="R22" s="111"/>
      <c r="S22" s="111"/>
      <c r="T22" s="111"/>
      <c r="U22" s="111"/>
      <c r="V22" s="111"/>
      <c r="W22" s="111"/>
      <c r="X22" s="111"/>
      <c r="Y22" s="111"/>
      <c r="Z22" s="111"/>
      <c r="AA22" s="111"/>
      <c r="AB22" s="111"/>
      <c r="AC22" s="111"/>
      <c r="AD22" s="111"/>
      <c r="AE22" s="111"/>
      <c r="AF22" s="111"/>
      <c r="AG22" s="111"/>
      <c r="AH22" s="111"/>
      <c r="AI22" s="111"/>
      <c r="AJ22" s="111"/>
      <c r="AK22" s="111"/>
      <c r="AL22" s="111"/>
      <c r="AM22" s="111"/>
      <c r="AN22" s="111"/>
      <c r="AO22" s="111"/>
      <c r="AP22" s="111"/>
      <c r="AQ22" s="111"/>
      <c r="AR22" s="111"/>
      <c r="AS22" s="111"/>
      <c r="AT22" s="111"/>
      <c r="AU22" s="111"/>
      <c r="AV22" s="111"/>
      <c r="AW22" s="111"/>
      <c r="AX22" s="111"/>
      <c r="AY22" s="111"/>
    </row>
    <row r="23" spans="1:51">
      <c r="F23" s="111"/>
      <c r="G23" s="111"/>
      <c r="H23" s="111"/>
      <c r="I23" s="111"/>
      <c r="J23" s="111"/>
      <c r="K23" s="111"/>
      <c r="L23" s="111"/>
      <c r="M23" s="111"/>
      <c r="N23" s="111"/>
      <c r="O23" s="111"/>
      <c r="P23" s="111"/>
      <c r="Q23" s="111"/>
      <c r="R23" s="111"/>
      <c r="S23" s="111"/>
      <c r="T23" s="111"/>
      <c r="U23" s="111"/>
      <c r="V23" s="111"/>
      <c r="W23" s="111"/>
      <c r="X23" s="111"/>
      <c r="Y23" s="111"/>
      <c r="Z23" s="111"/>
      <c r="AA23" s="111"/>
      <c r="AB23" s="111"/>
      <c r="AC23" s="111"/>
      <c r="AD23" s="111"/>
      <c r="AE23" s="111"/>
      <c r="AF23" s="111"/>
      <c r="AG23" s="111"/>
      <c r="AH23" s="111"/>
      <c r="AI23" s="111"/>
      <c r="AJ23" s="111"/>
      <c r="AK23" s="111"/>
      <c r="AL23" s="111"/>
      <c r="AM23" s="111"/>
      <c r="AN23" s="111"/>
      <c r="AO23" s="111"/>
      <c r="AP23" s="111"/>
      <c r="AQ23" s="111"/>
      <c r="AR23" s="111"/>
      <c r="AS23" s="111"/>
      <c r="AT23" s="111"/>
      <c r="AU23" s="111"/>
      <c r="AV23" s="111"/>
      <c r="AW23" s="111"/>
      <c r="AX23" s="111"/>
      <c r="AY23" s="111"/>
    </row>
    <row r="24" spans="1:5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11"/>
      <c r="AD24" s="111"/>
      <c r="AE24" s="111"/>
      <c r="AF24" s="111"/>
      <c r="AG24" s="111"/>
      <c r="AH24" s="111"/>
      <c r="AI24" s="111"/>
      <c r="AJ24" s="111"/>
      <c r="AK24" s="111"/>
      <c r="AL24" s="111"/>
      <c r="AM24" s="111"/>
      <c r="AN24" s="111"/>
      <c r="AO24" s="111"/>
      <c r="AP24" s="111"/>
      <c r="AQ24" s="111"/>
      <c r="AR24" s="111"/>
      <c r="AS24" s="111"/>
      <c r="AT24" s="111"/>
      <c r="AU24" s="111"/>
      <c r="AV24" s="111"/>
      <c r="AW24" s="111"/>
      <c r="AX24" s="111"/>
      <c r="AY24" s="111"/>
    </row>
    <row r="25" spans="1:51">
      <c r="F25" s="111"/>
      <c r="G25" s="111"/>
      <c r="H25" s="111"/>
      <c r="I25" s="111"/>
      <c r="J25" s="111"/>
      <c r="K25" s="111"/>
      <c r="L25" s="111"/>
      <c r="M25" s="111"/>
      <c r="N25" s="111"/>
      <c r="O25" s="111"/>
      <c r="P25" s="111"/>
      <c r="Q25" s="111"/>
      <c r="R25" s="111"/>
      <c r="S25" s="111"/>
      <c r="T25" s="111"/>
      <c r="U25" s="111"/>
      <c r="V25" s="111"/>
      <c r="W25" s="111"/>
      <c r="X25" s="111"/>
      <c r="Y25" s="111"/>
      <c r="Z25" s="111"/>
      <c r="AA25" s="111"/>
      <c r="AB25" s="111"/>
      <c r="AC25" s="111"/>
      <c r="AD25" s="111"/>
      <c r="AE25" s="111"/>
      <c r="AF25" s="111"/>
      <c r="AG25" s="111"/>
      <c r="AH25" s="111"/>
      <c r="AI25" s="111"/>
      <c r="AJ25" s="111"/>
      <c r="AK25" s="111"/>
      <c r="AL25" s="111"/>
      <c r="AM25" s="111"/>
      <c r="AN25" s="111"/>
      <c r="AO25" s="111"/>
      <c r="AP25" s="111"/>
      <c r="AQ25" s="111"/>
      <c r="AR25" s="111"/>
      <c r="AS25" s="111"/>
      <c r="AT25" s="111"/>
      <c r="AU25" s="111"/>
      <c r="AV25" s="111"/>
      <c r="AW25" s="111"/>
      <c r="AX25" s="111"/>
      <c r="AY25" s="111"/>
    </row>
    <row r="26" spans="1:51">
      <c r="F26" s="111"/>
      <c r="G26" s="111"/>
      <c r="H26" s="111"/>
      <c r="I26" s="111"/>
      <c r="J26" s="111"/>
      <c r="K26" s="111"/>
      <c r="L26" s="111"/>
      <c r="M26" s="111"/>
      <c r="N26" s="111"/>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row>
    <row r="27" spans="1:51">
      <c r="F27" s="111"/>
      <c r="G27" s="111"/>
      <c r="H27" s="111"/>
      <c r="I27" s="111"/>
      <c r="J27" s="111"/>
      <c r="K27" s="111"/>
      <c r="L27" s="111"/>
      <c r="M27" s="111"/>
      <c r="N27" s="111"/>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row>
    <row r="28" spans="1:51">
      <c r="F28" s="111"/>
      <c r="G28" s="111"/>
      <c r="H28" s="111"/>
      <c r="I28" s="111"/>
      <c r="J28" s="111"/>
      <c r="K28" s="111"/>
      <c r="L28" s="111"/>
      <c r="M28" s="111"/>
      <c r="N28" s="111"/>
      <c r="O28" s="111"/>
      <c r="P28" s="111"/>
      <c r="Q28" s="111"/>
      <c r="R28" s="111"/>
      <c r="S28" s="111"/>
      <c r="T28" s="111"/>
      <c r="U28" s="111"/>
      <c r="V28" s="111"/>
      <c r="W28" s="111"/>
      <c r="X28" s="111"/>
      <c r="Y28" s="111"/>
      <c r="Z28" s="111"/>
      <c r="AA28" s="111"/>
      <c r="AB28" s="111"/>
      <c r="AC28" s="111"/>
      <c r="AD28" s="111"/>
      <c r="AE28" s="111"/>
      <c r="AF28" s="111"/>
      <c r="AG28" s="111"/>
      <c r="AH28" s="111"/>
      <c r="AI28" s="111"/>
      <c r="AJ28" s="111"/>
      <c r="AK28" s="111"/>
      <c r="AL28" s="111"/>
      <c r="AM28" s="111"/>
      <c r="AN28" s="111"/>
      <c r="AO28" s="111"/>
      <c r="AP28" s="111"/>
      <c r="AQ28" s="111"/>
      <c r="AR28" s="111"/>
      <c r="AS28" s="111"/>
      <c r="AT28" s="111"/>
      <c r="AU28" s="111"/>
      <c r="AV28" s="111"/>
      <c r="AW28" s="111"/>
      <c r="AX28" s="111"/>
      <c r="AY28" s="111"/>
    </row>
    <row r="29" spans="1:51">
      <c r="F29" s="111"/>
      <c r="G29" s="111"/>
      <c r="H29" s="111"/>
      <c r="I29" s="111"/>
      <c r="J29" s="111"/>
      <c r="K29" s="111"/>
      <c r="L29" s="111"/>
      <c r="M29" s="111"/>
      <c r="N29" s="111"/>
      <c r="O29" s="111"/>
      <c r="P29" s="111"/>
      <c r="Q29" s="111"/>
      <c r="R29" s="111"/>
      <c r="S29" s="111"/>
      <c r="T29" s="111"/>
      <c r="U29" s="111"/>
      <c r="V29" s="111"/>
      <c r="W29" s="111"/>
      <c r="X29" s="111"/>
      <c r="Y29" s="111"/>
      <c r="Z29" s="111"/>
      <c r="AA29" s="111"/>
      <c r="AB29" s="111"/>
      <c r="AC29" s="111"/>
      <c r="AD29" s="111"/>
      <c r="AE29" s="111"/>
      <c r="AF29" s="111"/>
      <c r="AG29" s="111"/>
      <c r="AH29" s="111"/>
      <c r="AI29" s="111"/>
      <c r="AJ29" s="111"/>
      <c r="AK29" s="111"/>
      <c r="AL29" s="111"/>
      <c r="AM29" s="111"/>
      <c r="AN29" s="111"/>
      <c r="AO29" s="111"/>
      <c r="AP29" s="111"/>
      <c r="AQ29" s="111"/>
      <c r="AR29" s="111"/>
      <c r="AS29" s="111"/>
      <c r="AT29" s="111"/>
      <c r="AU29" s="111"/>
      <c r="AV29" s="111"/>
      <c r="AW29" s="111"/>
      <c r="AX29" s="111"/>
      <c r="AY29" s="111"/>
    </row>
    <row r="30" spans="1:51">
      <c r="F30" s="111"/>
      <c r="G30" s="111"/>
      <c r="H30" s="111"/>
      <c r="I30" s="111"/>
      <c r="J30" s="111"/>
      <c r="K30" s="111"/>
      <c r="L30" s="111"/>
      <c r="M30" s="111"/>
      <c r="N30" s="111"/>
      <c r="O30" s="111"/>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1"/>
    </row>
    <row r="31" spans="1:51">
      <c r="F31" s="111"/>
      <c r="G31" s="111"/>
      <c r="H31" s="111"/>
      <c r="I31" s="111"/>
      <c r="J31" s="111"/>
      <c r="K31" s="111"/>
      <c r="L31" s="111"/>
      <c r="M31" s="111"/>
      <c r="N31" s="111"/>
      <c r="O31" s="111"/>
      <c r="P31" s="111"/>
      <c r="Q31" s="111"/>
      <c r="R31" s="111"/>
      <c r="S31" s="111"/>
      <c r="T31" s="111"/>
      <c r="U31" s="111"/>
      <c r="V31" s="111"/>
      <c r="W31" s="111"/>
      <c r="X31" s="111"/>
      <c r="Y31" s="111"/>
      <c r="Z31" s="111"/>
      <c r="AA31" s="111"/>
      <c r="AB31" s="111"/>
      <c r="AC31" s="111"/>
      <c r="AD31" s="111"/>
      <c r="AE31" s="111"/>
      <c r="AF31" s="111"/>
      <c r="AG31" s="111"/>
      <c r="AH31" s="111"/>
      <c r="AI31" s="111"/>
      <c r="AJ31" s="111"/>
      <c r="AK31" s="111"/>
      <c r="AL31" s="111"/>
      <c r="AM31" s="111"/>
      <c r="AN31" s="111"/>
      <c r="AO31" s="111"/>
      <c r="AP31" s="111"/>
      <c r="AQ31" s="111"/>
      <c r="AR31" s="111"/>
      <c r="AS31" s="111"/>
      <c r="AT31" s="111"/>
      <c r="AU31" s="111"/>
      <c r="AV31" s="111"/>
      <c r="AW31" s="111"/>
      <c r="AX31" s="111"/>
      <c r="AY31" s="111"/>
    </row>
    <row r="32" spans="1:51">
      <c r="F32" s="111"/>
      <c r="G32" s="111"/>
      <c r="H32" s="111"/>
      <c r="I32" s="111"/>
      <c r="J32" s="111"/>
      <c r="K32" s="111"/>
      <c r="L32" s="111"/>
      <c r="M32" s="111"/>
      <c r="N32" s="111"/>
      <c r="O32" s="111"/>
      <c r="P32" s="111"/>
      <c r="Q32" s="111"/>
      <c r="R32" s="111"/>
      <c r="S32" s="111"/>
      <c r="T32" s="111"/>
      <c r="U32" s="111"/>
      <c r="V32" s="111"/>
      <c r="W32" s="111"/>
      <c r="X32" s="111"/>
      <c r="Y32" s="111"/>
      <c r="Z32" s="111"/>
      <c r="AA32" s="111"/>
      <c r="AB32" s="111"/>
      <c r="AC32" s="111"/>
      <c r="AD32" s="111"/>
      <c r="AE32" s="111"/>
      <c r="AF32" s="111"/>
      <c r="AG32" s="111"/>
      <c r="AH32" s="111"/>
      <c r="AI32" s="111"/>
      <c r="AJ32" s="111"/>
      <c r="AK32" s="111"/>
      <c r="AL32" s="111"/>
      <c r="AM32" s="111"/>
      <c r="AN32" s="111"/>
      <c r="AO32" s="111"/>
      <c r="AP32" s="111"/>
      <c r="AQ32" s="111"/>
      <c r="AR32" s="111"/>
      <c r="AS32" s="111"/>
      <c r="AT32" s="111"/>
      <c r="AU32" s="111"/>
      <c r="AV32" s="111"/>
      <c r="AW32" s="111"/>
      <c r="AX32" s="111"/>
      <c r="AY32" s="111"/>
    </row>
    <row r="33" spans="6:51">
      <c r="F33" s="111"/>
      <c r="G33" s="111"/>
      <c r="H33" s="111"/>
      <c r="I33" s="111"/>
      <c r="J33" s="111"/>
      <c r="K33" s="111"/>
      <c r="L33" s="111"/>
      <c r="M33" s="111"/>
      <c r="N33" s="111"/>
      <c r="O33" s="111"/>
      <c r="P33" s="111"/>
      <c r="Q33" s="111"/>
      <c r="R33" s="111"/>
      <c r="S33" s="111"/>
      <c r="T33" s="111"/>
      <c r="U33" s="111"/>
      <c r="V33" s="111"/>
      <c r="W33" s="111"/>
      <c r="X33" s="111"/>
      <c r="Y33" s="111"/>
      <c r="Z33" s="111"/>
      <c r="AA33" s="111"/>
      <c r="AB33" s="111"/>
      <c r="AC33" s="111"/>
      <c r="AD33" s="111"/>
      <c r="AE33" s="111"/>
      <c r="AF33" s="111"/>
      <c r="AG33" s="111"/>
      <c r="AH33" s="111"/>
      <c r="AI33" s="111"/>
      <c r="AJ33" s="111"/>
      <c r="AK33" s="111"/>
      <c r="AL33" s="111"/>
      <c r="AM33" s="111"/>
      <c r="AN33" s="111"/>
      <c r="AO33" s="111"/>
      <c r="AP33" s="111"/>
      <c r="AQ33" s="111"/>
      <c r="AR33" s="111"/>
      <c r="AS33" s="111"/>
      <c r="AT33" s="111"/>
      <c r="AU33" s="111"/>
      <c r="AV33" s="111"/>
      <c r="AW33" s="111"/>
      <c r="AX33" s="111"/>
      <c r="AY33" s="111"/>
    </row>
    <row r="34" spans="6:5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11"/>
      <c r="AD34" s="111"/>
      <c r="AE34" s="111"/>
      <c r="AF34" s="111"/>
      <c r="AG34" s="111"/>
      <c r="AH34" s="111"/>
      <c r="AI34" s="111"/>
      <c r="AJ34" s="111"/>
      <c r="AK34" s="111"/>
      <c r="AL34" s="111"/>
      <c r="AM34" s="111"/>
      <c r="AN34" s="111"/>
      <c r="AO34" s="111"/>
      <c r="AP34" s="111"/>
      <c r="AQ34" s="111"/>
      <c r="AR34" s="111"/>
      <c r="AS34" s="111"/>
      <c r="AT34" s="111"/>
      <c r="AU34" s="111"/>
      <c r="AV34" s="111"/>
      <c r="AW34" s="111"/>
      <c r="AX34" s="111"/>
      <c r="AY34" s="111"/>
    </row>
    <row r="35" spans="6:5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row>
    <row r="36" spans="6:5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11"/>
      <c r="AD36" s="111"/>
      <c r="AE36" s="111"/>
      <c r="AF36" s="111"/>
      <c r="AG36" s="111"/>
      <c r="AH36" s="111"/>
      <c r="AI36" s="111"/>
      <c r="AJ36" s="111"/>
      <c r="AK36" s="111"/>
      <c r="AL36" s="111"/>
      <c r="AM36" s="111"/>
      <c r="AN36" s="111"/>
      <c r="AO36" s="111"/>
      <c r="AP36" s="111"/>
      <c r="AQ36" s="111"/>
      <c r="AR36" s="111"/>
      <c r="AS36" s="111"/>
      <c r="AT36" s="111"/>
      <c r="AU36" s="111"/>
      <c r="AV36" s="111"/>
      <c r="AW36" s="111"/>
      <c r="AX36" s="111"/>
      <c r="AY36" s="111"/>
    </row>
    <row r="37" spans="6:51">
      <c r="F37" s="111"/>
      <c r="G37" s="111"/>
      <c r="H37" s="111"/>
      <c r="I37" s="111"/>
      <c r="J37" s="111"/>
      <c r="K37" s="111"/>
      <c r="L37" s="111"/>
      <c r="M37" s="111"/>
      <c r="N37" s="111"/>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row>
    <row r="38" spans="6:5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11"/>
      <c r="AD38" s="111"/>
      <c r="AE38" s="111"/>
      <c r="AF38" s="111"/>
      <c r="AG38" s="111"/>
      <c r="AH38" s="111"/>
      <c r="AI38" s="111"/>
      <c r="AJ38" s="111"/>
      <c r="AK38" s="111"/>
      <c r="AL38" s="111"/>
      <c r="AM38" s="111"/>
      <c r="AN38" s="111"/>
      <c r="AO38" s="111"/>
      <c r="AP38" s="111"/>
      <c r="AQ38" s="111"/>
      <c r="AR38" s="111"/>
      <c r="AS38" s="111"/>
      <c r="AT38" s="111"/>
      <c r="AU38" s="111"/>
      <c r="AV38" s="111"/>
      <c r="AW38" s="111"/>
      <c r="AX38" s="111"/>
      <c r="AY38" s="111"/>
    </row>
    <row r="39" spans="6:51">
      <c r="F39" s="111"/>
      <c r="G39" s="111"/>
      <c r="H39" s="111"/>
      <c r="I39" s="111"/>
      <c r="J39" s="111"/>
      <c r="K39" s="111"/>
      <c r="L39" s="111"/>
      <c r="M39" s="111"/>
      <c r="N39" s="111"/>
      <c r="O39" s="111"/>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row>
    <row r="40" spans="6:51">
      <c r="F40" s="111"/>
      <c r="G40" s="111"/>
      <c r="H40" s="111"/>
      <c r="I40" s="111"/>
      <c r="J40" s="111"/>
      <c r="K40" s="111"/>
      <c r="L40" s="111"/>
      <c r="M40" s="111"/>
      <c r="N40" s="111"/>
      <c r="O40" s="111"/>
      <c r="P40" s="111"/>
      <c r="Q40" s="111"/>
      <c r="R40" s="111"/>
      <c r="S40" s="111"/>
      <c r="T40" s="111"/>
      <c r="U40" s="111"/>
      <c r="V40" s="111"/>
      <c r="W40" s="111"/>
      <c r="X40" s="111"/>
      <c r="Y40" s="111"/>
      <c r="Z40" s="111"/>
      <c r="AA40" s="111"/>
      <c r="AB40" s="111"/>
      <c r="AC40" s="111"/>
      <c r="AD40" s="111"/>
      <c r="AE40" s="111"/>
      <c r="AF40" s="111"/>
      <c r="AG40" s="111"/>
      <c r="AH40" s="111"/>
      <c r="AI40" s="111"/>
      <c r="AJ40" s="111"/>
      <c r="AK40" s="111"/>
      <c r="AL40" s="111"/>
      <c r="AM40" s="111"/>
      <c r="AN40" s="111"/>
      <c r="AO40" s="111"/>
      <c r="AP40" s="111"/>
      <c r="AQ40" s="111"/>
      <c r="AR40" s="111"/>
      <c r="AS40" s="111"/>
      <c r="AT40" s="111"/>
      <c r="AU40" s="111"/>
      <c r="AV40" s="111"/>
      <c r="AW40" s="111"/>
      <c r="AX40" s="111"/>
      <c r="AY40" s="111"/>
    </row>
    <row r="41" spans="6:51">
      <c r="F41" s="111"/>
      <c r="G41" s="111"/>
      <c r="H41" s="111"/>
      <c r="I41" s="111"/>
      <c r="J41" s="111"/>
      <c r="K41" s="111"/>
      <c r="L41" s="111"/>
      <c r="M41" s="111"/>
      <c r="N41" s="111"/>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row>
    <row r="42" spans="6:51">
      <c r="F42" s="111"/>
      <c r="G42" s="111"/>
      <c r="H42" s="111"/>
      <c r="I42" s="111"/>
      <c r="J42" s="111"/>
      <c r="K42" s="111"/>
      <c r="L42" s="111"/>
      <c r="M42" s="111"/>
      <c r="N42" s="111"/>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row>
    <row r="43" spans="6:51">
      <c r="F43" s="111"/>
      <c r="G43" s="111"/>
      <c r="H43" s="111"/>
      <c r="I43" s="111"/>
      <c r="J43" s="111"/>
      <c r="K43" s="111"/>
      <c r="L43" s="111"/>
      <c r="M43" s="111"/>
      <c r="N43" s="111"/>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11"/>
      <c r="AU43" s="111"/>
      <c r="AV43" s="111"/>
      <c r="AW43" s="111"/>
      <c r="AX43" s="111"/>
      <c r="AY43" s="111"/>
    </row>
    <row r="44" spans="6:51">
      <c r="F44" s="111"/>
      <c r="G44" s="111"/>
      <c r="H44" s="111"/>
      <c r="I44" s="111"/>
      <c r="J44" s="111"/>
      <c r="K44" s="111"/>
      <c r="L44" s="111"/>
      <c r="M44" s="111"/>
      <c r="N44" s="111"/>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row>
    <row r="45" spans="6:51">
      <c r="F45" s="111"/>
      <c r="G45" s="111"/>
      <c r="H45" s="111"/>
      <c r="I45" s="111"/>
      <c r="J45" s="111"/>
      <c r="K45" s="111"/>
      <c r="L45" s="111"/>
      <c r="M45" s="111"/>
      <c r="N45" s="111"/>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row>
    <row r="46" spans="6:51">
      <c r="F46" s="111"/>
      <c r="G46" s="111"/>
      <c r="H46" s="111"/>
      <c r="I46" s="111"/>
      <c r="J46" s="111"/>
      <c r="K46" s="111"/>
      <c r="L46" s="111"/>
      <c r="M46" s="111"/>
      <c r="N46" s="111"/>
      <c r="O46" s="111"/>
      <c r="P46" s="111"/>
      <c r="Q46" s="111"/>
      <c r="R46" s="111"/>
      <c r="S46" s="111"/>
      <c r="T46" s="111"/>
      <c r="U46" s="111"/>
      <c r="V46" s="111"/>
      <c r="W46" s="111"/>
      <c r="X46" s="111"/>
      <c r="Y46" s="111"/>
      <c r="Z46" s="111"/>
      <c r="AA46" s="111"/>
      <c r="AB46" s="111"/>
      <c r="AC46" s="111"/>
      <c r="AD46" s="111"/>
      <c r="AE46" s="111"/>
      <c r="AF46" s="111"/>
      <c r="AG46" s="111"/>
      <c r="AH46" s="111"/>
      <c r="AI46" s="111"/>
      <c r="AJ46" s="111"/>
      <c r="AK46" s="111"/>
      <c r="AL46" s="111"/>
      <c r="AM46" s="111"/>
      <c r="AN46" s="111"/>
      <c r="AO46" s="111"/>
      <c r="AP46" s="111"/>
      <c r="AQ46" s="111"/>
      <c r="AR46" s="111"/>
      <c r="AS46" s="111"/>
      <c r="AT46" s="111"/>
      <c r="AU46" s="111"/>
      <c r="AV46" s="111"/>
      <c r="AW46" s="111"/>
      <c r="AX46" s="111"/>
      <c r="AY46" s="111"/>
    </row>
    <row r="47" spans="6:51">
      <c r="F47" s="111"/>
      <c r="G47" s="111"/>
      <c r="H47" s="111"/>
      <c r="I47" s="111"/>
      <c r="J47" s="111"/>
      <c r="K47" s="111"/>
      <c r="L47" s="111"/>
      <c r="M47" s="111"/>
      <c r="N47" s="111"/>
      <c r="O47" s="111"/>
      <c r="P47" s="111"/>
      <c r="Q47" s="111"/>
      <c r="R47" s="111"/>
      <c r="S47" s="111"/>
      <c r="T47" s="111"/>
      <c r="U47" s="111"/>
      <c r="V47" s="111"/>
      <c r="W47" s="111"/>
      <c r="X47" s="111"/>
      <c r="Y47" s="111"/>
      <c r="Z47" s="111"/>
      <c r="AA47" s="111"/>
      <c r="AB47" s="111"/>
      <c r="AC47" s="111"/>
      <c r="AD47" s="111"/>
      <c r="AE47" s="111"/>
      <c r="AF47" s="111"/>
      <c r="AG47" s="111"/>
      <c r="AH47" s="111"/>
      <c r="AI47" s="111"/>
      <c r="AJ47" s="111"/>
      <c r="AK47" s="111"/>
      <c r="AL47" s="111"/>
      <c r="AM47" s="111"/>
      <c r="AN47" s="111"/>
      <c r="AO47" s="111"/>
      <c r="AP47" s="111"/>
      <c r="AQ47" s="111"/>
      <c r="AR47" s="111"/>
      <c r="AS47" s="111"/>
      <c r="AT47" s="111"/>
      <c r="AU47" s="111"/>
      <c r="AV47" s="111"/>
      <c r="AW47" s="111"/>
      <c r="AX47" s="111"/>
      <c r="AY47" s="111"/>
    </row>
    <row r="48" spans="6:51">
      <c r="F48" s="111"/>
      <c r="G48" s="111"/>
      <c r="H48" s="111"/>
      <c r="I48" s="111"/>
      <c r="J48" s="111"/>
      <c r="K48" s="111"/>
      <c r="L48" s="111"/>
      <c r="M48" s="111"/>
      <c r="N48" s="111"/>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1"/>
      <c r="AO48" s="111"/>
      <c r="AP48" s="111"/>
      <c r="AQ48" s="111"/>
      <c r="AR48" s="111"/>
      <c r="AS48" s="111"/>
      <c r="AT48" s="111"/>
      <c r="AU48" s="111"/>
      <c r="AV48" s="111"/>
      <c r="AW48" s="111"/>
      <c r="AX48" s="111"/>
      <c r="AY48" s="111"/>
    </row>
    <row r="49" spans="6:51">
      <c r="F49" s="111"/>
      <c r="G49" s="111"/>
      <c r="H49" s="111"/>
      <c r="I49" s="111"/>
      <c r="J49" s="111"/>
      <c r="K49" s="111"/>
      <c r="L49" s="111"/>
      <c r="M49" s="111"/>
      <c r="N49" s="111"/>
      <c r="O49" s="111"/>
      <c r="P49" s="111"/>
      <c r="Q49" s="111"/>
      <c r="R49" s="111"/>
      <c r="S49" s="111"/>
      <c r="T49" s="111"/>
      <c r="U49" s="111"/>
      <c r="V49" s="111"/>
      <c r="W49" s="111"/>
      <c r="X49" s="111"/>
      <c r="Y49" s="111"/>
      <c r="Z49" s="111"/>
      <c r="AA49" s="111"/>
      <c r="AB49" s="111"/>
      <c r="AC49" s="111"/>
      <c r="AD49" s="111"/>
      <c r="AE49" s="111"/>
      <c r="AF49" s="111"/>
      <c r="AG49" s="111"/>
      <c r="AH49" s="111"/>
      <c r="AI49" s="111"/>
      <c r="AJ49" s="111"/>
      <c r="AK49" s="111"/>
      <c r="AL49" s="111"/>
      <c r="AM49" s="111"/>
      <c r="AN49" s="111"/>
      <c r="AO49" s="111"/>
      <c r="AP49" s="111"/>
      <c r="AQ49" s="111"/>
      <c r="AR49" s="111"/>
      <c r="AS49" s="111"/>
      <c r="AT49" s="111"/>
      <c r="AU49" s="111"/>
      <c r="AV49" s="111"/>
      <c r="AW49" s="111"/>
      <c r="AX49" s="111"/>
      <c r="AY49" s="111"/>
    </row>
    <row r="50" spans="6:51">
      <c r="F50" s="111"/>
      <c r="G50" s="111"/>
      <c r="H50" s="111"/>
      <c r="I50" s="111"/>
      <c r="J50" s="111"/>
      <c r="K50" s="111"/>
      <c r="L50" s="111"/>
      <c r="M50" s="111"/>
      <c r="N50" s="111"/>
      <c r="O50" s="111"/>
      <c r="P50" s="111"/>
      <c r="Q50" s="111"/>
      <c r="R50" s="111"/>
      <c r="S50" s="111"/>
      <c r="T50" s="111"/>
      <c r="U50" s="111"/>
      <c r="V50" s="111"/>
      <c r="W50" s="111"/>
      <c r="X50" s="111"/>
      <c r="Y50" s="111"/>
      <c r="Z50" s="111"/>
      <c r="AA50" s="111"/>
      <c r="AB50" s="111"/>
      <c r="AC50" s="111"/>
      <c r="AD50" s="111"/>
      <c r="AE50" s="111"/>
      <c r="AF50" s="111"/>
      <c r="AG50" s="111"/>
      <c r="AH50" s="111"/>
      <c r="AI50" s="111"/>
      <c r="AJ50" s="111"/>
      <c r="AK50" s="111"/>
      <c r="AL50" s="111"/>
      <c r="AM50" s="111"/>
      <c r="AN50" s="111"/>
      <c r="AO50" s="111"/>
      <c r="AP50" s="111"/>
      <c r="AQ50" s="111"/>
      <c r="AR50" s="111"/>
      <c r="AS50" s="111"/>
      <c r="AT50" s="111"/>
      <c r="AU50" s="111"/>
      <c r="AV50" s="111"/>
      <c r="AW50" s="111"/>
      <c r="AX50" s="111"/>
      <c r="AY50" s="111"/>
    </row>
    <row r="51" spans="6:51">
      <c r="F51" s="111"/>
      <c r="G51" s="111"/>
      <c r="H51" s="111"/>
      <c r="I51" s="111"/>
      <c r="J51" s="111"/>
      <c r="K51" s="111"/>
      <c r="L51" s="111"/>
      <c r="M51" s="111"/>
      <c r="N51" s="111"/>
      <c r="O51" s="111"/>
      <c r="P51" s="111"/>
      <c r="Q51" s="111"/>
      <c r="R51" s="111"/>
      <c r="S51" s="111"/>
      <c r="T51" s="111"/>
      <c r="U51" s="111"/>
      <c r="V51" s="111"/>
      <c r="W51" s="111"/>
      <c r="X51" s="111"/>
      <c r="Y51" s="111"/>
      <c r="Z51" s="111"/>
      <c r="AA51" s="111"/>
      <c r="AB51" s="111"/>
      <c r="AC51" s="111"/>
      <c r="AD51" s="111"/>
      <c r="AE51" s="111"/>
      <c r="AF51" s="111"/>
      <c r="AG51" s="111"/>
      <c r="AH51" s="111"/>
      <c r="AI51" s="111"/>
      <c r="AJ51" s="111"/>
      <c r="AK51" s="111"/>
      <c r="AL51" s="111"/>
      <c r="AM51" s="111"/>
      <c r="AN51" s="111"/>
      <c r="AO51" s="111"/>
      <c r="AP51" s="111"/>
      <c r="AQ51" s="111"/>
      <c r="AR51" s="111"/>
      <c r="AS51" s="111"/>
      <c r="AT51" s="111"/>
      <c r="AU51" s="111"/>
      <c r="AV51" s="111"/>
      <c r="AW51" s="111"/>
      <c r="AX51" s="111"/>
      <c r="AY51" s="111"/>
    </row>
    <row r="52" spans="6:51">
      <c r="F52" s="111"/>
      <c r="G52" s="111"/>
      <c r="H52" s="111"/>
      <c r="I52" s="111"/>
      <c r="J52" s="111"/>
      <c r="K52" s="111"/>
      <c r="L52" s="111"/>
      <c r="M52" s="111"/>
      <c r="N52" s="111"/>
      <c r="O52" s="111"/>
      <c r="P52" s="111"/>
      <c r="Q52" s="111"/>
      <c r="R52" s="111"/>
      <c r="S52" s="111"/>
      <c r="T52" s="111"/>
      <c r="U52" s="111"/>
      <c r="V52" s="111"/>
      <c r="W52" s="111"/>
      <c r="X52" s="111"/>
      <c r="Y52" s="111"/>
      <c r="Z52" s="111"/>
      <c r="AA52" s="111"/>
      <c r="AB52" s="111"/>
      <c r="AC52" s="111"/>
      <c r="AD52" s="111"/>
      <c r="AE52" s="111"/>
      <c r="AF52" s="111"/>
      <c r="AG52" s="111"/>
      <c r="AH52" s="111"/>
      <c r="AI52" s="111"/>
      <c r="AJ52" s="111"/>
      <c r="AK52" s="111"/>
      <c r="AL52" s="111"/>
      <c r="AM52" s="111"/>
      <c r="AN52" s="111"/>
      <c r="AO52" s="111"/>
      <c r="AP52" s="111"/>
      <c r="AQ52" s="111"/>
      <c r="AR52" s="111"/>
      <c r="AS52" s="111"/>
      <c r="AT52" s="111"/>
      <c r="AU52" s="111"/>
      <c r="AV52" s="111"/>
      <c r="AW52" s="111"/>
      <c r="AX52" s="111"/>
      <c r="AY52" s="111"/>
    </row>
    <row r="53" spans="6:51">
      <c r="F53" s="111"/>
      <c r="G53" s="111"/>
      <c r="H53" s="111"/>
      <c r="I53" s="111"/>
      <c r="J53" s="111"/>
      <c r="K53" s="111"/>
      <c r="L53" s="111"/>
      <c r="M53" s="111"/>
      <c r="N53" s="111"/>
      <c r="O53" s="111"/>
      <c r="P53" s="111"/>
      <c r="Q53" s="111"/>
      <c r="R53" s="111"/>
      <c r="S53" s="111"/>
      <c r="T53" s="111"/>
      <c r="U53" s="111"/>
      <c r="V53" s="111"/>
      <c r="W53" s="111"/>
      <c r="X53" s="111"/>
      <c r="Y53" s="111"/>
      <c r="Z53" s="111"/>
      <c r="AA53" s="111"/>
      <c r="AB53" s="111"/>
      <c r="AC53" s="111"/>
      <c r="AD53" s="111"/>
      <c r="AE53" s="111"/>
      <c r="AF53" s="111"/>
      <c r="AG53" s="111"/>
      <c r="AH53" s="111"/>
      <c r="AI53" s="111"/>
      <c r="AJ53" s="111"/>
      <c r="AK53" s="111"/>
      <c r="AL53" s="111"/>
      <c r="AM53" s="111"/>
      <c r="AN53" s="111"/>
      <c r="AO53" s="111"/>
      <c r="AP53" s="111"/>
      <c r="AQ53" s="111"/>
      <c r="AR53" s="111"/>
      <c r="AS53" s="111"/>
      <c r="AT53" s="111"/>
      <c r="AU53" s="111"/>
      <c r="AV53" s="111"/>
      <c r="AW53" s="111"/>
      <c r="AX53" s="111"/>
      <c r="AY53" s="111"/>
    </row>
    <row r="54" spans="6:51">
      <c r="F54" s="111"/>
      <c r="G54" s="111"/>
      <c r="H54" s="111"/>
      <c r="I54" s="111"/>
      <c r="J54" s="111"/>
      <c r="K54" s="111"/>
      <c r="L54" s="111"/>
      <c r="M54" s="111"/>
      <c r="N54" s="111"/>
      <c r="O54" s="111"/>
      <c r="P54" s="111"/>
      <c r="Q54" s="111"/>
      <c r="R54" s="111"/>
      <c r="S54" s="111"/>
      <c r="T54" s="111"/>
      <c r="U54" s="111"/>
      <c r="V54" s="111"/>
      <c r="W54" s="111"/>
      <c r="X54" s="111"/>
      <c r="Y54" s="111"/>
      <c r="Z54" s="111"/>
      <c r="AA54" s="111"/>
      <c r="AB54" s="111"/>
      <c r="AC54" s="111"/>
      <c r="AD54" s="111"/>
      <c r="AE54" s="111"/>
      <c r="AF54" s="111"/>
      <c r="AG54" s="111"/>
      <c r="AH54" s="111"/>
      <c r="AI54" s="111"/>
      <c r="AJ54" s="111"/>
      <c r="AK54" s="111"/>
      <c r="AL54" s="111"/>
      <c r="AM54" s="111"/>
      <c r="AN54" s="111"/>
      <c r="AO54" s="111"/>
      <c r="AP54" s="111"/>
      <c r="AQ54" s="111"/>
      <c r="AR54" s="111"/>
      <c r="AS54" s="111"/>
      <c r="AT54" s="111"/>
      <c r="AU54" s="111"/>
      <c r="AV54" s="111"/>
      <c r="AW54" s="111"/>
      <c r="AX54" s="111"/>
      <c r="AY54" s="111"/>
    </row>
    <row r="55" spans="6:51">
      <c r="F55" s="111"/>
      <c r="G55" s="111"/>
      <c r="H55" s="111"/>
      <c r="I55" s="111"/>
      <c r="J55" s="111"/>
      <c r="K55" s="111"/>
      <c r="L55" s="111"/>
      <c r="M55" s="111"/>
      <c r="N55" s="111"/>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row>
    <row r="56" spans="6:51">
      <c r="F56" s="111"/>
      <c r="G56" s="111"/>
      <c r="H56" s="111"/>
      <c r="I56" s="111"/>
      <c r="J56" s="111"/>
      <c r="K56" s="111"/>
      <c r="L56" s="111"/>
      <c r="M56" s="111"/>
      <c r="N56" s="111"/>
      <c r="O56" s="111"/>
      <c r="P56" s="111"/>
      <c r="Q56" s="111"/>
      <c r="R56" s="111"/>
      <c r="S56" s="111"/>
      <c r="T56" s="111"/>
      <c r="U56" s="111"/>
      <c r="V56" s="111"/>
      <c r="W56" s="111"/>
      <c r="X56" s="111"/>
      <c r="Y56" s="111"/>
      <c r="Z56" s="111"/>
      <c r="AA56" s="111"/>
      <c r="AB56" s="111"/>
      <c r="AC56" s="111"/>
      <c r="AD56" s="111"/>
      <c r="AE56" s="111"/>
      <c r="AF56" s="111"/>
      <c r="AG56" s="111"/>
      <c r="AH56" s="111"/>
      <c r="AI56" s="111"/>
      <c r="AJ56" s="111"/>
      <c r="AK56" s="111"/>
      <c r="AL56" s="111"/>
      <c r="AM56" s="111"/>
      <c r="AN56" s="111"/>
      <c r="AO56" s="111"/>
      <c r="AP56" s="111"/>
      <c r="AQ56" s="111"/>
      <c r="AR56" s="111"/>
      <c r="AS56" s="111"/>
      <c r="AT56" s="111"/>
      <c r="AU56" s="111"/>
      <c r="AV56" s="111"/>
      <c r="AW56" s="111"/>
      <c r="AX56" s="111"/>
      <c r="AY56" s="111"/>
    </row>
    <row r="57" spans="6:51">
      <c r="F57" s="111"/>
      <c r="G57" s="111"/>
      <c r="H57" s="111"/>
      <c r="I57" s="111"/>
      <c r="J57" s="111"/>
      <c r="K57" s="111"/>
      <c r="L57" s="111"/>
      <c r="M57" s="111"/>
      <c r="N57" s="111"/>
      <c r="O57" s="111"/>
      <c r="P57" s="111"/>
      <c r="Q57" s="111"/>
      <c r="R57" s="111"/>
      <c r="S57" s="111"/>
      <c r="T57" s="111"/>
      <c r="U57" s="111"/>
      <c r="V57" s="111"/>
      <c r="W57" s="111"/>
      <c r="X57" s="111"/>
      <c r="Y57" s="111"/>
      <c r="Z57" s="111"/>
      <c r="AA57" s="111"/>
      <c r="AB57" s="111"/>
      <c r="AC57" s="111"/>
      <c r="AD57" s="111"/>
      <c r="AE57" s="111"/>
      <c r="AF57" s="111"/>
      <c r="AG57" s="111"/>
      <c r="AH57" s="111"/>
      <c r="AI57" s="111"/>
      <c r="AJ57" s="111"/>
      <c r="AK57" s="111"/>
      <c r="AL57" s="111"/>
      <c r="AM57" s="111"/>
      <c r="AN57" s="111"/>
      <c r="AO57" s="111"/>
      <c r="AP57" s="111"/>
      <c r="AQ57" s="111"/>
      <c r="AR57" s="111"/>
      <c r="AS57" s="111"/>
      <c r="AT57" s="111"/>
      <c r="AU57" s="111"/>
      <c r="AV57" s="111"/>
      <c r="AW57" s="111"/>
      <c r="AX57" s="111"/>
      <c r="AY57" s="111"/>
    </row>
  </sheetData>
  <sheetProtection algorithmName="SHA-512" hashValue="LgE65jIwhj03rKNQwFlcM3L8jgd46cN5KjPbGc6dRXU6xZqj4FZ6fxXeHmZQH116zyu+jOm+dG4pWdQXWN/lzQ==" saltValue="sa6+luTWaUX7zNpipYMthg==" spinCount="100000" sheet="1" objects="1"/>
  <mergeCells count="8">
    <mergeCell ref="B21:E21"/>
    <mergeCell ref="A8:A10"/>
    <mergeCell ref="A13:A15"/>
    <mergeCell ref="A18:A20"/>
    <mergeCell ref="B8:B10"/>
    <mergeCell ref="B13:B15"/>
    <mergeCell ref="B18:B20"/>
    <mergeCell ref="F1:AY57"/>
  </mergeCell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16">
    <tabColor rgb="FF0070C0"/>
  </sheetPr>
  <dimension ref="A1:Z53"/>
  <sheetViews>
    <sheetView showGridLines="0" zoomScale="85" zoomScaleNormal="85" workbookViewId="0">
      <selection activeCell="B10" sqref="B10:D10"/>
    </sheetView>
  </sheetViews>
  <sheetFormatPr defaultColWidth="11" defaultRowHeight="30" customHeight="1"/>
  <cols>
    <col min="1" max="1" width="28.5350877192982" style="63" customWidth="1"/>
    <col min="2" max="4" width="17.6666666666667" style="64" customWidth="1"/>
    <col min="5" max="5" width="21.4649122807018" style="64" customWidth="1"/>
    <col min="6" max="14" width="15.7368421052632" style="64" customWidth="1"/>
    <col min="15" max="15" width="16.9298245614035" style="64" customWidth="1"/>
    <col min="16" max="18" width="19" style="64" customWidth="1"/>
    <col min="19" max="19" width="18.8684210526316" style="64" customWidth="1"/>
    <col min="20" max="20" width="15.8684210526316" style="64" customWidth="1"/>
    <col min="21" max="21" width="17.6666666666667" style="64" customWidth="1"/>
    <col min="22" max="22" width="15" style="64" customWidth="1"/>
    <col min="23" max="16384" width="11" style="64"/>
  </cols>
  <sheetData>
    <row r="1" ht="30.5" customHeight="1" spans="1:22">
      <c r="A1" s="65" t="s">
        <v>359</v>
      </c>
      <c r="B1" s="66"/>
      <c r="C1" s="66"/>
      <c r="D1" s="66"/>
      <c r="E1" s="67" t="s">
        <v>360</v>
      </c>
      <c r="F1" s="68"/>
      <c r="G1" s="68"/>
      <c r="H1" s="68"/>
      <c r="I1" s="69" t="s">
        <v>361</v>
      </c>
      <c r="J1" s="70"/>
      <c r="K1" s="70"/>
      <c r="L1" s="70"/>
      <c r="M1" s="70"/>
      <c r="N1" s="70"/>
      <c r="O1" s="71"/>
      <c r="P1" s="72"/>
      <c r="Q1" s="66"/>
      <c r="R1" s="66"/>
      <c r="S1" s="66"/>
      <c r="T1" s="66"/>
      <c r="U1" s="66"/>
      <c r="V1" s="66"/>
    </row>
    <row r="2" ht="30.5" customHeight="1" spans="1:22">
      <c r="A2" s="65" t="s">
        <v>362</v>
      </c>
      <c r="B2" s="73"/>
      <c r="C2" s="73"/>
      <c r="D2" s="73"/>
      <c r="E2" s="67" t="s">
        <v>363</v>
      </c>
      <c r="F2" s="68"/>
      <c r="G2" s="68"/>
      <c r="H2" s="68"/>
      <c r="I2" s="74"/>
      <c r="J2" s="75"/>
      <c r="K2" s="75"/>
      <c r="L2" s="75"/>
      <c r="M2" s="75"/>
      <c r="N2" s="75"/>
      <c r="O2" s="76"/>
      <c r="P2" s="72"/>
      <c r="Q2" s="66"/>
      <c r="R2" s="66"/>
      <c r="S2" s="66"/>
      <c r="T2" s="66"/>
      <c r="U2" s="66"/>
      <c r="V2" s="66"/>
    </row>
    <row r="3" ht="30.5" customHeight="1" spans="1:22">
      <c r="A3" s="65" t="s">
        <v>364</v>
      </c>
      <c r="B3" s="68"/>
      <c r="C3" s="68"/>
      <c r="D3" s="68"/>
      <c r="E3" s="67" t="s">
        <v>365</v>
      </c>
      <c r="F3" s="68"/>
      <c r="G3" s="68"/>
      <c r="H3" s="68"/>
      <c r="I3" s="74"/>
      <c r="J3" s="75"/>
      <c r="K3" s="75"/>
      <c r="L3" s="75"/>
      <c r="M3" s="75"/>
      <c r="N3" s="75"/>
      <c r="O3" s="76"/>
      <c r="P3" s="72"/>
      <c r="Q3" s="66"/>
      <c r="R3" s="66"/>
      <c r="S3" s="66"/>
      <c r="T3" s="66"/>
      <c r="U3" s="66"/>
      <c r="V3" s="66"/>
    </row>
    <row r="4" ht="30.5" customHeight="1" spans="1:22">
      <c r="A4" s="65" t="s">
        <v>366</v>
      </c>
      <c r="B4" s="68" t="str">
        <f>IFERROR(VLOOKUP(B3,[1]亚马逊地址库!$A1:$IV65536,2,0),"")</f>
        <v/>
      </c>
      <c r="C4" s="68"/>
      <c r="D4" s="68"/>
      <c r="E4" s="67" t="s">
        <v>367</v>
      </c>
      <c r="F4" s="68"/>
      <c r="G4" s="68"/>
      <c r="H4" s="68"/>
      <c r="I4" s="74"/>
      <c r="J4" s="75"/>
      <c r="K4" s="75"/>
      <c r="L4" s="75"/>
      <c r="M4" s="75"/>
      <c r="N4" s="75"/>
      <c r="O4" s="76"/>
      <c r="P4" s="72"/>
      <c r="Q4" s="66"/>
      <c r="R4" s="66"/>
      <c r="S4" s="66"/>
      <c r="T4" s="66"/>
      <c r="U4" s="66"/>
      <c r="V4" s="66"/>
    </row>
    <row r="5" ht="30.5" customHeight="1" spans="1:22">
      <c r="A5" s="65" t="s">
        <v>368</v>
      </c>
      <c r="B5" s="68" t="str">
        <f>IFERROR(VLOOKUP(B3,[1]亚马逊地址库!$A1:$IV65536,3,0),"")</f>
        <v/>
      </c>
      <c r="C5" s="68"/>
      <c r="D5" s="68"/>
      <c r="E5" s="67" t="s">
        <v>369</v>
      </c>
      <c r="F5" s="68"/>
      <c r="G5" s="68"/>
      <c r="H5" s="68"/>
      <c r="I5" s="74"/>
      <c r="J5" s="75"/>
      <c r="K5" s="75"/>
      <c r="L5" s="75"/>
      <c r="M5" s="75"/>
      <c r="N5" s="75"/>
      <c r="O5" s="76"/>
      <c r="P5" s="72"/>
      <c r="Q5" s="66"/>
      <c r="R5" s="66"/>
      <c r="S5" s="66"/>
      <c r="T5" s="66"/>
      <c r="U5" s="66"/>
      <c r="V5" s="66"/>
    </row>
    <row r="6" ht="30.5" customHeight="1" spans="1:22">
      <c r="A6" s="65" t="s">
        <v>370</v>
      </c>
      <c r="B6" s="68" t="str">
        <f>IFERROR(VLOOKUP(B3,[1]亚马逊地址库!$A1:$IV65536,4,0),"")</f>
        <v/>
      </c>
      <c r="C6" s="68"/>
      <c r="D6" s="68"/>
      <c r="E6" s="67" t="s">
        <v>371</v>
      </c>
      <c r="F6" s="72"/>
      <c r="G6" s="72"/>
      <c r="H6" s="72"/>
      <c r="I6" s="74"/>
      <c r="J6" s="75"/>
      <c r="K6" s="75"/>
      <c r="L6" s="75"/>
      <c r="M6" s="75"/>
      <c r="N6" s="75"/>
      <c r="O6" s="76"/>
      <c r="P6" s="72"/>
      <c r="Q6" s="66"/>
      <c r="R6" s="66"/>
      <c r="S6" s="66"/>
      <c r="T6" s="66"/>
      <c r="U6" s="66"/>
      <c r="V6" s="66"/>
    </row>
    <row r="7" ht="30.5" customHeight="1" spans="1:22">
      <c r="A7" s="65" t="s">
        <v>372</v>
      </c>
      <c r="B7" s="68"/>
      <c r="C7" s="68"/>
      <c r="D7" s="68"/>
      <c r="E7" s="67" t="s">
        <v>373</v>
      </c>
      <c r="F7" s="72"/>
      <c r="G7" s="72"/>
      <c r="H7" s="72"/>
      <c r="I7" s="74"/>
      <c r="J7" s="75"/>
      <c r="K7" s="75"/>
      <c r="L7" s="75"/>
      <c r="M7" s="75"/>
      <c r="N7" s="75"/>
      <c r="O7" s="76"/>
      <c r="P7" s="72"/>
      <c r="Q7" s="66"/>
      <c r="R7" s="66"/>
      <c r="S7" s="66"/>
      <c r="T7" s="66"/>
      <c r="U7" s="66"/>
      <c r="V7" s="66"/>
    </row>
    <row r="8" ht="30.5" customHeight="1" spans="1:22">
      <c r="A8" s="65" t="s">
        <v>374</v>
      </c>
      <c r="B8" s="68"/>
      <c r="C8" s="68"/>
      <c r="D8" s="68"/>
      <c r="E8" s="67" t="s">
        <v>375</v>
      </c>
      <c r="F8" s="72"/>
      <c r="G8" s="72"/>
      <c r="H8" s="72"/>
      <c r="I8" s="74"/>
      <c r="J8" s="75"/>
      <c r="K8" s="75"/>
      <c r="L8" s="75"/>
      <c r="M8" s="75"/>
      <c r="N8" s="75"/>
      <c r="O8" s="76"/>
      <c r="P8" s="72"/>
      <c r="Q8" s="66"/>
      <c r="R8" s="66"/>
      <c r="S8" s="66"/>
      <c r="T8" s="66"/>
      <c r="U8" s="66"/>
      <c r="V8" s="66"/>
    </row>
    <row r="9" ht="30.5" customHeight="1" spans="1:22">
      <c r="A9" s="65" t="s">
        <v>376</v>
      </c>
      <c r="B9" s="68" t="str">
        <f>IFERROR(VLOOKUP(B3,[1]亚马逊地址库!$A1:$IV65536,5,0),"")</f>
        <v/>
      </c>
      <c r="C9" s="68"/>
      <c r="D9" s="68"/>
      <c r="E9" s="67" t="s">
        <v>377</v>
      </c>
      <c r="F9" s="72"/>
      <c r="G9" s="72"/>
      <c r="H9" s="72"/>
      <c r="I9" s="74"/>
      <c r="J9" s="75"/>
      <c r="K9" s="75"/>
      <c r="L9" s="75"/>
      <c r="M9" s="75"/>
      <c r="N9" s="75"/>
      <c r="O9" s="76"/>
      <c r="P9" s="72"/>
      <c r="Q9" s="66"/>
      <c r="R9" s="66"/>
      <c r="S9" s="66"/>
      <c r="T9" s="66"/>
      <c r="U9" s="66"/>
      <c r="V9" s="66"/>
    </row>
    <row r="10" ht="30.5" customHeight="1" spans="1:22">
      <c r="A10" s="65" t="s">
        <v>378</v>
      </c>
      <c r="B10" s="68" t="str">
        <f>IFERROR(VLOOKUP(B3,[1]亚马逊地址库!$A1:$IV65536,6,0),"")</f>
        <v/>
      </c>
      <c r="C10" s="68"/>
      <c r="D10" s="68"/>
      <c r="E10" s="67" t="s">
        <v>379</v>
      </c>
      <c r="F10" s="72"/>
      <c r="G10" s="72"/>
      <c r="H10" s="72"/>
      <c r="I10" s="74"/>
      <c r="J10" s="75"/>
      <c r="K10" s="75"/>
      <c r="L10" s="75"/>
      <c r="M10" s="75"/>
      <c r="N10" s="75"/>
      <c r="O10" s="76"/>
      <c r="P10" s="72"/>
      <c r="Q10" s="66"/>
      <c r="R10" s="66"/>
      <c r="S10" s="66"/>
      <c r="T10" s="66"/>
      <c r="U10" s="66"/>
      <c r="V10" s="66"/>
    </row>
    <row r="11" ht="30.5" customHeight="1" spans="1:22">
      <c r="A11" s="65" t="s">
        <v>380</v>
      </c>
      <c r="B11" s="68" t="str">
        <f>IFERROR(VLOOKUP(B3,[1]亚马逊地址库!$A1:$IV65536,7,0),"")</f>
        <v/>
      </c>
      <c r="C11" s="68"/>
      <c r="D11" s="68"/>
      <c r="E11" s="67" t="s">
        <v>381</v>
      </c>
      <c r="F11" s="72"/>
      <c r="G11" s="72"/>
      <c r="H11" s="72"/>
      <c r="I11" s="74"/>
      <c r="J11" s="75"/>
      <c r="K11" s="75"/>
      <c r="L11" s="75"/>
      <c r="M11" s="75"/>
      <c r="N11" s="75"/>
      <c r="O11" s="76"/>
      <c r="P11" s="72"/>
      <c r="Q11" s="66"/>
      <c r="R11" s="66"/>
      <c r="S11" s="66"/>
      <c r="T11" s="66"/>
      <c r="U11" s="66"/>
      <c r="V11" s="66"/>
    </row>
    <row r="12" ht="30.5" customHeight="1" spans="1:22">
      <c r="A12" s="65" t="s">
        <v>382</v>
      </c>
      <c r="B12" s="68" t="str">
        <f>IFERROR(VLOOKUP(B3,[1]亚马逊地址库!$A1:$IV65536,8,0),"")</f>
        <v/>
      </c>
      <c r="C12" s="68"/>
      <c r="D12" s="68"/>
      <c r="E12" s="67" t="s">
        <v>383</v>
      </c>
      <c r="F12" s="66"/>
      <c r="G12" s="66"/>
      <c r="H12" s="66"/>
      <c r="I12" s="74"/>
      <c r="J12" s="75"/>
      <c r="K12" s="75"/>
      <c r="L12" s="75"/>
      <c r="M12" s="75"/>
      <c r="N12" s="75"/>
      <c r="O12" s="76"/>
      <c r="P12" s="66"/>
      <c r="Q12" s="66"/>
      <c r="R12" s="66"/>
      <c r="S12" s="66"/>
      <c r="T12" s="66"/>
      <c r="U12" s="66"/>
      <c r="V12" s="66"/>
    </row>
    <row r="13" ht="30.5" customHeight="1" spans="1:22">
      <c r="A13" s="65" t="s">
        <v>384</v>
      </c>
      <c r="B13" s="68" t="str">
        <f>IFERROR(VLOOKUP(B3,[1]亚马逊地址库!$A1:$IV65536,9,0),"")</f>
        <v/>
      </c>
      <c r="C13" s="68"/>
      <c r="D13" s="68"/>
      <c r="E13" s="77" t="s">
        <v>45</v>
      </c>
      <c r="F13" s="78"/>
      <c r="G13" s="78"/>
      <c r="H13" s="78"/>
      <c r="I13" s="74"/>
      <c r="J13" s="75"/>
      <c r="K13" s="75"/>
      <c r="L13" s="75"/>
      <c r="M13" s="75"/>
      <c r="N13" s="75"/>
      <c r="O13" s="76"/>
      <c r="P13" s="66"/>
      <c r="Q13" s="66"/>
      <c r="R13" s="66"/>
      <c r="S13" s="66"/>
      <c r="T13" s="66"/>
      <c r="U13" s="66"/>
      <c r="V13" s="66"/>
    </row>
    <row r="14" ht="30.5" customHeight="1" spans="1:22">
      <c r="A14" s="65" t="s">
        <v>385</v>
      </c>
      <c r="B14" s="68"/>
      <c r="C14" s="68"/>
      <c r="D14" s="68"/>
      <c r="E14" s="79" t="s">
        <v>386</v>
      </c>
      <c r="F14" s="80"/>
      <c r="G14" s="80"/>
      <c r="H14" s="80"/>
      <c r="I14" s="80"/>
      <c r="J14" s="80"/>
      <c r="K14" s="80"/>
      <c r="L14" s="80"/>
      <c r="M14" s="80"/>
      <c r="N14" s="80"/>
      <c r="O14" s="80"/>
      <c r="P14" s="81"/>
      <c r="Q14" s="66"/>
      <c r="R14" s="66"/>
      <c r="S14" s="66"/>
      <c r="T14" s="66"/>
      <c r="U14" s="66"/>
      <c r="V14" s="66"/>
    </row>
    <row r="15" ht="30.5" customHeight="1" spans="1:22">
      <c r="A15" s="65" t="s">
        <v>387</v>
      </c>
      <c r="B15" s="68"/>
      <c r="C15" s="68"/>
      <c r="D15" s="68"/>
      <c r="E15" s="80"/>
      <c r="F15" s="80"/>
      <c r="G15" s="80"/>
      <c r="H15" s="80"/>
      <c r="I15" s="80"/>
      <c r="J15" s="80"/>
      <c r="K15" s="80"/>
      <c r="L15" s="80"/>
      <c r="M15" s="80"/>
      <c r="N15" s="80"/>
      <c r="O15" s="80"/>
      <c r="P15" s="82" t="s">
        <v>388</v>
      </c>
      <c r="Q15" s="82"/>
      <c r="R15" s="82"/>
      <c r="S15" s="82"/>
      <c r="T15" s="82"/>
      <c r="U15" s="82"/>
      <c r="V15" s="83"/>
    </row>
    <row r="16" ht="30.5" customHeight="1" spans="1:22">
      <c r="A16" s="65" t="s">
        <v>389</v>
      </c>
      <c r="B16" s="68"/>
      <c r="C16" s="68"/>
      <c r="D16" s="68"/>
      <c r="E16" s="80"/>
      <c r="F16" s="80"/>
      <c r="G16" s="80"/>
      <c r="H16" s="80"/>
      <c r="I16" s="80"/>
      <c r="J16" s="80"/>
      <c r="K16" s="80"/>
      <c r="L16" s="80"/>
      <c r="M16" s="80"/>
      <c r="N16" s="80"/>
      <c r="O16" s="80"/>
      <c r="P16" s="84"/>
      <c r="Q16" s="84"/>
      <c r="R16" s="84"/>
      <c r="S16" s="84"/>
      <c r="T16" s="84"/>
      <c r="U16" s="84"/>
      <c r="V16" s="85"/>
    </row>
    <row r="17" ht="48.5" customHeight="1" spans="1:26">
      <c r="A17" s="86" t="s">
        <v>390</v>
      </c>
      <c r="B17" s="87" t="s">
        <v>391</v>
      </c>
      <c r="C17" s="87" t="s">
        <v>392</v>
      </c>
      <c r="D17" s="87" t="s">
        <v>393</v>
      </c>
      <c r="E17" s="87" t="s">
        <v>394</v>
      </c>
      <c r="F17" s="87" t="s">
        <v>395</v>
      </c>
      <c r="G17" s="87" t="s">
        <v>396</v>
      </c>
      <c r="H17" s="87" t="s">
        <v>397</v>
      </c>
      <c r="I17" s="87" t="s">
        <v>398</v>
      </c>
      <c r="J17" s="87" t="s">
        <v>399</v>
      </c>
      <c r="K17" s="87" t="s">
        <v>400</v>
      </c>
      <c r="L17" s="87" t="s">
        <v>401</v>
      </c>
      <c r="M17" s="87" t="s">
        <v>402</v>
      </c>
      <c r="N17" s="87" t="s">
        <v>403</v>
      </c>
      <c r="O17" s="87" t="s">
        <v>404</v>
      </c>
      <c r="P17" s="88" t="s">
        <v>405</v>
      </c>
      <c r="Q17" s="89" t="s">
        <v>406</v>
      </c>
      <c r="R17" s="89" t="s">
        <v>407</v>
      </c>
      <c r="S17" s="89" t="s">
        <v>408</v>
      </c>
      <c r="T17" s="89" t="s">
        <v>409</v>
      </c>
      <c r="U17" s="89" t="s">
        <v>410</v>
      </c>
      <c r="V17" s="89" t="s">
        <v>411</v>
      </c>
    </row>
    <row r="18" s="62" customFormat="1" customHeight="1" spans="1:26">
      <c r="A18" s="90"/>
      <c r="B18" s="91"/>
      <c r="C18" s="92"/>
      <c r="D18" s="92"/>
      <c r="E18" s="92"/>
      <c r="F18" s="93"/>
      <c r="G18" s="94"/>
      <c r="H18" s="95"/>
      <c r="I18" s="95"/>
      <c r="J18" s="96"/>
      <c r="K18" s="97"/>
      <c r="L18" s="98"/>
      <c r="M18" s="94"/>
      <c r="N18" s="94"/>
      <c r="O18" s="95"/>
      <c r="P18" s="99"/>
      <c r="Q18" s="99"/>
      <c r="R18" s="99"/>
      <c r="S18" s="100"/>
      <c r="T18" s="99"/>
      <c r="U18" s="99"/>
      <c r="V18" s="100"/>
      <c r="W18" s="101"/>
      <c r="Y18" s="64"/>
      <c r="Z18" s="64"/>
    </row>
    <row r="19" customHeight="1" spans="1:26">
      <c r="A19" s="102"/>
      <c r="B19" s="103"/>
      <c r="C19" s="103"/>
      <c r="D19" s="103"/>
      <c r="E19" s="103"/>
      <c r="F19" s="104"/>
      <c r="G19" s="104"/>
      <c r="H19" s="104"/>
      <c r="I19" s="104"/>
      <c r="J19" s="105"/>
      <c r="K19" s="104"/>
      <c r="L19" s="106"/>
      <c r="M19" s="104"/>
      <c r="N19" s="107"/>
      <c r="O19" s="107"/>
      <c r="P19" s="99"/>
      <c r="Q19" s="99"/>
      <c r="R19" s="99"/>
      <c r="S19" s="99"/>
      <c r="T19" s="99"/>
      <c r="U19" s="99"/>
      <c r="V19" s="99"/>
    </row>
    <row r="20" customHeight="1" spans="1:26">
      <c r="A20" s="102"/>
      <c r="B20" s="103"/>
      <c r="C20" s="103"/>
      <c r="D20" s="103"/>
      <c r="E20" s="103"/>
      <c r="F20" s="104"/>
      <c r="G20" s="104"/>
      <c r="H20" s="104"/>
      <c r="I20" s="104"/>
      <c r="J20" s="105"/>
      <c r="K20" s="104"/>
      <c r="L20" s="106"/>
      <c r="M20" s="104"/>
      <c r="N20" s="107"/>
      <c r="O20" s="107"/>
      <c r="P20" s="99"/>
      <c r="Q20" s="99"/>
      <c r="R20" s="99"/>
      <c r="S20" s="99"/>
      <c r="T20" s="99"/>
      <c r="U20" s="99"/>
      <c r="V20" s="99"/>
    </row>
    <row r="21" customHeight="1" spans="1:26">
      <c r="A21" s="102"/>
      <c r="B21" s="103"/>
      <c r="C21" s="103"/>
      <c r="D21" s="103"/>
      <c r="E21" s="103"/>
      <c r="F21" s="104"/>
      <c r="G21" s="104"/>
      <c r="H21" s="104"/>
      <c r="I21" s="104"/>
      <c r="J21" s="105"/>
      <c r="K21" s="104"/>
      <c r="L21" s="106"/>
      <c r="M21" s="104"/>
      <c r="N21" s="107"/>
      <c r="O21" s="107"/>
      <c r="P21" s="99"/>
      <c r="Q21" s="99"/>
      <c r="R21" s="99"/>
      <c r="S21" s="99"/>
      <c r="T21" s="99"/>
      <c r="U21" s="99"/>
      <c r="V21" s="99"/>
    </row>
    <row r="22" customHeight="1" spans="1:26">
      <c r="A22" s="102"/>
      <c r="B22" s="103"/>
      <c r="C22" s="103"/>
      <c r="D22" s="103"/>
      <c r="E22" s="103"/>
      <c r="F22" s="104"/>
      <c r="G22" s="104"/>
      <c r="H22" s="104"/>
      <c r="I22" s="104"/>
      <c r="J22" s="105"/>
      <c r="K22" s="104"/>
      <c r="L22" s="106"/>
      <c r="M22" s="104"/>
      <c r="N22" s="107"/>
      <c r="O22" s="107"/>
      <c r="P22" s="99"/>
      <c r="Q22" s="99"/>
      <c r="R22" s="99"/>
      <c r="S22" s="99"/>
      <c r="T22" s="99"/>
      <c r="U22" s="99"/>
      <c r="V22" s="99"/>
    </row>
    <row r="23" customHeight="1" spans="1:26">
      <c r="A23" s="102"/>
      <c r="B23" s="103"/>
      <c r="C23" s="103"/>
      <c r="D23" s="103"/>
      <c r="E23" s="103"/>
      <c r="F23" s="104"/>
      <c r="G23" s="104"/>
      <c r="H23" s="104"/>
      <c r="I23" s="104"/>
      <c r="J23" s="105"/>
      <c r="K23" s="104"/>
      <c r="L23" s="106"/>
      <c r="M23" s="104"/>
      <c r="N23" s="107"/>
      <c r="O23" s="107"/>
      <c r="P23" s="99"/>
      <c r="Q23" s="99"/>
      <c r="R23" s="99"/>
      <c r="S23" s="99"/>
      <c r="T23" s="99"/>
      <c r="U23" s="99"/>
      <c r="V23" s="99"/>
    </row>
    <row r="24" customHeight="1" spans="1:26">
      <c r="A24" s="102"/>
      <c r="B24" s="103"/>
      <c r="C24" s="103"/>
      <c r="D24" s="103"/>
      <c r="E24" s="103"/>
      <c r="F24" s="104"/>
      <c r="G24" s="104"/>
      <c r="H24" s="104"/>
      <c r="I24" s="104"/>
      <c r="J24" s="105"/>
      <c r="K24" s="104"/>
      <c r="L24" s="106"/>
      <c r="M24" s="104"/>
      <c r="N24" s="107"/>
      <c r="O24" s="107"/>
      <c r="P24" s="99"/>
      <c r="Q24" s="99"/>
      <c r="R24" s="99"/>
      <c r="S24" s="99"/>
      <c r="T24" s="99"/>
      <c r="U24" s="99"/>
      <c r="V24" s="99"/>
    </row>
    <row r="25" customHeight="1" spans="1:26">
      <c r="A25" s="102"/>
      <c r="B25" s="108"/>
      <c r="C25" s="103"/>
      <c r="D25" s="103"/>
      <c r="E25" s="103"/>
      <c r="F25" s="104"/>
      <c r="G25" s="104"/>
      <c r="H25" s="104"/>
      <c r="I25" s="104"/>
      <c r="J25" s="105"/>
      <c r="K25" s="104"/>
      <c r="L25" s="106"/>
      <c r="M25" s="104"/>
      <c r="N25" s="107"/>
      <c r="O25" s="107"/>
      <c r="P25" s="99"/>
      <c r="Q25" s="99"/>
      <c r="R25" s="99"/>
      <c r="S25" s="99"/>
      <c r="T25" s="99"/>
      <c r="U25" s="99"/>
      <c r="V25" s="99"/>
    </row>
    <row r="26" customHeight="1" spans="1:26">
      <c r="A26" s="102"/>
      <c r="B26" s="103"/>
      <c r="C26" s="103"/>
      <c r="D26" s="103"/>
      <c r="E26" s="103"/>
      <c r="F26" s="104"/>
      <c r="G26" s="104"/>
      <c r="H26" s="104"/>
      <c r="I26" s="104"/>
      <c r="J26" s="105"/>
      <c r="K26" s="104"/>
      <c r="L26" s="106"/>
      <c r="M26" s="104"/>
      <c r="N26" s="107"/>
      <c r="O26" s="107"/>
      <c r="P26" s="99"/>
      <c r="Q26" s="99"/>
      <c r="R26" s="99"/>
      <c r="S26" s="99"/>
      <c r="T26" s="99"/>
      <c r="U26" s="99"/>
      <c r="V26" s="99"/>
    </row>
    <row r="27" customHeight="1" spans="1:26">
      <c r="A27" s="102"/>
      <c r="B27" s="103"/>
      <c r="C27" s="103"/>
      <c r="D27" s="103"/>
      <c r="E27" s="103"/>
      <c r="F27" s="104"/>
      <c r="G27" s="104"/>
      <c r="H27" s="104"/>
      <c r="I27" s="104"/>
      <c r="J27" s="105"/>
      <c r="K27" s="104"/>
      <c r="L27" s="106"/>
      <c r="M27" s="104"/>
      <c r="N27" s="107"/>
      <c r="O27" s="107"/>
      <c r="P27" s="99"/>
      <c r="Q27" s="99"/>
      <c r="R27" s="99"/>
      <c r="S27" s="99"/>
      <c r="T27" s="99"/>
      <c r="U27" s="99"/>
      <c r="V27" s="99"/>
    </row>
    <row r="28" customHeight="1" spans="1:26">
      <c r="A28" s="102"/>
      <c r="B28" s="103"/>
      <c r="C28" s="103"/>
      <c r="D28" s="103"/>
      <c r="E28" s="103"/>
      <c r="F28" s="104"/>
      <c r="G28" s="104"/>
      <c r="H28" s="104"/>
      <c r="I28" s="104"/>
      <c r="J28" s="105"/>
      <c r="K28" s="104"/>
      <c r="L28" s="106"/>
      <c r="M28" s="104"/>
      <c r="N28" s="107"/>
      <c r="O28" s="107"/>
      <c r="P28" s="99"/>
      <c r="Q28" s="99"/>
      <c r="R28" s="99"/>
      <c r="S28" s="99"/>
      <c r="T28" s="99"/>
      <c r="U28" s="99"/>
      <c r="V28" s="99"/>
    </row>
    <row r="29" customHeight="1" spans="1:26">
      <c r="A29" s="109"/>
      <c r="B29" s="99"/>
      <c r="C29" s="99"/>
      <c r="D29" s="99"/>
      <c r="E29" s="99"/>
      <c r="F29" s="99"/>
      <c r="G29" s="99"/>
      <c r="H29" s="99"/>
      <c r="I29" s="99"/>
      <c r="J29" s="99"/>
      <c r="K29" s="99"/>
      <c r="L29" s="99"/>
      <c r="M29" s="99"/>
      <c r="N29" s="99"/>
      <c r="O29" s="99"/>
      <c r="P29" s="99"/>
      <c r="Q29" s="99"/>
      <c r="R29" s="99"/>
      <c r="S29" s="99"/>
      <c r="T29" s="99"/>
      <c r="U29" s="99"/>
      <c r="V29" s="99"/>
    </row>
    <row r="30" customHeight="1" spans="1:26">
      <c r="A30" s="109"/>
      <c r="B30" s="99"/>
      <c r="C30" s="99"/>
      <c r="D30" s="99"/>
      <c r="E30" s="99"/>
      <c r="F30" s="99"/>
      <c r="G30" s="99"/>
      <c r="H30" s="99"/>
      <c r="I30" s="99"/>
      <c r="J30" s="99"/>
      <c r="K30" s="99"/>
      <c r="L30" s="99"/>
      <c r="M30" s="99"/>
      <c r="N30" s="99"/>
      <c r="O30" s="99"/>
      <c r="P30" s="99"/>
      <c r="Q30" s="99"/>
      <c r="R30" s="99"/>
      <c r="S30" s="99"/>
      <c r="T30" s="99"/>
      <c r="U30" s="99"/>
      <c r="V30" s="99"/>
    </row>
    <row r="31" customHeight="1" spans="1:26">
      <c r="A31" s="109"/>
      <c r="B31" s="99"/>
      <c r="C31" s="99"/>
      <c r="D31" s="99"/>
      <c r="E31" s="99"/>
      <c r="F31" s="99"/>
      <c r="G31" s="99"/>
      <c r="H31" s="99"/>
      <c r="I31" s="99"/>
      <c r="J31" s="99"/>
      <c r="K31" s="99"/>
      <c r="L31" s="99"/>
      <c r="M31" s="99"/>
      <c r="N31" s="99"/>
      <c r="O31" s="99"/>
      <c r="P31" s="99"/>
      <c r="Q31" s="99"/>
      <c r="R31" s="99"/>
      <c r="S31" s="99"/>
      <c r="T31" s="99"/>
      <c r="U31" s="99"/>
      <c r="V31" s="99"/>
    </row>
    <row r="32" customHeight="1" spans="1:26">
      <c r="A32" s="109"/>
      <c r="B32" s="99"/>
      <c r="C32" s="99"/>
      <c r="D32" s="99"/>
      <c r="E32" s="99"/>
      <c r="F32" s="99"/>
      <c r="G32" s="99"/>
      <c r="H32" s="99"/>
      <c r="I32" s="99"/>
      <c r="J32" s="99"/>
      <c r="K32" s="99"/>
      <c r="L32" s="99"/>
      <c r="M32" s="99"/>
      <c r="N32" s="99"/>
      <c r="O32" s="99"/>
      <c r="P32" s="99"/>
      <c r="Q32" s="99"/>
      <c r="R32" s="99"/>
      <c r="S32" s="99"/>
      <c r="T32" s="99"/>
      <c r="U32" s="99"/>
      <c r="V32" s="99"/>
    </row>
    <row r="33" customHeight="1" spans="1:22">
      <c r="A33" s="109"/>
      <c r="B33" s="99"/>
      <c r="C33" s="99"/>
      <c r="D33" s="99"/>
      <c r="E33" s="99"/>
      <c r="F33" s="99"/>
      <c r="G33" s="99"/>
      <c r="H33" s="99"/>
      <c r="I33" s="99"/>
      <c r="J33" s="99"/>
      <c r="K33" s="99"/>
      <c r="L33" s="99"/>
      <c r="M33" s="99"/>
      <c r="N33" s="99"/>
      <c r="O33" s="99"/>
      <c r="P33" s="99"/>
      <c r="Q33" s="99"/>
      <c r="R33" s="99"/>
      <c r="S33" s="99"/>
      <c r="T33" s="99"/>
      <c r="U33" s="99"/>
      <c r="V33" s="99"/>
    </row>
    <row r="34" customHeight="1" spans="1:22">
      <c r="A34" s="109"/>
      <c r="B34" s="99"/>
      <c r="C34" s="99"/>
      <c r="D34" s="99"/>
      <c r="E34" s="99"/>
      <c r="F34" s="99"/>
      <c r="G34" s="99"/>
      <c r="H34" s="99"/>
      <c r="I34" s="99"/>
      <c r="J34" s="99"/>
      <c r="K34" s="99"/>
      <c r="L34" s="99"/>
      <c r="M34" s="99"/>
      <c r="N34" s="99"/>
      <c r="O34" s="99"/>
      <c r="P34" s="99"/>
      <c r="Q34" s="99"/>
      <c r="R34" s="99"/>
      <c r="S34" s="99"/>
      <c r="T34" s="99"/>
      <c r="U34" s="99"/>
      <c r="V34" s="99"/>
    </row>
    <row r="35" customHeight="1" spans="1:22">
      <c r="A35" s="109"/>
      <c r="B35" s="99"/>
      <c r="C35" s="99"/>
      <c r="D35" s="99"/>
      <c r="E35" s="99"/>
      <c r="F35" s="99"/>
      <c r="G35" s="99"/>
      <c r="H35" s="99"/>
      <c r="I35" s="99"/>
      <c r="J35" s="99"/>
      <c r="K35" s="99"/>
      <c r="L35" s="99"/>
      <c r="M35" s="99"/>
      <c r="N35" s="99"/>
      <c r="O35" s="99"/>
      <c r="P35" s="99"/>
      <c r="Q35" s="99"/>
      <c r="R35" s="99"/>
      <c r="S35" s="99"/>
      <c r="T35" s="99"/>
      <c r="U35" s="99"/>
      <c r="V35" s="99"/>
    </row>
    <row r="36" customHeight="1" spans="1:22">
      <c r="A36" s="109"/>
      <c r="B36" s="99"/>
      <c r="C36" s="99"/>
      <c r="D36" s="99"/>
      <c r="E36" s="99"/>
      <c r="F36" s="99"/>
      <c r="G36" s="99"/>
      <c r="H36" s="99"/>
      <c r="I36" s="99"/>
      <c r="J36" s="99"/>
      <c r="K36" s="99"/>
      <c r="L36" s="99"/>
      <c r="M36" s="99"/>
      <c r="N36" s="99"/>
      <c r="O36" s="99"/>
      <c r="P36" s="99"/>
      <c r="Q36" s="99"/>
      <c r="R36" s="99"/>
      <c r="S36" s="99"/>
      <c r="T36" s="99"/>
      <c r="U36" s="99"/>
      <c r="V36" s="99"/>
    </row>
    <row r="37" customHeight="1" spans="1:22">
      <c r="A37" s="109"/>
      <c r="B37" s="99"/>
      <c r="C37" s="99"/>
      <c r="D37" s="99"/>
      <c r="E37" s="99"/>
      <c r="F37" s="99"/>
      <c r="G37" s="99"/>
      <c r="H37" s="99"/>
      <c r="I37" s="99"/>
      <c r="J37" s="99"/>
      <c r="K37" s="99"/>
      <c r="L37" s="99"/>
      <c r="M37" s="99"/>
      <c r="N37" s="99"/>
      <c r="O37" s="99"/>
      <c r="P37" s="99"/>
      <c r="Q37" s="99"/>
      <c r="R37" s="99"/>
      <c r="S37" s="99"/>
      <c r="T37" s="99"/>
      <c r="U37" s="99"/>
      <c r="V37" s="99"/>
    </row>
    <row r="38" customHeight="1" spans="1:22">
      <c r="A38" s="109"/>
      <c r="B38" s="99"/>
      <c r="C38" s="99"/>
      <c r="D38" s="99"/>
      <c r="E38" s="99"/>
      <c r="F38" s="99"/>
      <c r="G38" s="99"/>
      <c r="H38" s="99"/>
      <c r="I38" s="99"/>
      <c r="J38" s="99"/>
      <c r="K38" s="99"/>
      <c r="L38" s="99"/>
      <c r="M38" s="99"/>
      <c r="N38" s="99"/>
      <c r="O38" s="99"/>
      <c r="P38" s="99"/>
      <c r="Q38" s="99"/>
      <c r="R38" s="99"/>
      <c r="S38" s="99"/>
      <c r="T38" s="99"/>
      <c r="U38" s="99"/>
      <c r="V38" s="99"/>
    </row>
    <row r="39" customHeight="1" spans="1:22">
      <c r="A39" s="109"/>
      <c r="B39" s="99"/>
      <c r="C39" s="99"/>
      <c r="D39" s="99"/>
      <c r="E39" s="99"/>
      <c r="F39" s="99"/>
      <c r="G39" s="99"/>
      <c r="H39" s="99"/>
      <c r="I39" s="99"/>
      <c r="J39" s="99"/>
      <c r="K39" s="99"/>
      <c r="L39" s="99"/>
      <c r="M39" s="99"/>
      <c r="N39" s="99"/>
      <c r="O39" s="99"/>
      <c r="P39" s="99"/>
      <c r="Q39" s="99"/>
      <c r="R39" s="99"/>
      <c r="S39" s="99"/>
      <c r="T39" s="99"/>
      <c r="U39" s="99"/>
      <c r="V39" s="99"/>
    </row>
    <row r="40" customHeight="1" spans="1:22">
      <c r="A40" s="109"/>
      <c r="B40" s="99"/>
      <c r="C40" s="99"/>
      <c r="D40" s="99"/>
      <c r="E40" s="99"/>
      <c r="F40" s="99"/>
      <c r="G40" s="99"/>
      <c r="H40" s="99"/>
      <c r="I40" s="99"/>
      <c r="J40" s="99"/>
      <c r="K40" s="99"/>
      <c r="L40" s="99"/>
      <c r="M40" s="99"/>
      <c r="N40" s="99"/>
      <c r="O40" s="99"/>
      <c r="P40" s="99"/>
      <c r="Q40" s="99"/>
      <c r="R40" s="99"/>
      <c r="S40" s="99"/>
      <c r="T40" s="99"/>
      <c r="U40" s="99"/>
      <c r="V40" s="99"/>
    </row>
    <row r="41" customHeight="1" spans="1:22">
      <c r="A41" s="109"/>
      <c r="B41" s="99"/>
      <c r="C41" s="99"/>
      <c r="D41" s="99"/>
      <c r="E41" s="99"/>
      <c r="F41" s="99"/>
      <c r="G41" s="99"/>
      <c r="H41" s="99"/>
      <c r="I41" s="99"/>
      <c r="J41" s="99"/>
      <c r="K41" s="99"/>
      <c r="L41" s="99"/>
      <c r="M41" s="99"/>
      <c r="N41" s="99"/>
      <c r="O41" s="99"/>
      <c r="P41" s="99"/>
      <c r="Q41" s="99"/>
      <c r="R41" s="99"/>
      <c r="S41" s="99"/>
      <c r="T41" s="99"/>
      <c r="U41" s="99"/>
      <c r="V41" s="99"/>
    </row>
    <row r="42" customHeight="1" spans="1:22">
      <c r="A42" s="109"/>
      <c r="B42" s="99"/>
      <c r="C42" s="99"/>
      <c r="D42" s="99"/>
      <c r="E42" s="99"/>
      <c r="F42" s="99"/>
      <c r="G42" s="99"/>
      <c r="H42" s="99"/>
      <c r="I42" s="99"/>
      <c r="J42" s="99"/>
      <c r="K42" s="99"/>
      <c r="L42" s="99"/>
      <c r="M42" s="99"/>
      <c r="N42" s="99"/>
      <c r="O42" s="99"/>
      <c r="P42" s="99"/>
      <c r="Q42" s="99"/>
      <c r="R42" s="99"/>
      <c r="S42" s="99"/>
      <c r="T42" s="99"/>
      <c r="U42" s="99"/>
      <c r="V42" s="99"/>
    </row>
    <row r="43" customHeight="1" spans="1:22">
      <c r="A43" s="109"/>
      <c r="B43" s="99"/>
      <c r="C43" s="99"/>
      <c r="D43" s="99"/>
      <c r="E43" s="99"/>
      <c r="F43" s="99"/>
      <c r="G43" s="99"/>
      <c r="H43" s="99"/>
      <c r="I43" s="99"/>
      <c r="J43" s="99"/>
      <c r="K43" s="99"/>
      <c r="L43" s="99"/>
      <c r="M43" s="99"/>
      <c r="N43" s="99"/>
      <c r="O43" s="99"/>
      <c r="P43" s="99"/>
      <c r="Q43" s="99"/>
      <c r="R43" s="99"/>
      <c r="S43" s="99"/>
      <c r="T43" s="99"/>
      <c r="U43" s="99"/>
      <c r="V43" s="99"/>
    </row>
    <row r="44" customHeight="1" spans="1:22">
      <c r="A44" s="109"/>
      <c r="B44" s="99"/>
      <c r="C44" s="99"/>
      <c r="D44" s="99"/>
      <c r="E44" s="99"/>
      <c r="F44" s="99"/>
      <c r="G44" s="99"/>
      <c r="H44" s="99"/>
      <c r="I44" s="99"/>
      <c r="J44" s="99"/>
      <c r="K44" s="99"/>
      <c r="L44" s="99"/>
      <c r="M44" s="99"/>
      <c r="N44" s="99"/>
      <c r="O44" s="99"/>
      <c r="P44" s="99"/>
      <c r="Q44" s="99"/>
      <c r="R44" s="99"/>
      <c r="S44" s="99"/>
      <c r="T44" s="99"/>
      <c r="U44" s="99"/>
      <c r="V44" s="99"/>
    </row>
    <row r="45" customHeight="1" spans="1:22">
      <c r="A45" s="109"/>
      <c r="B45" s="99"/>
      <c r="C45" s="99"/>
      <c r="D45" s="99"/>
      <c r="E45" s="99"/>
      <c r="F45" s="99"/>
      <c r="G45" s="99"/>
      <c r="H45" s="99"/>
      <c r="I45" s="99"/>
      <c r="J45" s="99"/>
      <c r="K45" s="99"/>
      <c r="L45" s="99"/>
      <c r="M45" s="99"/>
      <c r="N45" s="99"/>
      <c r="O45" s="99"/>
      <c r="P45" s="99"/>
      <c r="Q45" s="99"/>
      <c r="R45" s="99"/>
      <c r="S45" s="99"/>
      <c r="T45" s="99"/>
      <c r="U45" s="99"/>
      <c r="V45" s="99"/>
    </row>
    <row r="46" customHeight="1" spans="1:22">
      <c r="A46" s="109"/>
      <c r="B46" s="99"/>
      <c r="C46" s="99"/>
      <c r="D46" s="99"/>
      <c r="E46" s="99"/>
      <c r="F46" s="99"/>
      <c r="G46" s="99"/>
      <c r="H46" s="99"/>
      <c r="I46" s="99"/>
      <c r="J46" s="99"/>
      <c r="K46" s="99"/>
      <c r="L46" s="99"/>
      <c r="M46" s="99"/>
      <c r="N46" s="99"/>
      <c r="O46" s="99"/>
      <c r="P46" s="99"/>
      <c r="Q46" s="99"/>
      <c r="R46" s="99"/>
      <c r="S46" s="99"/>
      <c r="T46" s="99"/>
      <c r="U46" s="99"/>
      <c r="V46" s="99"/>
    </row>
    <row r="47" customHeight="1" spans="1:22">
      <c r="A47" s="109"/>
      <c r="B47" s="99"/>
      <c r="C47" s="99"/>
      <c r="D47" s="99"/>
      <c r="E47" s="99"/>
      <c r="F47" s="99"/>
      <c r="G47" s="99"/>
      <c r="H47" s="99"/>
      <c r="I47" s="99"/>
      <c r="J47" s="99"/>
      <c r="K47" s="99"/>
      <c r="L47" s="99"/>
      <c r="M47" s="99"/>
      <c r="N47" s="99"/>
      <c r="O47" s="99"/>
      <c r="P47" s="99"/>
      <c r="Q47" s="99"/>
      <c r="R47" s="99"/>
      <c r="S47" s="99"/>
      <c r="T47" s="99"/>
      <c r="U47" s="99"/>
      <c r="V47" s="99"/>
    </row>
    <row r="48" customHeight="1" spans="1:22">
      <c r="A48" s="109"/>
      <c r="B48" s="99"/>
      <c r="C48" s="99"/>
      <c r="D48" s="99"/>
      <c r="E48" s="99"/>
      <c r="F48" s="99"/>
      <c r="G48" s="99"/>
      <c r="H48" s="99"/>
      <c r="I48" s="99"/>
      <c r="J48" s="99"/>
      <c r="K48" s="99"/>
      <c r="L48" s="99"/>
      <c r="M48" s="99"/>
      <c r="N48" s="99"/>
      <c r="O48" s="99"/>
      <c r="P48" s="99"/>
      <c r="Q48" s="99"/>
      <c r="R48" s="99"/>
      <c r="S48" s="99"/>
      <c r="T48" s="99"/>
      <c r="U48" s="99"/>
      <c r="V48" s="99"/>
    </row>
    <row r="49" customHeight="1" spans="1:22">
      <c r="A49" s="109"/>
      <c r="B49" s="99"/>
      <c r="C49" s="99"/>
      <c r="D49" s="99"/>
      <c r="E49" s="99"/>
      <c r="F49" s="99"/>
      <c r="G49" s="99"/>
      <c r="H49" s="99"/>
      <c r="I49" s="99"/>
      <c r="J49" s="99"/>
      <c r="K49" s="99"/>
      <c r="L49" s="99"/>
      <c r="M49" s="99"/>
      <c r="N49" s="99"/>
      <c r="O49" s="99"/>
      <c r="P49" s="99"/>
      <c r="Q49" s="99"/>
      <c r="R49" s="99"/>
      <c r="S49" s="99"/>
      <c r="T49" s="99"/>
      <c r="U49" s="99"/>
      <c r="V49" s="99"/>
    </row>
    <row r="50" customHeight="1" spans="1:22">
      <c r="A50" s="109"/>
      <c r="B50" s="99"/>
      <c r="C50" s="99"/>
      <c r="D50" s="99"/>
      <c r="E50" s="99"/>
      <c r="F50" s="99"/>
      <c r="G50" s="99"/>
      <c r="H50" s="99"/>
      <c r="I50" s="99"/>
      <c r="J50" s="99"/>
      <c r="K50" s="99"/>
      <c r="L50" s="99"/>
      <c r="M50" s="99"/>
      <c r="N50" s="99"/>
      <c r="O50" s="99"/>
      <c r="P50" s="99"/>
      <c r="Q50" s="99"/>
      <c r="R50" s="99"/>
      <c r="S50" s="99"/>
      <c r="T50" s="99"/>
      <c r="U50" s="99"/>
      <c r="V50" s="99"/>
    </row>
    <row r="51" customHeight="1" spans="1:22">
      <c r="A51" s="109"/>
      <c r="B51" s="99"/>
      <c r="C51" s="99"/>
      <c r="D51" s="99"/>
      <c r="E51" s="99"/>
      <c r="F51" s="99"/>
      <c r="G51" s="99"/>
      <c r="H51" s="99"/>
      <c r="I51" s="99"/>
      <c r="J51" s="99"/>
      <c r="K51" s="99"/>
      <c r="L51" s="99"/>
      <c r="M51" s="99"/>
      <c r="N51" s="99"/>
      <c r="O51" s="99"/>
      <c r="P51" s="99"/>
      <c r="Q51" s="99"/>
      <c r="R51" s="99"/>
      <c r="S51" s="99"/>
      <c r="T51" s="99"/>
      <c r="U51" s="99"/>
      <c r="V51" s="99"/>
    </row>
    <row r="52" customHeight="1" spans="1:22">
      <c r="A52" s="109"/>
      <c r="B52" s="99"/>
      <c r="C52" s="99"/>
      <c r="D52" s="99"/>
      <c r="E52" s="99"/>
      <c r="F52" s="99"/>
      <c r="G52" s="99"/>
      <c r="H52" s="99"/>
      <c r="I52" s="99"/>
      <c r="J52" s="99"/>
      <c r="K52" s="99"/>
      <c r="L52" s="99"/>
      <c r="M52" s="99"/>
      <c r="N52" s="99"/>
      <c r="O52" s="99"/>
      <c r="P52" s="99"/>
      <c r="Q52" s="99"/>
      <c r="R52" s="99"/>
      <c r="S52" s="99"/>
      <c r="T52" s="99"/>
      <c r="U52" s="99"/>
      <c r="V52" s="99"/>
    </row>
    <row r="53" customHeight="1" spans="1:22">
      <c r="A53" s="109"/>
      <c r="B53" s="99"/>
      <c r="C53" s="99"/>
      <c r="D53" s="99"/>
      <c r="E53" s="99"/>
      <c r="F53" s="99"/>
      <c r="G53" s="99"/>
      <c r="H53" s="99"/>
      <c r="I53" s="99"/>
      <c r="J53" s="99"/>
      <c r="K53" s="99"/>
      <c r="L53" s="99"/>
      <c r="M53" s="99"/>
      <c r="N53" s="99"/>
      <c r="O53" s="99"/>
      <c r="P53" s="99"/>
      <c r="Q53" s="99"/>
      <c r="R53" s="99"/>
      <c r="S53" s="99"/>
      <c r="T53" s="99"/>
      <c r="U53" s="99"/>
      <c r="V53" s="99"/>
    </row>
  </sheetData>
  <sheetProtection formatCells="0" formatColumns="0" formatRows="0" insertRows="0" insertColumns="0" insertHyperlinks="0" deleteColumns="0" deleteRows="0" sort="0" autoFilter="0" pivotTables="0"/>
  <mergeCells count="32">
    <mergeCell ref="B1:D1"/>
    <mergeCell ref="F1:H1"/>
    <mergeCell ref="B2:D2"/>
    <mergeCell ref="F2:H2"/>
    <mergeCell ref="B3:D3"/>
    <mergeCell ref="F3:H3"/>
    <mergeCell ref="B4:D4"/>
    <mergeCell ref="F4:H4"/>
    <mergeCell ref="B5:D5"/>
    <mergeCell ref="F5:H5"/>
    <mergeCell ref="B6:D6"/>
    <mergeCell ref="F6:H6"/>
    <mergeCell ref="B7:D7"/>
    <mergeCell ref="F7:H7"/>
    <mergeCell ref="B8:D8"/>
    <mergeCell ref="F8:H8"/>
    <mergeCell ref="B9:D9"/>
    <mergeCell ref="F9:H9"/>
    <mergeCell ref="B10:D10"/>
    <mergeCell ref="F10:H10"/>
    <mergeCell ref="B11:D11"/>
    <mergeCell ref="F11:H11"/>
    <mergeCell ref="B12:D12"/>
    <mergeCell ref="F12:H12"/>
    <mergeCell ref="B13:D13"/>
    <mergeCell ref="F13:H13"/>
    <mergeCell ref="B14:D14"/>
    <mergeCell ref="B15:D15"/>
    <mergeCell ref="B16:D16"/>
    <mergeCell ref="I1:O13"/>
    <mergeCell ref="E14:O16"/>
    <mergeCell ref="P15:V16"/>
  </mergeCells>
  <dataValidations count="4">
    <dataValidation type="list" allowBlank="1" showInputMessage="1" showErrorMessage="1" errorTitle="特惠渠道周六装柜，如果当周COSCO普船装完后还有位置，即可安排" error=" " sqref="B2:D2" errorStyle="information">
      <formula1>[1]渠道!#REF!</formula1>
    </dataValidation>
    <dataValidation type="list" allowBlank="1" showInputMessage="1" showErrorMessage="1" sqref="B3:D3">
      <formula1>[1]亚马逊地址库!#REF!</formula1>
    </dataValidation>
    <dataValidation type="list" allowBlank="1" showInputMessage="1" showErrorMessage="1" sqref="F6:H6">
      <formula1>"买单报关,报关退税"</formula1>
    </dataValidation>
    <dataValidation type="list" allowBlank="1" showInputMessage="1" showErrorMessage="1" sqref="F1:H5">
      <formula1>"否,是"</formula1>
    </dataValidation>
  </dataValidations>
  <pageMargins left="0.75" right="0.75" top="1" bottom="1" header="0.511805555555556" footer="0.511805555555556"/>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20">
    <tabColor rgb="FF00B050"/>
  </sheetPr>
  <dimension ref="A1:AX104"/>
  <sheetViews>
    <sheetView workbookViewId="0">
      <selection activeCell="A6" sqref="A6:M6"/>
    </sheetView>
  </sheetViews>
  <sheetFormatPr defaultColWidth="9" defaultRowHeight="13.5"/>
  <cols>
    <col min="1" max="13" width="9" style="2"/>
    <col min="14" max="14" width="18" style="40" customWidth="1"/>
    <col min="15" max="49" width="9" style="40"/>
    <col min="50" max="16384" width="9" style="2"/>
  </cols>
  <sheetData>
    <row r="1" ht="51" customHeight="1" spans="1:48">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row>
    <row r="2" ht="25.5" customHeight="1" spans="1:48">
      <c r="A2" s="42" t="s">
        <v>412</v>
      </c>
      <c r="B2" s="42"/>
      <c r="C2" s="42"/>
      <c r="D2" s="42"/>
      <c r="E2" s="42"/>
      <c r="F2" s="42"/>
      <c r="G2" s="42"/>
      <c r="H2" s="42"/>
      <c r="I2" s="42"/>
      <c r="J2" s="42"/>
      <c r="K2" s="42"/>
      <c r="L2" s="42"/>
      <c r="M2" s="42"/>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row>
    <row r="3" ht="30" customHeight="1" spans="1:48">
      <c r="A3" s="43" t="s">
        <v>413</v>
      </c>
      <c r="B3" s="44"/>
      <c r="C3" s="44"/>
      <c r="D3" s="44"/>
      <c r="E3" s="44"/>
      <c r="F3" s="44"/>
      <c r="G3" s="44"/>
      <c r="H3" s="44"/>
      <c r="I3" s="44"/>
      <c r="J3" s="44"/>
      <c r="K3" s="44"/>
      <c r="L3" s="44"/>
      <c r="M3" s="45"/>
      <c r="N3" s="46" t="s">
        <v>414</v>
      </c>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row>
    <row r="4" ht="33" customHeight="1" spans="1:48">
      <c r="A4" s="47" t="s">
        <v>415</v>
      </c>
      <c r="B4" s="47"/>
      <c r="C4" s="47"/>
      <c r="D4" s="47"/>
      <c r="E4" s="47"/>
      <c r="F4" s="47"/>
      <c r="G4" s="47"/>
      <c r="H4" s="47"/>
      <c r="I4" s="47"/>
      <c r="J4" s="47"/>
      <c r="K4" s="47"/>
      <c r="L4" s="47"/>
      <c r="M4" s="47"/>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row>
    <row r="5" ht="25.05" customHeight="1" spans="1:48">
      <c r="A5" s="47" t="s">
        <v>416</v>
      </c>
      <c r="B5" s="47"/>
      <c r="C5" s="47"/>
      <c r="D5" s="47"/>
      <c r="E5" s="47"/>
      <c r="F5" s="47"/>
      <c r="G5" s="47"/>
      <c r="H5" s="47"/>
      <c r="I5" s="47"/>
      <c r="J5" s="47"/>
      <c r="K5" s="47"/>
      <c r="L5" s="47"/>
      <c r="M5" s="47"/>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row>
    <row r="6" ht="25.05" customHeight="1" spans="1:48">
      <c r="A6" s="47" t="s">
        <v>417</v>
      </c>
      <c r="B6" s="47"/>
      <c r="C6" s="47"/>
      <c r="D6" s="47"/>
      <c r="E6" s="47"/>
      <c r="F6" s="47"/>
      <c r="G6" s="47"/>
      <c r="H6" s="47"/>
      <c r="I6" s="47"/>
      <c r="J6" s="47"/>
      <c r="K6" s="47"/>
      <c r="L6" s="47"/>
      <c r="M6" s="47"/>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row>
    <row r="7" ht="25.05" customHeight="1" spans="1:48">
      <c r="A7" s="47" t="s">
        <v>418</v>
      </c>
      <c r="B7" s="47"/>
      <c r="C7" s="47"/>
      <c r="D7" s="47"/>
      <c r="E7" s="47"/>
      <c r="F7" s="47"/>
      <c r="G7" s="47"/>
      <c r="H7" s="47"/>
      <c r="I7" s="47"/>
      <c r="J7" s="47"/>
      <c r="K7" s="47"/>
      <c r="L7" s="47"/>
      <c r="M7" s="47"/>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row>
    <row r="8" ht="25.05" customHeight="1" spans="1:48">
      <c r="A8" s="47" t="s">
        <v>419</v>
      </c>
      <c r="B8" s="47"/>
      <c r="C8" s="47"/>
      <c r="D8" s="47"/>
      <c r="E8" s="47"/>
      <c r="F8" s="47"/>
      <c r="G8" s="47"/>
      <c r="H8" s="47"/>
      <c r="I8" s="47"/>
      <c r="J8" s="47"/>
      <c r="K8" s="47"/>
      <c r="L8" s="47"/>
      <c r="M8" s="47"/>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row>
    <row r="9" ht="25.05" customHeight="1" spans="1:48">
      <c r="A9" s="47" t="s">
        <v>420</v>
      </c>
      <c r="B9" s="47"/>
      <c r="C9" s="47"/>
      <c r="D9" s="47"/>
      <c r="E9" s="47"/>
      <c r="F9" s="47"/>
      <c r="G9" s="47"/>
      <c r="H9" s="47"/>
      <c r="I9" s="47"/>
      <c r="J9" s="47"/>
      <c r="K9" s="47"/>
      <c r="L9" s="47"/>
      <c r="M9" s="47"/>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row>
    <row r="10" ht="25.05" customHeight="1" spans="1:48">
      <c r="A10" s="47" t="s">
        <v>421</v>
      </c>
      <c r="B10" s="47"/>
      <c r="C10" s="47"/>
      <c r="D10" s="47"/>
      <c r="E10" s="47"/>
      <c r="F10" s="47"/>
      <c r="G10" s="47"/>
      <c r="H10" s="47"/>
      <c r="I10" s="47"/>
      <c r="J10" s="47"/>
      <c r="K10" s="47"/>
      <c r="L10" s="47"/>
      <c r="M10" s="47"/>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row>
    <row r="11" ht="25.05" customHeight="1" spans="1:48">
      <c r="A11" s="47" t="s">
        <v>422</v>
      </c>
      <c r="B11" s="47"/>
      <c r="C11" s="47"/>
      <c r="D11" s="47"/>
      <c r="E11" s="47"/>
      <c r="F11" s="47"/>
      <c r="G11" s="47"/>
      <c r="H11" s="47"/>
      <c r="I11" s="47"/>
      <c r="J11" s="47"/>
      <c r="K11" s="47"/>
      <c r="L11" s="47"/>
      <c r="M11" s="47"/>
      <c r="N11" s="41"/>
      <c r="O11" s="41"/>
      <c r="P11" s="41"/>
      <c r="Q11" s="41"/>
      <c r="R11" s="41"/>
      <c r="S11" s="41"/>
      <c r="T11" s="41"/>
      <c r="U11" s="41"/>
      <c r="V11" s="41"/>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row>
    <row r="12" ht="25.05" customHeight="1" spans="1:48">
      <c r="A12" s="47" t="s">
        <v>423</v>
      </c>
      <c r="B12" s="47"/>
      <c r="C12" s="47"/>
      <c r="D12" s="47"/>
      <c r="E12" s="47"/>
      <c r="F12" s="47"/>
      <c r="G12" s="47"/>
      <c r="H12" s="47"/>
      <c r="I12" s="47"/>
      <c r="J12" s="47"/>
      <c r="K12" s="47"/>
      <c r="L12" s="47"/>
      <c r="M12" s="47"/>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row>
    <row r="13" ht="33" customHeight="1" spans="1:48">
      <c r="A13" s="47" t="s">
        <v>424</v>
      </c>
      <c r="B13" s="47"/>
      <c r="C13" s="47"/>
      <c r="D13" s="47"/>
      <c r="E13" s="47"/>
      <c r="F13" s="47"/>
      <c r="G13" s="47"/>
      <c r="H13" s="47"/>
      <c r="I13" s="47"/>
      <c r="J13" s="47"/>
      <c r="K13" s="47"/>
      <c r="L13" s="47"/>
      <c r="M13" s="47"/>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row>
    <row r="14" ht="25.05" customHeight="1" spans="1:48">
      <c r="A14" s="47" t="s">
        <v>425</v>
      </c>
      <c r="B14" s="47"/>
      <c r="C14" s="47"/>
      <c r="D14" s="47"/>
      <c r="E14" s="47"/>
      <c r="F14" s="47"/>
      <c r="G14" s="47"/>
      <c r="H14" s="47"/>
      <c r="I14" s="47"/>
      <c r="J14" s="47"/>
      <c r="K14" s="47"/>
      <c r="L14" s="47"/>
      <c r="M14" s="47"/>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row>
    <row r="15" ht="25.05" customHeight="1" spans="1:48">
      <c r="A15" s="47" t="s">
        <v>426</v>
      </c>
      <c r="B15" s="47"/>
      <c r="C15" s="47"/>
      <c r="D15" s="47"/>
      <c r="E15" s="47"/>
      <c r="F15" s="47"/>
      <c r="G15" s="47"/>
      <c r="H15" s="47"/>
      <c r="I15" s="47"/>
      <c r="J15" s="47"/>
      <c r="K15" s="47"/>
      <c r="L15" s="47"/>
      <c r="M15" s="47"/>
      <c r="N15" s="41"/>
      <c r="O15" s="41"/>
      <c r="P15" s="41"/>
      <c r="Q15" s="41"/>
      <c r="R15" s="41"/>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row>
    <row r="16" ht="25.05" customHeight="1" spans="1:48">
      <c r="A16" s="47" t="s">
        <v>427</v>
      </c>
      <c r="B16" s="47"/>
      <c r="C16" s="47"/>
      <c r="D16" s="47"/>
      <c r="E16" s="47"/>
      <c r="F16" s="47"/>
      <c r="G16" s="47"/>
      <c r="H16" s="47"/>
      <c r="I16" s="47"/>
      <c r="J16" s="47"/>
      <c r="K16" s="47"/>
      <c r="L16" s="47"/>
      <c r="M16" s="47"/>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row>
    <row r="17" ht="25.05" customHeight="1" spans="1:48">
      <c r="A17" s="47" t="s">
        <v>428</v>
      </c>
      <c r="B17" s="47"/>
      <c r="C17" s="47"/>
      <c r="D17" s="47"/>
      <c r="E17" s="47"/>
      <c r="F17" s="47"/>
      <c r="G17" s="47"/>
      <c r="H17" s="47"/>
      <c r="I17" s="47"/>
      <c r="J17" s="47"/>
      <c r="K17" s="47"/>
      <c r="L17" s="47"/>
      <c r="M17" s="47"/>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row>
    <row r="18" ht="25.05" customHeight="1" spans="1:48">
      <c r="A18" s="47" t="s">
        <v>429</v>
      </c>
      <c r="B18" s="47"/>
      <c r="C18" s="47"/>
      <c r="D18" s="47"/>
      <c r="E18" s="47"/>
      <c r="F18" s="47"/>
      <c r="G18" s="47"/>
      <c r="H18" s="47"/>
      <c r="I18" s="47"/>
      <c r="J18" s="47"/>
      <c r="K18" s="47"/>
      <c r="L18" s="47"/>
      <c r="M18" s="47"/>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row>
    <row r="19" ht="33" customHeight="1" spans="1:48">
      <c r="A19" s="47" t="s">
        <v>430</v>
      </c>
      <c r="B19" s="47"/>
      <c r="C19" s="47"/>
      <c r="D19" s="47"/>
      <c r="E19" s="47"/>
      <c r="F19" s="47"/>
      <c r="G19" s="47"/>
      <c r="H19" s="47"/>
      <c r="I19" s="47"/>
      <c r="J19" s="47"/>
      <c r="K19" s="47"/>
      <c r="L19" s="47"/>
      <c r="M19" s="47"/>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row>
    <row r="20" ht="33" customHeight="1" spans="1:48">
      <c r="A20" s="48" t="s">
        <v>431</v>
      </c>
      <c r="B20" s="48"/>
      <c r="C20" s="48"/>
      <c r="D20" s="48"/>
      <c r="E20" s="48"/>
      <c r="F20" s="48"/>
      <c r="G20" s="48"/>
      <c r="H20" s="48"/>
      <c r="I20" s="48"/>
      <c r="J20" s="48"/>
      <c r="K20" s="48"/>
      <c r="L20" s="48"/>
      <c r="M20" s="48"/>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row>
    <row r="21" ht="30" customHeight="1" spans="1:48">
      <c r="A21" s="49" t="s">
        <v>432</v>
      </c>
      <c r="B21" s="50"/>
      <c r="C21" s="50"/>
      <c r="D21" s="50"/>
      <c r="E21" s="50"/>
      <c r="F21" s="50"/>
      <c r="G21" s="50"/>
      <c r="H21" s="50"/>
      <c r="I21" s="50"/>
      <c r="J21" s="50"/>
      <c r="K21" s="50"/>
      <c r="L21" s="50"/>
      <c r="M21" s="51"/>
      <c r="N21" s="41"/>
      <c r="O21" s="41"/>
      <c r="P21" s="41"/>
      <c r="Q21" s="41"/>
      <c r="R21" s="41"/>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AU21" s="41"/>
      <c r="AV21" s="41"/>
    </row>
    <row r="22" ht="57" customHeight="1" spans="1:48">
      <c r="A22" s="52" t="s">
        <v>433</v>
      </c>
      <c r="B22" s="53"/>
      <c r="C22" s="54" t="s">
        <v>434</v>
      </c>
      <c r="D22" s="54"/>
      <c r="E22" s="54"/>
      <c r="F22" s="54"/>
      <c r="G22" s="54"/>
      <c r="H22" s="54"/>
      <c r="I22" s="54"/>
      <c r="J22" s="54"/>
      <c r="K22" s="54"/>
      <c r="L22" s="54"/>
      <c r="M22" s="55"/>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row>
    <row r="23" ht="27" customHeight="1" spans="1:48">
      <c r="A23" s="56" t="s">
        <v>435</v>
      </c>
      <c r="B23" s="57"/>
      <c r="C23" s="57" t="s">
        <v>436</v>
      </c>
      <c r="D23" s="57"/>
      <c r="E23" s="57"/>
      <c r="F23" s="57"/>
      <c r="G23" s="57"/>
      <c r="H23" s="57"/>
      <c r="I23" s="57"/>
      <c r="J23" s="57"/>
      <c r="K23" s="57"/>
      <c r="L23" s="57"/>
      <c r="M23" s="58"/>
      <c r="N23" s="41"/>
      <c r="O23" s="41"/>
      <c r="P23" s="41"/>
      <c r="Q23" s="41"/>
      <c r="R23" s="41"/>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row>
    <row r="24" ht="27" customHeight="1" spans="1:48">
      <c r="A24" s="56" t="s">
        <v>437</v>
      </c>
      <c r="B24" s="57"/>
      <c r="C24" s="57" t="s">
        <v>438</v>
      </c>
      <c r="D24" s="57"/>
      <c r="E24" s="57"/>
      <c r="F24" s="57"/>
      <c r="G24" s="57"/>
      <c r="H24" s="57"/>
      <c r="I24" s="57"/>
      <c r="J24" s="57"/>
      <c r="K24" s="57"/>
      <c r="L24" s="57"/>
      <c r="M24" s="58"/>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row>
    <row r="25" ht="27" customHeight="1" spans="1:48">
      <c r="A25" s="56" t="s">
        <v>439</v>
      </c>
      <c r="B25" s="57"/>
      <c r="C25" s="57" t="s">
        <v>440</v>
      </c>
      <c r="D25" s="57"/>
      <c r="E25" s="57"/>
      <c r="F25" s="57"/>
      <c r="G25" s="57"/>
      <c r="H25" s="57"/>
      <c r="I25" s="57"/>
      <c r="J25" s="57"/>
      <c r="K25" s="57"/>
      <c r="L25" s="57"/>
      <c r="M25" s="58"/>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row>
    <row r="26" ht="27" customHeight="1" spans="1:48">
      <c r="A26" s="56" t="s">
        <v>441</v>
      </c>
      <c r="B26" s="57"/>
      <c r="C26" s="57" t="s">
        <v>442</v>
      </c>
      <c r="D26" s="57"/>
      <c r="E26" s="57"/>
      <c r="F26" s="57"/>
      <c r="G26" s="57"/>
      <c r="H26" s="57"/>
      <c r="I26" s="57"/>
      <c r="J26" s="57"/>
      <c r="K26" s="57"/>
      <c r="L26" s="57"/>
      <c r="M26" s="58"/>
      <c r="N26" s="41"/>
      <c r="O26" s="41"/>
      <c r="P26" s="41"/>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row>
    <row r="27" ht="27" customHeight="1" spans="1:48">
      <c r="A27" s="56" t="s">
        <v>443</v>
      </c>
      <c r="B27" s="57"/>
      <c r="C27" s="57" t="s">
        <v>444</v>
      </c>
      <c r="D27" s="57"/>
      <c r="E27" s="57"/>
      <c r="F27" s="57"/>
      <c r="G27" s="57"/>
      <c r="H27" s="57"/>
      <c r="I27" s="57"/>
      <c r="J27" s="57"/>
      <c r="K27" s="57"/>
      <c r="L27" s="57"/>
      <c r="M27" s="58"/>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row>
    <row r="28" ht="27" customHeight="1" spans="1:48">
      <c r="A28" s="56" t="s">
        <v>445</v>
      </c>
      <c r="B28" s="57"/>
      <c r="C28" s="57" t="s">
        <v>446</v>
      </c>
      <c r="D28" s="57"/>
      <c r="E28" s="57"/>
      <c r="F28" s="57"/>
      <c r="G28" s="57"/>
      <c r="H28" s="57"/>
      <c r="I28" s="57"/>
      <c r="J28" s="57"/>
      <c r="K28" s="57"/>
      <c r="L28" s="57"/>
      <c r="M28" s="58"/>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row>
    <row r="29" ht="27" customHeight="1" spans="1:48">
      <c r="A29" s="56" t="s">
        <v>447</v>
      </c>
      <c r="B29" s="57"/>
      <c r="C29" s="57" t="s">
        <v>448</v>
      </c>
      <c r="D29" s="57"/>
      <c r="E29" s="57"/>
      <c r="F29" s="57"/>
      <c r="G29" s="57"/>
      <c r="H29" s="57"/>
      <c r="I29" s="57"/>
      <c r="J29" s="57"/>
      <c r="K29" s="57"/>
      <c r="L29" s="57"/>
      <c r="M29" s="58"/>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row>
    <row r="30" ht="27" customHeight="1" spans="1:48">
      <c r="A30" s="56" t="s">
        <v>449</v>
      </c>
      <c r="B30" s="57"/>
      <c r="C30" s="57" t="s">
        <v>450</v>
      </c>
      <c r="D30" s="57"/>
      <c r="E30" s="57"/>
      <c r="F30" s="57"/>
      <c r="G30" s="57"/>
      <c r="H30" s="57"/>
      <c r="I30" s="57"/>
      <c r="J30" s="57"/>
      <c r="K30" s="57"/>
      <c r="L30" s="57"/>
      <c r="M30" s="58"/>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row>
    <row r="31" ht="27" customHeight="1" spans="1:48">
      <c r="A31" s="56" t="s">
        <v>451</v>
      </c>
      <c r="B31" s="57"/>
      <c r="C31" s="57" t="s">
        <v>452</v>
      </c>
      <c r="D31" s="57"/>
      <c r="E31" s="57"/>
      <c r="F31" s="57"/>
      <c r="G31" s="57"/>
      <c r="H31" s="57"/>
      <c r="I31" s="57"/>
      <c r="J31" s="57"/>
      <c r="K31" s="57"/>
      <c r="L31" s="57"/>
      <c r="M31" s="58"/>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row>
    <row r="32" ht="27" customHeight="1" spans="1:48">
      <c r="A32" s="56" t="s">
        <v>453</v>
      </c>
      <c r="B32" s="57"/>
      <c r="C32" s="57" t="s">
        <v>454</v>
      </c>
      <c r="D32" s="57"/>
      <c r="E32" s="57"/>
      <c r="F32" s="57"/>
      <c r="G32" s="57"/>
      <c r="H32" s="57"/>
      <c r="I32" s="57"/>
      <c r="J32" s="57"/>
      <c r="K32" s="57"/>
      <c r="L32" s="57"/>
      <c r="M32" s="58"/>
      <c r="N32" s="41"/>
      <c r="O32" s="41"/>
      <c r="P32" s="41"/>
      <c r="Q32" s="41"/>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row>
    <row r="33" ht="27" customHeight="1" spans="1:50">
      <c r="A33" s="56" t="s">
        <v>455</v>
      </c>
      <c r="B33" s="57"/>
      <c r="C33" s="57" t="s">
        <v>456</v>
      </c>
      <c r="D33" s="57"/>
      <c r="E33" s="57"/>
      <c r="F33" s="57"/>
      <c r="G33" s="57"/>
      <c r="H33" s="57"/>
      <c r="I33" s="57"/>
      <c r="J33" s="57"/>
      <c r="K33" s="57"/>
      <c r="L33" s="57"/>
      <c r="M33" s="58"/>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row>
    <row r="34" ht="27" customHeight="1" spans="1:50">
      <c r="A34" s="59" t="s">
        <v>457</v>
      </c>
      <c r="B34" s="60"/>
      <c r="C34" s="60" t="s">
        <v>458</v>
      </c>
      <c r="D34" s="60"/>
      <c r="E34" s="60"/>
      <c r="F34" s="60"/>
      <c r="G34" s="60"/>
      <c r="H34" s="60"/>
      <c r="I34" s="60"/>
      <c r="J34" s="60"/>
      <c r="K34" s="60"/>
      <c r="L34" s="60"/>
      <c r="M34" s="6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row>
    <row r="35" ht="27" customHeight="1" spans="1:50">
      <c r="A35" s="59" t="s">
        <v>459</v>
      </c>
      <c r="B35" s="60"/>
      <c r="C35" s="60" t="s">
        <v>460</v>
      </c>
      <c r="D35" s="60"/>
      <c r="E35" s="60"/>
      <c r="F35" s="60"/>
      <c r="G35" s="60"/>
      <c r="H35" s="60"/>
      <c r="I35" s="60"/>
      <c r="J35" s="60"/>
      <c r="K35" s="60"/>
      <c r="L35" s="60"/>
      <c r="M35" s="6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row>
    <row r="36" ht="27" customHeight="1" spans="1:50">
      <c r="A36" s="59" t="s">
        <v>461</v>
      </c>
      <c r="B36" s="60"/>
      <c r="C36" s="60" t="s">
        <v>462</v>
      </c>
      <c r="D36" s="60"/>
      <c r="E36" s="60"/>
      <c r="F36" s="60"/>
      <c r="G36" s="60"/>
      <c r="H36" s="60"/>
      <c r="I36" s="60"/>
      <c r="J36" s="60"/>
      <c r="K36" s="60"/>
      <c r="L36" s="60"/>
      <c r="M36" s="6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row>
    <row r="37" spans="1:50">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row>
    <row r="38" spans="1:50">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row>
    <row r="39" spans="1:50">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row>
    <row r="40" spans="1:50">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row>
    <row r="41" spans="1:50">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row>
    <row r="42" spans="1:50">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row>
    <row r="43" spans="1:50">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row>
    <row r="44" spans="1:50">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row>
    <row r="45" spans="1:50">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V45" s="41"/>
      <c r="AW45" s="41"/>
      <c r="AX45" s="41"/>
    </row>
    <row r="46" spans="1:50">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row>
    <row r="47" spans="1:50">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c r="AU47" s="41"/>
      <c r="AV47" s="41"/>
      <c r="AW47" s="41"/>
      <c r="AX47" s="41"/>
    </row>
    <row r="48" spans="1:50">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1"/>
      <c r="AX48" s="41"/>
    </row>
    <row r="49" spans="1:50">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1"/>
      <c r="AS49" s="41"/>
      <c r="AT49" s="41"/>
      <c r="AU49" s="41"/>
      <c r="AV49" s="41"/>
      <c r="AW49" s="41"/>
      <c r="AX49" s="41"/>
    </row>
    <row r="50" spans="1:50">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41"/>
      <c r="AW50" s="41"/>
      <c r="AX50" s="41"/>
    </row>
    <row r="51" spans="1:50">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41"/>
      <c r="AU51" s="41"/>
      <c r="AV51" s="41"/>
      <c r="AW51" s="41"/>
      <c r="AX51" s="41"/>
    </row>
    <row r="52" spans="1:50">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41"/>
      <c r="AW52" s="41"/>
      <c r="AX52" s="41"/>
    </row>
    <row r="53" spans="1:50">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41"/>
      <c r="AQ53" s="41"/>
      <c r="AR53" s="41"/>
      <c r="AS53" s="41"/>
      <c r="AT53" s="41"/>
      <c r="AU53" s="41"/>
      <c r="AV53" s="41"/>
      <c r="AW53" s="41"/>
      <c r="AX53" s="41"/>
    </row>
    <row r="54" spans="1:50">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1"/>
      <c r="AS54" s="41"/>
      <c r="AT54" s="41"/>
      <c r="AU54" s="41"/>
      <c r="AV54" s="41"/>
      <c r="AW54" s="41"/>
      <c r="AX54" s="41"/>
    </row>
    <row r="55" spans="1:50">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41"/>
      <c r="AW55" s="41"/>
      <c r="AX55" s="41"/>
    </row>
    <row r="56" spans="1:50">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c r="AR56" s="41"/>
      <c r="AS56" s="41"/>
      <c r="AT56" s="41"/>
      <c r="AU56" s="41"/>
      <c r="AV56" s="41"/>
      <c r="AW56" s="41"/>
      <c r="AX56" s="41"/>
    </row>
    <row r="57" spans="1:50">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1"/>
      <c r="AG57" s="41"/>
      <c r="AH57" s="41"/>
      <c r="AI57" s="41"/>
      <c r="AJ57" s="41"/>
      <c r="AK57" s="41"/>
      <c r="AL57" s="41"/>
      <c r="AM57" s="41"/>
      <c r="AN57" s="41"/>
      <c r="AO57" s="41"/>
      <c r="AP57" s="41"/>
      <c r="AQ57" s="41"/>
      <c r="AR57" s="41"/>
      <c r="AS57" s="41"/>
      <c r="AT57" s="41"/>
      <c r="AU57" s="41"/>
      <c r="AV57" s="41"/>
      <c r="AW57" s="41"/>
      <c r="AX57" s="41"/>
    </row>
    <row r="58" spans="1:50">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1"/>
      <c r="AG58" s="41"/>
      <c r="AH58" s="41"/>
      <c r="AI58" s="41"/>
      <c r="AJ58" s="41"/>
      <c r="AK58" s="41"/>
      <c r="AL58" s="41"/>
      <c r="AM58" s="41"/>
      <c r="AN58" s="41"/>
      <c r="AO58" s="41"/>
      <c r="AP58" s="41"/>
      <c r="AQ58" s="41"/>
      <c r="AR58" s="41"/>
      <c r="AS58" s="41"/>
      <c r="AT58" s="41"/>
      <c r="AU58" s="41"/>
      <c r="AV58" s="41"/>
      <c r="AW58" s="41"/>
      <c r="AX58" s="41"/>
    </row>
    <row r="59" spans="1:50">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c r="AR59" s="41"/>
      <c r="AS59" s="41"/>
      <c r="AT59" s="41"/>
      <c r="AU59" s="41"/>
      <c r="AV59" s="41"/>
      <c r="AW59" s="41"/>
      <c r="AX59" s="41"/>
    </row>
    <row r="60" spans="1:50">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c r="AM60" s="41"/>
      <c r="AN60" s="41"/>
      <c r="AO60" s="41"/>
      <c r="AP60" s="41"/>
      <c r="AQ60" s="41"/>
      <c r="AR60" s="41"/>
      <c r="AS60" s="41"/>
      <c r="AT60" s="41"/>
      <c r="AU60" s="41"/>
      <c r="AV60" s="41"/>
      <c r="AW60" s="41"/>
      <c r="AX60" s="41"/>
    </row>
    <row r="61" spans="1:50">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1"/>
      <c r="AS61" s="41"/>
      <c r="AT61" s="41"/>
      <c r="AU61" s="41"/>
      <c r="AV61" s="41"/>
      <c r="AW61" s="41"/>
      <c r="AX61" s="41"/>
    </row>
    <row r="62" spans="1:50">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c r="AR62" s="41"/>
      <c r="AS62" s="41"/>
      <c r="AT62" s="41"/>
      <c r="AU62" s="41"/>
      <c r="AV62" s="41"/>
      <c r="AW62" s="41"/>
      <c r="AX62" s="41"/>
    </row>
    <row r="63" spans="1:50">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c r="AE63" s="41"/>
      <c r="AF63" s="41"/>
      <c r="AG63" s="41"/>
      <c r="AH63" s="41"/>
      <c r="AI63" s="41"/>
      <c r="AJ63" s="41"/>
      <c r="AK63" s="41"/>
      <c r="AL63" s="41"/>
      <c r="AM63" s="41"/>
      <c r="AN63" s="41"/>
      <c r="AO63" s="41"/>
      <c r="AP63" s="41"/>
      <c r="AQ63" s="41"/>
      <c r="AR63" s="41"/>
      <c r="AS63" s="41"/>
      <c r="AT63" s="41"/>
      <c r="AU63" s="41"/>
      <c r="AV63" s="41"/>
      <c r="AW63" s="41"/>
      <c r="AX63" s="41"/>
    </row>
    <row r="64" spans="1:50">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1"/>
      <c r="AS64" s="41"/>
      <c r="AT64" s="41"/>
      <c r="AU64" s="41"/>
      <c r="AV64" s="41"/>
      <c r="AW64" s="41"/>
      <c r="AX64" s="41"/>
    </row>
    <row r="65" spans="1:50">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41"/>
      <c r="AU65" s="41"/>
      <c r="AV65" s="41"/>
      <c r="AW65" s="41"/>
      <c r="AX65" s="41"/>
    </row>
    <row r="66" spans="1:50">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c r="AE66" s="41"/>
      <c r="AF66" s="41"/>
      <c r="AG66" s="41"/>
      <c r="AH66" s="41"/>
      <c r="AI66" s="41"/>
      <c r="AJ66" s="41"/>
      <c r="AK66" s="41"/>
      <c r="AL66" s="41"/>
      <c r="AM66" s="41"/>
      <c r="AN66" s="41"/>
      <c r="AO66" s="41"/>
      <c r="AP66" s="41"/>
      <c r="AQ66" s="41"/>
      <c r="AR66" s="41"/>
      <c r="AS66" s="41"/>
      <c r="AT66" s="41"/>
      <c r="AU66" s="41"/>
      <c r="AV66" s="41"/>
      <c r="AW66" s="41"/>
      <c r="AX66" s="41"/>
    </row>
    <row r="67" spans="1:50">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c r="AR67" s="41"/>
      <c r="AS67" s="41"/>
      <c r="AT67" s="41"/>
      <c r="AU67" s="41"/>
      <c r="AV67" s="41"/>
      <c r="AW67" s="41"/>
      <c r="AX67" s="41"/>
    </row>
    <row r="68" spans="1:50">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1"/>
      <c r="AS68" s="41"/>
      <c r="AT68" s="41"/>
      <c r="AU68" s="41"/>
      <c r="AV68" s="41"/>
      <c r="AW68" s="41"/>
      <c r="AX68" s="41"/>
    </row>
    <row r="69" spans="1:50">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1"/>
      <c r="AS69" s="41"/>
      <c r="AT69" s="41"/>
      <c r="AU69" s="41"/>
      <c r="AV69" s="41"/>
      <c r="AW69" s="41"/>
      <c r="AX69" s="41"/>
    </row>
    <row r="70" spans="1:50">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c r="AA70" s="41"/>
      <c r="AB70" s="41"/>
      <c r="AC70" s="41"/>
      <c r="AD70" s="41"/>
      <c r="AE70" s="41"/>
      <c r="AF70" s="41"/>
      <c r="AG70" s="41"/>
      <c r="AH70" s="41"/>
      <c r="AI70" s="41"/>
      <c r="AJ70" s="41"/>
      <c r="AK70" s="41"/>
      <c r="AL70" s="41"/>
      <c r="AM70" s="41"/>
      <c r="AN70" s="41"/>
      <c r="AO70" s="41"/>
      <c r="AP70" s="41"/>
      <c r="AQ70" s="41"/>
      <c r="AR70" s="41"/>
      <c r="AS70" s="41"/>
      <c r="AT70" s="41"/>
      <c r="AU70" s="41"/>
      <c r="AV70" s="41"/>
      <c r="AW70" s="41"/>
      <c r="AX70" s="41"/>
    </row>
    <row r="71" spans="1:50">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1"/>
      <c r="AS71" s="41"/>
      <c r="AT71" s="41"/>
      <c r="AU71" s="41"/>
      <c r="AV71" s="41"/>
      <c r="AW71" s="41"/>
      <c r="AX71" s="41"/>
    </row>
    <row r="72" spans="1:50">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c r="AA72" s="41"/>
      <c r="AB72" s="41"/>
      <c r="AC72" s="41"/>
      <c r="AD72" s="41"/>
      <c r="AE72" s="41"/>
      <c r="AF72" s="41"/>
      <c r="AG72" s="41"/>
      <c r="AH72" s="41"/>
      <c r="AI72" s="41"/>
      <c r="AJ72" s="41"/>
      <c r="AK72" s="41"/>
      <c r="AL72" s="41"/>
      <c r="AM72" s="41"/>
      <c r="AN72" s="41"/>
      <c r="AO72" s="41"/>
      <c r="AP72" s="41"/>
      <c r="AQ72" s="41"/>
      <c r="AR72" s="41"/>
      <c r="AS72" s="41"/>
      <c r="AT72" s="41"/>
      <c r="AU72" s="41"/>
      <c r="AV72" s="41"/>
      <c r="AW72" s="41"/>
      <c r="AX72" s="41"/>
    </row>
    <row r="73" spans="1:50">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c r="AA73" s="41"/>
      <c r="AB73" s="41"/>
      <c r="AC73" s="41"/>
      <c r="AD73" s="41"/>
      <c r="AE73" s="41"/>
      <c r="AF73" s="41"/>
      <c r="AG73" s="41"/>
      <c r="AH73" s="41"/>
      <c r="AI73" s="41"/>
      <c r="AJ73" s="41"/>
      <c r="AK73" s="41"/>
      <c r="AL73" s="41"/>
      <c r="AM73" s="41"/>
      <c r="AN73" s="41"/>
      <c r="AO73" s="41"/>
      <c r="AP73" s="41"/>
      <c r="AQ73" s="41"/>
      <c r="AR73" s="41"/>
      <c r="AS73" s="41"/>
      <c r="AT73" s="41"/>
      <c r="AU73" s="41"/>
      <c r="AV73" s="41"/>
      <c r="AW73" s="41"/>
      <c r="AX73" s="41"/>
    </row>
    <row r="74" spans="1:50">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row>
    <row r="75" spans="1:50">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1"/>
      <c r="AS75" s="41"/>
      <c r="AT75" s="41"/>
      <c r="AU75" s="41"/>
      <c r="AV75" s="41"/>
      <c r="AW75" s="41"/>
      <c r="AX75" s="41"/>
    </row>
    <row r="76" spans="1:50">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c r="AF76" s="41"/>
      <c r="AG76" s="41"/>
      <c r="AH76" s="41"/>
      <c r="AI76" s="41"/>
      <c r="AJ76" s="41"/>
      <c r="AK76" s="41"/>
      <c r="AL76" s="41"/>
      <c r="AM76" s="41"/>
      <c r="AN76" s="41"/>
      <c r="AO76" s="41"/>
      <c r="AP76" s="41"/>
      <c r="AQ76" s="41"/>
      <c r="AR76" s="41"/>
      <c r="AS76" s="41"/>
      <c r="AT76" s="41"/>
      <c r="AU76" s="41"/>
      <c r="AV76" s="41"/>
      <c r="AW76" s="41"/>
      <c r="AX76" s="41"/>
    </row>
    <row r="77" spans="1:50">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c r="AA77" s="41"/>
      <c r="AB77" s="41"/>
      <c r="AC77" s="41"/>
      <c r="AD77" s="41"/>
      <c r="AE77" s="41"/>
      <c r="AF77" s="41"/>
      <c r="AG77" s="41"/>
      <c r="AH77" s="41"/>
      <c r="AI77" s="41"/>
      <c r="AJ77" s="41"/>
      <c r="AK77" s="41"/>
      <c r="AL77" s="41"/>
      <c r="AM77" s="41"/>
      <c r="AN77" s="41"/>
      <c r="AO77" s="41"/>
      <c r="AP77" s="41"/>
      <c r="AQ77" s="41"/>
      <c r="AR77" s="41"/>
      <c r="AS77" s="41"/>
      <c r="AT77" s="41"/>
      <c r="AU77" s="41"/>
      <c r="AV77" s="41"/>
      <c r="AW77" s="41"/>
      <c r="AX77" s="41"/>
    </row>
    <row r="78" spans="1:50">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c r="AP78" s="41"/>
      <c r="AQ78" s="41"/>
      <c r="AR78" s="41"/>
      <c r="AS78" s="41"/>
      <c r="AT78" s="41"/>
      <c r="AU78" s="41"/>
      <c r="AV78" s="41"/>
      <c r="AW78" s="41"/>
      <c r="AX78" s="41"/>
    </row>
    <row r="79" spans="1:50">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c r="AI79" s="41"/>
      <c r="AJ79" s="41"/>
      <c r="AK79" s="41"/>
      <c r="AL79" s="41"/>
      <c r="AM79" s="41"/>
      <c r="AN79" s="41"/>
      <c r="AO79" s="41"/>
      <c r="AP79" s="41"/>
      <c r="AQ79" s="41"/>
      <c r="AR79" s="41"/>
      <c r="AS79" s="41"/>
      <c r="AT79" s="41"/>
      <c r="AU79" s="41"/>
      <c r="AV79" s="41"/>
      <c r="AW79" s="41"/>
      <c r="AX79" s="41"/>
    </row>
    <row r="80" spans="1:50">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1"/>
      <c r="AK80" s="41"/>
      <c r="AL80" s="41"/>
      <c r="AM80" s="41"/>
      <c r="AN80" s="41"/>
      <c r="AO80" s="41"/>
      <c r="AP80" s="41"/>
      <c r="AQ80" s="41"/>
      <c r="AR80" s="41"/>
      <c r="AS80" s="41"/>
      <c r="AT80" s="41"/>
      <c r="AU80" s="41"/>
      <c r="AV80" s="41"/>
      <c r="AW80" s="41"/>
      <c r="AX80" s="41"/>
    </row>
    <row r="81" spans="1:50">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c r="AA81" s="41"/>
      <c r="AB81" s="41"/>
      <c r="AC81" s="41"/>
      <c r="AD81" s="41"/>
      <c r="AE81" s="41"/>
      <c r="AF81" s="41"/>
      <c r="AG81" s="41"/>
      <c r="AH81" s="41"/>
      <c r="AI81" s="41"/>
      <c r="AJ81" s="41"/>
      <c r="AK81" s="41"/>
      <c r="AL81" s="41"/>
      <c r="AM81" s="41"/>
      <c r="AN81" s="41"/>
      <c r="AO81" s="41"/>
      <c r="AP81" s="41"/>
      <c r="AQ81" s="41"/>
      <c r="AR81" s="41"/>
      <c r="AS81" s="41"/>
      <c r="AT81" s="41"/>
      <c r="AU81" s="41"/>
      <c r="AV81" s="41"/>
      <c r="AW81" s="41"/>
      <c r="AX81" s="41"/>
    </row>
    <row r="82" spans="1:50">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c r="AA82" s="41"/>
      <c r="AB82" s="41"/>
      <c r="AC82" s="41"/>
      <c r="AD82" s="41"/>
      <c r="AE82" s="41"/>
      <c r="AF82" s="41"/>
      <c r="AG82" s="41"/>
      <c r="AH82" s="41"/>
      <c r="AI82" s="41"/>
      <c r="AJ82" s="41"/>
      <c r="AK82" s="41"/>
      <c r="AL82" s="41"/>
      <c r="AM82" s="41"/>
      <c r="AN82" s="41"/>
      <c r="AO82" s="41"/>
      <c r="AP82" s="41"/>
      <c r="AQ82" s="41"/>
      <c r="AR82" s="41"/>
      <c r="AS82" s="41"/>
      <c r="AT82" s="41"/>
      <c r="AU82" s="41"/>
      <c r="AV82" s="41"/>
      <c r="AW82" s="41"/>
      <c r="AX82" s="41"/>
    </row>
    <row r="83" spans="1:50">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c r="AA83" s="41"/>
      <c r="AB83" s="41"/>
      <c r="AC83" s="41"/>
      <c r="AD83" s="41"/>
      <c r="AE83" s="41"/>
      <c r="AF83" s="41"/>
      <c r="AG83" s="41"/>
      <c r="AH83" s="41"/>
      <c r="AI83" s="41"/>
      <c r="AJ83" s="41"/>
      <c r="AK83" s="41"/>
      <c r="AL83" s="41"/>
      <c r="AM83" s="41"/>
      <c r="AN83" s="41"/>
      <c r="AO83" s="41"/>
      <c r="AP83" s="41"/>
      <c r="AQ83" s="41"/>
      <c r="AR83" s="41"/>
      <c r="AS83" s="41"/>
      <c r="AT83" s="41"/>
      <c r="AU83" s="41"/>
      <c r="AV83" s="41"/>
      <c r="AW83" s="41"/>
      <c r="AX83" s="41"/>
    </row>
    <row r="84" spans="1:50">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c r="AA84" s="41"/>
      <c r="AB84" s="41"/>
      <c r="AC84" s="41"/>
      <c r="AD84" s="41"/>
      <c r="AE84" s="41"/>
      <c r="AF84" s="41"/>
      <c r="AG84" s="41"/>
      <c r="AH84" s="41"/>
      <c r="AI84" s="41"/>
      <c r="AJ84" s="41"/>
      <c r="AK84" s="41"/>
      <c r="AL84" s="41"/>
      <c r="AM84" s="41"/>
      <c r="AN84" s="41"/>
      <c r="AO84" s="41"/>
      <c r="AP84" s="41"/>
      <c r="AQ84" s="41"/>
      <c r="AR84" s="41"/>
      <c r="AS84" s="41"/>
      <c r="AT84" s="41"/>
      <c r="AU84" s="41"/>
      <c r="AV84" s="41"/>
      <c r="AW84" s="41"/>
      <c r="AX84" s="41"/>
    </row>
    <row r="85" spans="1:50">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c r="AA85" s="41"/>
      <c r="AB85" s="41"/>
      <c r="AC85" s="41"/>
      <c r="AD85" s="41"/>
      <c r="AE85" s="41"/>
      <c r="AF85" s="41"/>
      <c r="AG85" s="41"/>
      <c r="AH85" s="41"/>
      <c r="AI85" s="41"/>
      <c r="AJ85" s="41"/>
      <c r="AK85" s="41"/>
      <c r="AL85" s="41"/>
      <c r="AM85" s="41"/>
      <c r="AN85" s="41"/>
      <c r="AO85" s="41"/>
      <c r="AP85" s="41"/>
      <c r="AQ85" s="41"/>
      <c r="AR85" s="41"/>
      <c r="AS85" s="41"/>
      <c r="AT85" s="41"/>
      <c r="AU85" s="41"/>
      <c r="AV85" s="41"/>
      <c r="AW85" s="41"/>
      <c r="AX85" s="41"/>
    </row>
    <row r="86" spans="1:50">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c r="AA86" s="41"/>
      <c r="AB86" s="41"/>
      <c r="AC86" s="41"/>
      <c r="AD86" s="41"/>
      <c r="AE86" s="41"/>
      <c r="AF86" s="41"/>
      <c r="AG86" s="41"/>
      <c r="AH86" s="41"/>
      <c r="AI86" s="41"/>
      <c r="AJ86" s="41"/>
      <c r="AK86" s="41"/>
      <c r="AL86" s="41"/>
      <c r="AM86" s="41"/>
      <c r="AN86" s="41"/>
      <c r="AO86" s="41"/>
      <c r="AP86" s="41"/>
      <c r="AQ86" s="41"/>
      <c r="AR86" s="41"/>
      <c r="AS86" s="41"/>
      <c r="AT86" s="41"/>
      <c r="AU86" s="41"/>
      <c r="AV86" s="41"/>
      <c r="AW86" s="41"/>
      <c r="AX86" s="41"/>
    </row>
    <row r="87" spans="1:50">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c r="AA87" s="41"/>
      <c r="AB87" s="41"/>
      <c r="AC87" s="41"/>
      <c r="AD87" s="41"/>
      <c r="AE87" s="41"/>
      <c r="AF87" s="41"/>
      <c r="AG87" s="41"/>
      <c r="AH87" s="41"/>
      <c r="AI87" s="41"/>
      <c r="AJ87" s="41"/>
      <c r="AK87" s="41"/>
      <c r="AL87" s="41"/>
      <c r="AM87" s="41"/>
      <c r="AN87" s="41"/>
      <c r="AO87" s="41"/>
      <c r="AP87" s="41"/>
      <c r="AQ87" s="41"/>
      <c r="AR87" s="41"/>
      <c r="AS87" s="41"/>
      <c r="AT87" s="41"/>
      <c r="AU87" s="41"/>
      <c r="AV87" s="41"/>
      <c r="AW87" s="41"/>
      <c r="AX87" s="41"/>
    </row>
    <row r="88" spans="1:50">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c r="AG88" s="41"/>
      <c r="AH88" s="41"/>
      <c r="AI88" s="41"/>
      <c r="AJ88" s="41"/>
      <c r="AK88" s="41"/>
      <c r="AL88" s="41"/>
      <c r="AM88" s="41"/>
      <c r="AN88" s="41"/>
      <c r="AO88" s="41"/>
      <c r="AP88" s="41"/>
      <c r="AQ88" s="41"/>
      <c r="AR88" s="41"/>
      <c r="AS88" s="41"/>
      <c r="AT88" s="41"/>
      <c r="AU88" s="41"/>
      <c r="AV88" s="41"/>
      <c r="AW88" s="41"/>
      <c r="AX88" s="41"/>
    </row>
    <row r="89" spans="1:50">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c r="AA89" s="41"/>
      <c r="AB89" s="41"/>
      <c r="AC89" s="41"/>
      <c r="AD89" s="41"/>
      <c r="AE89" s="41"/>
      <c r="AF89" s="41"/>
      <c r="AG89" s="41"/>
      <c r="AH89" s="41"/>
      <c r="AI89" s="41"/>
      <c r="AJ89" s="41"/>
      <c r="AK89" s="41"/>
      <c r="AL89" s="41"/>
      <c r="AM89" s="41"/>
      <c r="AN89" s="41"/>
      <c r="AO89" s="41"/>
      <c r="AP89" s="41"/>
      <c r="AQ89" s="41"/>
      <c r="AR89" s="41"/>
      <c r="AS89" s="41"/>
      <c r="AT89" s="41"/>
      <c r="AU89" s="41"/>
      <c r="AV89" s="41"/>
      <c r="AW89" s="41"/>
      <c r="AX89" s="41"/>
    </row>
    <row r="90" spans="1:50">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c r="AA90" s="41"/>
      <c r="AB90" s="41"/>
      <c r="AC90" s="41"/>
      <c r="AD90" s="41"/>
      <c r="AE90" s="41"/>
      <c r="AF90" s="41"/>
      <c r="AG90" s="41"/>
      <c r="AH90" s="41"/>
      <c r="AI90" s="41"/>
      <c r="AJ90" s="41"/>
      <c r="AK90" s="41"/>
      <c r="AL90" s="41"/>
      <c r="AM90" s="41"/>
      <c r="AN90" s="41"/>
      <c r="AO90" s="41"/>
      <c r="AP90" s="41"/>
      <c r="AQ90" s="41"/>
      <c r="AR90" s="41"/>
      <c r="AS90" s="41"/>
      <c r="AT90" s="41"/>
      <c r="AU90" s="41"/>
      <c r="AV90" s="41"/>
      <c r="AW90" s="41"/>
      <c r="AX90" s="41"/>
    </row>
    <row r="91" spans="1:50">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c r="AF91" s="41"/>
      <c r="AG91" s="41"/>
      <c r="AH91" s="41"/>
      <c r="AI91" s="41"/>
      <c r="AJ91" s="41"/>
      <c r="AK91" s="41"/>
      <c r="AL91" s="41"/>
      <c r="AM91" s="41"/>
      <c r="AN91" s="41"/>
      <c r="AO91" s="41"/>
      <c r="AP91" s="41"/>
      <c r="AQ91" s="41"/>
      <c r="AR91" s="41"/>
      <c r="AS91" s="41"/>
      <c r="AT91" s="41"/>
      <c r="AU91" s="41"/>
      <c r="AV91" s="41"/>
      <c r="AW91" s="41"/>
      <c r="AX91" s="41"/>
    </row>
    <row r="92" spans="1:50">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c r="AI92" s="41"/>
      <c r="AJ92" s="41"/>
      <c r="AK92" s="41"/>
      <c r="AL92" s="41"/>
      <c r="AM92" s="41"/>
      <c r="AN92" s="41"/>
      <c r="AO92" s="41"/>
      <c r="AP92" s="41"/>
      <c r="AQ92" s="41"/>
      <c r="AR92" s="41"/>
      <c r="AS92" s="41"/>
      <c r="AT92" s="41"/>
      <c r="AU92" s="41"/>
      <c r="AV92" s="41"/>
      <c r="AW92" s="41"/>
      <c r="AX92" s="41"/>
    </row>
    <row r="93" spans="1:50">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c r="AA93" s="41"/>
      <c r="AB93" s="41"/>
      <c r="AC93" s="41"/>
      <c r="AD93" s="41"/>
      <c r="AE93" s="41"/>
      <c r="AF93" s="41"/>
      <c r="AG93" s="41"/>
      <c r="AH93" s="41"/>
      <c r="AI93" s="41"/>
      <c r="AJ93" s="41"/>
      <c r="AK93" s="41"/>
      <c r="AL93" s="41"/>
      <c r="AM93" s="41"/>
      <c r="AN93" s="41"/>
      <c r="AO93" s="41"/>
      <c r="AP93" s="41"/>
      <c r="AQ93" s="41"/>
      <c r="AR93" s="41"/>
      <c r="AS93" s="41"/>
      <c r="AT93" s="41"/>
      <c r="AU93" s="41"/>
      <c r="AV93" s="41"/>
      <c r="AW93" s="41"/>
      <c r="AX93" s="41"/>
    </row>
    <row r="94" spans="1:50">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c r="AA94" s="41"/>
      <c r="AB94" s="41"/>
      <c r="AC94" s="41"/>
      <c r="AD94" s="41"/>
      <c r="AE94" s="41"/>
      <c r="AF94" s="41"/>
      <c r="AG94" s="41"/>
      <c r="AH94" s="41"/>
      <c r="AI94" s="41"/>
      <c r="AJ94" s="41"/>
      <c r="AK94" s="41"/>
      <c r="AL94" s="41"/>
      <c r="AM94" s="41"/>
      <c r="AN94" s="41"/>
      <c r="AO94" s="41"/>
      <c r="AP94" s="41"/>
      <c r="AQ94" s="41"/>
      <c r="AR94" s="41"/>
      <c r="AS94" s="41"/>
      <c r="AT94" s="41"/>
      <c r="AU94" s="41"/>
      <c r="AV94" s="41"/>
      <c r="AW94" s="41"/>
      <c r="AX94" s="41"/>
    </row>
    <row r="95" spans="1:50">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c r="AA95" s="41"/>
      <c r="AB95" s="41"/>
      <c r="AC95" s="41"/>
      <c r="AD95" s="41"/>
      <c r="AE95" s="41"/>
      <c r="AF95" s="41"/>
      <c r="AG95" s="41"/>
      <c r="AH95" s="41"/>
      <c r="AI95" s="41"/>
      <c r="AJ95" s="41"/>
      <c r="AK95" s="41"/>
      <c r="AL95" s="41"/>
      <c r="AM95" s="41"/>
      <c r="AN95" s="41"/>
      <c r="AO95" s="41"/>
      <c r="AP95" s="41"/>
      <c r="AQ95" s="41"/>
      <c r="AR95" s="41"/>
      <c r="AS95" s="41"/>
      <c r="AT95" s="41"/>
      <c r="AU95" s="41"/>
      <c r="AV95" s="41"/>
      <c r="AW95" s="41"/>
      <c r="AX95" s="41"/>
    </row>
    <row r="96" spans="1:50">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1"/>
      <c r="AS96" s="41"/>
      <c r="AT96" s="41"/>
      <c r="AU96" s="41"/>
      <c r="AV96" s="41"/>
      <c r="AW96" s="41"/>
      <c r="AX96" s="41"/>
    </row>
    <row r="97" spans="1:50">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c r="AA97" s="41"/>
      <c r="AB97" s="41"/>
      <c r="AC97" s="41"/>
      <c r="AD97" s="41"/>
      <c r="AE97" s="41"/>
      <c r="AF97" s="41"/>
      <c r="AG97" s="41"/>
      <c r="AH97" s="41"/>
      <c r="AI97" s="41"/>
      <c r="AJ97" s="41"/>
      <c r="AK97" s="41"/>
      <c r="AL97" s="41"/>
      <c r="AM97" s="41"/>
      <c r="AN97" s="41"/>
      <c r="AO97" s="41"/>
      <c r="AP97" s="41"/>
      <c r="AQ97" s="41"/>
      <c r="AR97" s="41"/>
      <c r="AS97" s="41"/>
      <c r="AT97" s="41"/>
      <c r="AU97" s="41"/>
      <c r="AV97" s="41"/>
      <c r="AW97" s="41"/>
      <c r="AX97" s="41"/>
    </row>
    <row r="98" spans="1:50">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c r="AA98" s="41"/>
      <c r="AB98" s="41"/>
      <c r="AC98" s="41"/>
      <c r="AD98" s="41"/>
      <c r="AE98" s="41"/>
      <c r="AF98" s="41"/>
      <c r="AG98" s="41"/>
      <c r="AH98" s="41"/>
      <c r="AI98" s="41"/>
      <c r="AJ98" s="41"/>
      <c r="AK98" s="41"/>
      <c r="AL98" s="41"/>
      <c r="AM98" s="41"/>
      <c r="AN98" s="41"/>
      <c r="AO98" s="41"/>
      <c r="AP98" s="41"/>
      <c r="AQ98" s="41"/>
      <c r="AR98" s="41"/>
      <c r="AS98" s="41"/>
      <c r="AT98" s="41"/>
      <c r="AU98" s="41"/>
      <c r="AV98" s="41"/>
      <c r="AW98" s="41"/>
      <c r="AX98" s="41"/>
    </row>
    <row r="99" spans="1:50">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c r="AA99" s="41"/>
      <c r="AB99" s="41"/>
      <c r="AC99" s="41"/>
      <c r="AD99" s="41"/>
      <c r="AE99" s="41"/>
      <c r="AF99" s="41"/>
      <c r="AG99" s="41"/>
      <c r="AH99" s="41"/>
      <c r="AI99" s="41"/>
      <c r="AJ99" s="41"/>
      <c r="AK99" s="41"/>
      <c r="AL99" s="41"/>
      <c r="AM99" s="41"/>
      <c r="AN99" s="41"/>
      <c r="AO99" s="41"/>
      <c r="AP99" s="41"/>
      <c r="AQ99" s="41"/>
      <c r="AR99" s="41"/>
      <c r="AS99" s="41"/>
      <c r="AT99" s="41"/>
      <c r="AU99" s="41"/>
      <c r="AV99" s="41"/>
      <c r="AW99" s="41"/>
      <c r="AX99" s="41"/>
    </row>
    <row r="100" spans="1:5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c r="AI100" s="41"/>
      <c r="AJ100" s="41"/>
      <c r="AK100" s="41"/>
      <c r="AL100" s="41"/>
      <c r="AM100" s="41"/>
      <c r="AN100" s="41"/>
      <c r="AO100" s="41"/>
      <c r="AP100" s="41"/>
      <c r="AQ100" s="41"/>
      <c r="AR100" s="41"/>
      <c r="AS100" s="41"/>
      <c r="AT100" s="41"/>
      <c r="AU100" s="41"/>
      <c r="AV100" s="41"/>
      <c r="AW100" s="41"/>
      <c r="AX100" s="41"/>
    </row>
    <row r="101" spans="1:50">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c r="AA101" s="41"/>
      <c r="AB101" s="41"/>
      <c r="AC101" s="41"/>
      <c r="AD101" s="41"/>
      <c r="AE101" s="41"/>
      <c r="AF101" s="41"/>
      <c r="AG101" s="41"/>
      <c r="AH101" s="41"/>
      <c r="AI101" s="41"/>
      <c r="AJ101" s="41"/>
      <c r="AK101" s="41"/>
      <c r="AL101" s="41"/>
      <c r="AM101" s="41"/>
      <c r="AN101" s="41"/>
      <c r="AO101" s="41"/>
      <c r="AP101" s="41"/>
      <c r="AQ101" s="41"/>
      <c r="AR101" s="41"/>
      <c r="AS101" s="41"/>
      <c r="AT101" s="41"/>
      <c r="AU101" s="41"/>
      <c r="AV101" s="41"/>
      <c r="AW101" s="41"/>
      <c r="AX101" s="41"/>
    </row>
    <row r="102" spans="1:50">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1"/>
      <c r="AX102" s="41"/>
    </row>
    <row r="103" spans="1:50">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c r="AR103" s="41"/>
      <c r="AS103" s="41"/>
      <c r="AT103" s="41"/>
      <c r="AU103" s="41"/>
      <c r="AV103" s="41"/>
      <c r="AW103" s="41"/>
      <c r="AX103" s="41"/>
    </row>
    <row r="104" spans="1:50">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1"/>
      <c r="AK104" s="41"/>
      <c r="AL104" s="41"/>
      <c r="AM104" s="41"/>
      <c r="AN104" s="41"/>
      <c r="AO104" s="41"/>
      <c r="AP104" s="41"/>
      <c r="AQ104" s="41"/>
      <c r="AR104" s="41"/>
      <c r="AS104" s="41"/>
      <c r="AT104" s="41"/>
      <c r="AU104" s="41"/>
      <c r="AV104" s="41"/>
      <c r="AW104" s="41"/>
      <c r="AX104" s="41"/>
    </row>
  </sheetData>
  <sheetProtection password="CCF5" sheet="1"/>
  <mergeCells count="55">
    <mergeCell ref="A2:M2"/>
    <mergeCell ref="A3:M3"/>
    <mergeCell ref="A4:M4"/>
    <mergeCell ref="A5:M5"/>
    <mergeCell ref="A6:M6"/>
    <mergeCell ref="A7:M7"/>
    <mergeCell ref="A8:M8"/>
    <mergeCell ref="A9:M9"/>
    <mergeCell ref="A10:M10"/>
    <mergeCell ref="A11:M11"/>
    <mergeCell ref="A12:M12"/>
    <mergeCell ref="A13:M13"/>
    <mergeCell ref="A14:M14"/>
    <mergeCell ref="A15:M15"/>
    <mergeCell ref="A16:M16"/>
    <mergeCell ref="A17:M17"/>
    <mergeCell ref="A18:M18"/>
    <mergeCell ref="A19:M19"/>
    <mergeCell ref="A20:M20"/>
    <mergeCell ref="A21:M21"/>
    <mergeCell ref="A22:B22"/>
    <mergeCell ref="C22:M22"/>
    <mergeCell ref="A23:B23"/>
    <mergeCell ref="C23:M23"/>
    <mergeCell ref="A24:B24"/>
    <mergeCell ref="C24:M24"/>
    <mergeCell ref="A25:B25"/>
    <mergeCell ref="C25:M25"/>
    <mergeCell ref="A26:B26"/>
    <mergeCell ref="C26:M26"/>
    <mergeCell ref="A27:B27"/>
    <mergeCell ref="C27:M27"/>
    <mergeCell ref="A28:B28"/>
    <mergeCell ref="C28:M28"/>
    <mergeCell ref="A29:B29"/>
    <mergeCell ref="C29:M29"/>
    <mergeCell ref="A30:B30"/>
    <mergeCell ref="C30:M30"/>
    <mergeCell ref="A31:B31"/>
    <mergeCell ref="C31:M31"/>
    <mergeCell ref="A32:B32"/>
    <mergeCell ref="C32:M32"/>
    <mergeCell ref="A33:B33"/>
    <mergeCell ref="C33:M33"/>
    <mergeCell ref="A34:B34"/>
    <mergeCell ref="C34:M34"/>
    <mergeCell ref="A35:B35"/>
    <mergeCell ref="C35:M35"/>
    <mergeCell ref="A36:B36"/>
    <mergeCell ref="C36:M36"/>
    <mergeCell ref="N1:N2"/>
    <mergeCell ref="N4:N36"/>
    <mergeCell ref="O1:AG36"/>
    <mergeCell ref="AH1:AV36"/>
    <mergeCell ref="A37:AX104"/>
  </mergeCells>
  <hyperlinks>
    <hyperlink ref="N3" location="首页价格目录!A1" display="点击返回主页"/>
  </hyperlinks>
  <pageMargins left="0.7" right="0.7" top="0.75" bottom="0.75" header="0.3" footer="0.3"/>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21">
    <tabColor rgb="FF7030A0"/>
  </sheetPr>
  <dimension ref="A1:F80"/>
  <sheetViews>
    <sheetView workbookViewId="0">
      <selection activeCell="E6" sqref="E6"/>
    </sheetView>
  </sheetViews>
  <sheetFormatPr defaultColWidth="9" defaultRowHeight="14.95" outlineLevelCol="5"/>
  <cols>
    <col min="1" max="1" width="13.6666666666667" style="25" customWidth="1"/>
    <col min="2" max="2" width="35.6666666666667" style="25" customWidth="1"/>
    <col min="3" max="3" width="26.5350877192982" style="25" customWidth="1"/>
    <col min="4" max="4" width="23.3947368421053" style="25"/>
    <col min="5" max="5" width="16.8684210526316" style="25" customWidth="1"/>
    <col min="6" max="6" width="15.1315789473684" style="25" customWidth="1"/>
    <col min="7" max="16384" width="9" style="25"/>
  </cols>
  <sheetData>
    <row r="1" ht="30.3" spans="1:6">
      <c r="C1" s="26" t="s">
        <v>463</v>
      </c>
    </row>
    <row r="2" ht="21" customHeight="1" spans="1:6">
      <c r="A2" s="27" t="s">
        <v>464</v>
      </c>
      <c r="B2" s="27" t="s">
        <v>465</v>
      </c>
      <c r="C2" s="27" t="s">
        <v>466</v>
      </c>
      <c r="D2" s="27" t="s">
        <v>467</v>
      </c>
      <c r="E2" s="27" t="s">
        <v>468</v>
      </c>
      <c r="F2" s="27" t="s">
        <v>469</v>
      </c>
    </row>
    <row r="3" spans="1:6">
      <c r="A3" s="28" t="s">
        <v>470</v>
      </c>
      <c r="B3" s="28" t="s">
        <v>471</v>
      </c>
      <c r="C3" s="28" t="s">
        <v>472</v>
      </c>
      <c r="D3" s="29">
        <v>1.6475</v>
      </c>
      <c r="E3" s="28" t="s">
        <v>473</v>
      </c>
      <c r="F3" s="28" t="s">
        <v>474</v>
      </c>
    </row>
    <row r="4" spans="1:6">
      <c r="A4" s="28" t="s">
        <v>475</v>
      </c>
      <c r="B4" s="28" t="s">
        <v>476</v>
      </c>
      <c r="C4" s="28" t="s">
        <v>477</v>
      </c>
      <c r="D4" s="29">
        <v>0.6671</v>
      </c>
      <c r="E4" s="28" t="s">
        <v>478</v>
      </c>
      <c r="F4" s="28" t="s">
        <v>474</v>
      </c>
    </row>
    <row r="5" spans="1:6">
      <c r="A5" s="28" t="s">
        <v>479</v>
      </c>
      <c r="B5" s="28" t="s">
        <v>480</v>
      </c>
      <c r="C5" s="28" t="s">
        <v>481</v>
      </c>
      <c r="D5" s="29">
        <v>2.6683</v>
      </c>
      <c r="E5" s="28" t="s">
        <v>482</v>
      </c>
      <c r="F5" s="28" t="s">
        <v>474</v>
      </c>
    </row>
    <row r="6" spans="1:6">
      <c r="A6" s="30" t="s">
        <v>483</v>
      </c>
      <c r="B6" s="30" t="s">
        <v>484</v>
      </c>
      <c r="C6" s="30" t="s">
        <v>485</v>
      </c>
      <c r="D6" s="31">
        <v>2.1683</v>
      </c>
      <c r="E6" s="30" t="s">
        <v>486</v>
      </c>
      <c r="F6" s="30" t="s">
        <v>474</v>
      </c>
    </row>
    <row r="7" spans="1:6">
      <c r="A7" s="32"/>
      <c r="B7" s="33"/>
      <c r="C7" s="33" t="s">
        <v>487</v>
      </c>
      <c r="D7" s="33"/>
      <c r="E7" s="33"/>
      <c r="F7" s="34"/>
    </row>
    <row r="8" ht="29.95" spans="1:6">
      <c r="A8" s="35" t="s">
        <v>488</v>
      </c>
      <c r="B8" s="35" t="s">
        <v>489</v>
      </c>
      <c r="C8" s="35" t="s">
        <v>490</v>
      </c>
      <c r="D8" s="36">
        <v>3.5192</v>
      </c>
      <c r="E8" s="35" t="s">
        <v>491</v>
      </c>
      <c r="F8" s="35" t="s">
        <v>492</v>
      </c>
    </row>
    <row r="9" ht="44.9" spans="1:6">
      <c r="A9" s="30" t="s">
        <v>493</v>
      </c>
      <c r="B9" s="30" t="s">
        <v>494</v>
      </c>
      <c r="C9" s="30" t="s">
        <v>495</v>
      </c>
      <c r="D9" s="30" t="s">
        <v>496</v>
      </c>
      <c r="E9" s="30" t="s">
        <v>497</v>
      </c>
      <c r="F9" s="30" t="s">
        <v>492</v>
      </c>
    </row>
    <row r="10" spans="1:6">
      <c r="A10" s="32"/>
      <c r="B10" s="33"/>
      <c r="C10" s="33" t="s">
        <v>498</v>
      </c>
      <c r="D10" s="33"/>
      <c r="E10" s="33"/>
      <c r="F10" s="34"/>
    </row>
    <row r="11" spans="1:6">
      <c r="A11" s="35" t="s">
        <v>499</v>
      </c>
      <c r="B11" s="35" t="s">
        <v>500</v>
      </c>
      <c r="C11" s="35" t="s">
        <v>501</v>
      </c>
      <c r="D11" s="36">
        <v>1.1264</v>
      </c>
      <c r="E11" s="35" t="s">
        <v>502</v>
      </c>
      <c r="F11" s="35" t="s">
        <v>503</v>
      </c>
    </row>
    <row r="12" spans="1:6">
      <c r="A12" s="28" t="s">
        <v>504</v>
      </c>
      <c r="B12" s="28" t="s">
        <v>505</v>
      </c>
      <c r="C12" s="28" t="s">
        <v>506</v>
      </c>
      <c r="D12" s="29">
        <v>0.4332</v>
      </c>
      <c r="E12" s="28" t="s">
        <v>507</v>
      </c>
      <c r="F12" s="28" t="s">
        <v>508</v>
      </c>
    </row>
    <row r="13" spans="1:6">
      <c r="A13" s="28" t="s">
        <v>509</v>
      </c>
      <c r="B13" s="28" t="s">
        <v>510</v>
      </c>
      <c r="C13" s="28" t="s">
        <v>511</v>
      </c>
      <c r="D13" s="29">
        <v>0.755</v>
      </c>
      <c r="E13" s="28" t="s">
        <v>507</v>
      </c>
      <c r="F13" s="28" t="s">
        <v>508</v>
      </c>
    </row>
    <row r="14" spans="1:6">
      <c r="A14" s="28" t="s">
        <v>512</v>
      </c>
      <c r="B14" s="28" t="s">
        <v>513</v>
      </c>
      <c r="C14" s="28" t="s">
        <v>514</v>
      </c>
      <c r="D14" s="29">
        <v>1.4149</v>
      </c>
      <c r="E14" s="28" t="s">
        <v>515</v>
      </c>
      <c r="F14" s="28" t="s">
        <v>508</v>
      </c>
    </row>
    <row r="15" spans="1:6">
      <c r="A15" s="28"/>
      <c r="B15" s="28" t="s">
        <v>516</v>
      </c>
      <c r="C15" s="28" t="s">
        <v>517</v>
      </c>
      <c r="D15" s="37">
        <v>0.2552</v>
      </c>
      <c r="E15" s="28" t="s">
        <v>518</v>
      </c>
      <c r="F15" s="28" t="s">
        <v>519</v>
      </c>
    </row>
    <row r="16" spans="1:6">
      <c r="A16" s="28"/>
      <c r="B16" s="28" t="s">
        <v>520</v>
      </c>
      <c r="C16" s="28" t="s">
        <v>521</v>
      </c>
      <c r="D16" s="37">
        <v>1.0826</v>
      </c>
      <c r="E16" s="28" t="s">
        <v>522</v>
      </c>
      <c r="F16" s="28" t="s">
        <v>519</v>
      </c>
    </row>
    <row r="17" spans="1:6">
      <c r="A17" s="28"/>
      <c r="B17" s="28" t="s">
        <v>523</v>
      </c>
      <c r="C17" s="28" t="s">
        <v>524</v>
      </c>
      <c r="D17" s="37">
        <v>0.6095</v>
      </c>
      <c r="E17" s="28" t="s">
        <v>525</v>
      </c>
      <c r="F17" s="28" t="s">
        <v>526</v>
      </c>
    </row>
    <row r="18" spans="1:6">
      <c r="A18" s="28"/>
      <c r="B18" s="28" t="s">
        <v>527</v>
      </c>
      <c r="C18" s="28" t="s">
        <v>528</v>
      </c>
      <c r="D18" s="37">
        <v>1.3949</v>
      </c>
      <c r="E18" s="28" t="s">
        <v>529</v>
      </c>
      <c r="F18" s="28" t="s">
        <v>526</v>
      </c>
    </row>
    <row r="19" spans="1:6">
      <c r="A19" s="28"/>
      <c r="B19" s="28" t="s">
        <v>530</v>
      </c>
      <c r="C19" s="28" t="s">
        <v>531</v>
      </c>
      <c r="D19" s="37">
        <v>0.4527</v>
      </c>
      <c r="E19" s="28" t="s">
        <v>532</v>
      </c>
      <c r="F19" s="28" t="s">
        <v>526</v>
      </c>
    </row>
    <row r="20" spans="1:6">
      <c r="A20" s="28"/>
      <c r="B20" s="28" t="s">
        <v>533</v>
      </c>
      <c r="C20" s="28" t="s">
        <v>534</v>
      </c>
      <c r="D20" s="37">
        <v>0.7071</v>
      </c>
      <c r="E20" s="28" t="s">
        <v>535</v>
      </c>
      <c r="F20" s="28" t="s">
        <v>526</v>
      </c>
    </row>
    <row r="21" spans="1:6">
      <c r="A21" s="28"/>
      <c r="B21" s="28" t="s">
        <v>536</v>
      </c>
      <c r="C21" s="28" t="s">
        <v>537</v>
      </c>
      <c r="D21" s="37">
        <v>0.1561</v>
      </c>
      <c r="E21" s="28" t="s">
        <v>538</v>
      </c>
      <c r="F21" s="28" t="s">
        <v>526</v>
      </c>
    </row>
    <row r="22" spans="1:6">
      <c r="A22" s="28"/>
      <c r="B22" s="28" t="s">
        <v>539</v>
      </c>
      <c r="C22" s="28" t="s">
        <v>540</v>
      </c>
      <c r="D22" s="37">
        <v>0.7845</v>
      </c>
      <c r="E22" s="28" t="s">
        <v>541</v>
      </c>
      <c r="F22" s="28" t="s">
        <v>526</v>
      </c>
    </row>
    <row r="23" spans="1:6">
      <c r="A23" s="28"/>
      <c r="B23" s="28" t="s">
        <v>542</v>
      </c>
      <c r="C23" s="28" t="s">
        <v>543</v>
      </c>
      <c r="D23" s="37">
        <v>2.6409</v>
      </c>
      <c r="E23" s="28" t="s">
        <v>544</v>
      </c>
      <c r="F23" s="28" t="s">
        <v>526</v>
      </c>
    </row>
    <row r="24" spans="1:6">
      <c r="A24" s="28"/>
      <c r="B24" s="28" t="s">
        <v>545</v>
      </c>
      <c r="C24" s="28" t="s">
        <v>546</v>
      </c>
      <c r="D24" s="37">
        <v>1.829</v>
      </c>
      <c r="E24" s="28" t="s">
        <v>547</v>
      </c>
      <c r="F24" s="28" t="s">
        <v>548</v>
      </c>
    </row>
    <row r="25" spans="1:6">
      <c r="A25" s="28"/>
      <c r="B25" s="28" t="s">
        <v>549</v>
      </c>
      <c r="C25" s="28" t="s">
        <v>550</v>
      </c>
      <c r="D25" s="37">
        <v>1.4402</v>
      </c>
      <c r="E25" s="28" t="s">
        <v>551</v>
      </c>
      <c r="F25" s="28" t="s">
        <v>552</v>
      </c>
    </row>
    <row r="26" ht="29.95" spans="1:6">
      <c r="A26" s="28"/>
      <c r="B26" s="28" t="s">
        <v>553</v>
      </c>
      <c r="C26" s="28" t="s">
        <v>554</v>
      </c>
      <c r="D26" s="37">
        <v>1.5768</v>
      </c>
      <c r="E26" s="28" t="s">
        <v>555</v>
      </c>
      <c r="F26" s="28" t="s">
        <v>556</v>
      </c>
    </row>
    <row r="27" spans="1:6">
      <c r="A27" s="28"/>
      <c r="B27" s="28" t="s">
        <v>557</v>
      </c>
      <c r="C27" s="28" t="s">
        <v>558</v>
      </c>
      <c r="D27" s="37">
        <v>1.083</v>
      </c>
      <c r="E27" s="28" t="s">
        <v>559</v>
      </c>
      <c r="F27" s="28" t="s">
        <v>556</v>
      </c>
    </row>
    <row r="28" spans="1:6">
      <c r="A28" s="28"/>
      <c r="B28" s="28" t="s">
        <v>560</v>
      </c>
      <c r="C28" s="28" t="s">
        <v>561</v>
      </c>
      <c r="D28" s="37">
        <v>1.3253</v>
      </c>
      <c r="E28" s="28" t="s">
        <v>562</v>
      </c>
      <c r="F28" s="28" t="s">
        <v>563</v>
      </c>
    </row>
    <row r="29" spans="1:6">
      <c r="A29" s="28"/>
      <c r="B29" s="28" t="s">
        <v>564</v>
      </c>
      <c r="C29" s="28" t="s">
        <v>565</v>
      </c>
      <c r="D29" s="37">
        <v>2.1489</v>
      </c>
      <c r="E29" s="28" t="s">
        <v>566</v>
      </c>
      <c r="F29" s="28" t="s">
        <v>563</v>
      </c>
    </row>
    <row r="30" spans="1:6">
      <c r="A30" s="28"/>
      <c r="B30" s="28" t="s">
        <v>567</v>
      </c>
      <c r="C30" s="28" t="s">
        <v>568</v>
      </c>
      <c r="D30" s="37">
        <v>0.224</v>
      </c>
      <c r="E30" s="28" t="s">
        <v>569</v>
      </c>
      <c r="F30" s="28" t="s">
        <v>570</v>
      </c>
    </row>
    <row r="31" spans="1:6">
      <c r="A31" s="28"/>
      <c r="B31" s="28" t="s">
        <v>571</v>
      </c>
      <c r="C31" s="28" t="s">
        <v>572</v>
      </c>
      <c r="D31" s="37">
        <v>2.5821</v>
      </c>
      <c r="E31" s="28" t="s">
        <v>573</v>
      </c>
      <c r="F31" s="28" t="s">
        <v>570</v>
      </c>
    </row>
    <row r="32" spans="1:6">
      <c r="A32" s="28"/>
      <c r="B32" s="28" t="s">
        <v>574</v>
      </c>
      <c r="C32" s="28" t="s">
        <v>575</v>
      </c>
      <c r="D32" s="37">
        <v>1.2863</v>
      </c>
      <c r="E32" s="28" t="s">
        <v>576</v>
      </c>
      <c r="F32" s="28" t="s">
        <v>577</v>
      </c>
    </row>
    <row r="33" spans="1:6">
      <c r="A33" s="28"/>
      <c r="B33" s="28" t="s">
        <v>578</v>
      </c>
      <c r="C33" s="28" t="s">
        <v>579</v>
      </c>
      <c r="D33" s="37">
        <v>1.2859</v>
      </c>
      <c r="E33" s="28" t="s">
        <v>580</v>
      </c>
      <c r="F33" s="28" t="s">
        <v>577</v>
      </c>
    </row>
    <row r="34" spans="1:6">
      <c r="A34" s="28"/>
      <c r="B34" s="28" t="s">
        <v>581</v>
      </c>
      <c r="C34" s="28" t="s">
        <v>582</v>
      </c>
      <c r="D34" s="37">
        <v>0.813</v>
      </c>
      <c r="E34" s="28" t="s">
        <v>583</v>
      </c>
      <c r="F34" s="28" t="s">
        <v>577</v>
      </c>
    </row>
    <row r="35" spans="1:6">
      <c r="A35" s="28"/>
      <c r="B35" s="28" t="s">
        <v>584</v>
      </c>
      <c r="C35" s="28" t="s">
        <v>585</v>
      </c>
      <c r="D35" s="37">
        <v>3.0556</v>
      </c>
      <c r="E35" s="28" t="s">
        <v>586</v>
      </c>
      <c r="F35" s="28" t="s">
        <v>587</v>
      </c>
    </row>
    <row r="36" spans="1:6">
      <c r="A36" s="28"/>
      <c r="B36" s="28" t="s">
        <v>588</v>
      </c>
      <c r="C36" s="28" t="s">
        <v>589</v>
      </c>
      <c r="D36" s="37">
        <v>0.9083</v>
      </c>
      <c r="E36" s="28" t="s">
        <v>590</v>
      </c>
      <c r="F36" s="28" t="s">
        <v>587</v>
      </c>
    </row>
    <row r="37" spans="1:6">
      <c r="A37" s="28"/>
      <c r="B37" s="28" t="s">
        <v>591</v>
      </c>
      <c r="C37" s="28" t="s">
        <v>592</v>
      </c>
      <c r="D37" s="37">
        <v>1.3518</v>
      </c>
      <c r="E37" s="28" t="s">
        <v>593</v>
      </c>
      <c r="F37" s="28" t="s">
        <v>594</v>
      </c>
    </row>
    <row r="38" spans="1:6">
      <c r="A38" s="28"/>
      <c r="B38" s="28" t="s">
        <v>595</v>
      </c>
      <c r="C38" s="28" t="s">
        <v>596</v>
      </c>
      <c r="D38" s="37">
        <v>1.2694</v>
      </c>
      <c r="E38" s="28" t="s">
        <v>597</v>
      </c>
      <c r="F38" s="28" t="s">
        <v>594</v>
      </c>
    </row>
    <row r="39" spans="1:6">
      <c r="A39" s="28"/>
      <c r="B39" s="28" t="s">
        <v>598</v>
      </c>
      <c r="C39" s="28" t="s">
        <v>599</v>
      </c>
      <c r="D39" s="37">
        <v>0.6665</v>
      </c>
      <c r="E39" s="28" t="s">
        <v>600</v>
      </c>
      <c r="F39" s="28" t="s">
        <v>601</v>
      </c>
    </row>
    <row r="40" spans="1:6">
      <c r="A40" s="28"/>
      <c r="B40" s="28" t="s">
        <v>602</v>
      </c>
      <c r="C40" s="28" t="s">
        <v>603</v>
      </c>
      <c r="D40" s="37">
        <v>1.149</v>
      </c>
      <c r="E40" s="28" t="s">
        <v>604</v>
      </c>
      <c r="F40" s="28" t="s">
        <v>601</v>
      </c>
    </row>
    <row r="41" spans="1:6">
      <c r="A41" s="28"/>
      <c r="B41" s="28" t="s">
        <v>605</v>
      </c>
      <c r="C41" s="28" t="s">
        <v>606</v>
      </c>
      <c r="D41" s="37">
        <v>1.5</v>
      </c>
      <c r="E41" s="28" t="s">
        <v>607</v>
      </c>
      <c r="F41" s="28" t="s">
        <v>601</v>
      </c>
    </row>
    <row r="42" spans="1:6">
      <c r="A42" s="28"/>
      <c r="B42" s="28" t="s">
        <v>608</v>
      </c>
      <c r="C42" s="28" t="s">
        <v>609</v>
      </c>
      <c r="D42" s="37">
        <v>1.1136</v>
      </c>
      <c r="E42" s="28" t="s">
        <v>610</v>
      </c>
      <c r="F42" s="28" t="s">
        <v>601</v>
      </c>
    </row>
    <row r="43" spans="1:6">
      <c r="A43" s="28"/>
      <c r="B43" s="28" t="s">
        <v>611</v>
      </c>
      <c r="C43" s="28" t="s">
        <v>612</v>
      </c>
      <c r="D43" s="37">
        <v>2.1794</v>
      </c>
      <c r="E43" s="28" t="s">
        <v>613</v>
      </c>
      <c r="F43" s="28" t="s">
        <v>601</v>
      </c>
    </row>
    <row r="44" spans="1:6">
      <c r="A44" s="30"/>
      <c r="B44" s="30" t="s">
        <v>614</v>
      </c>
      <c r="C44" s="30" t="s">
        <v>615</v>
      </c>
      <c r="D44" s="38">
        <v>3.836</v>
      </c>
      <c r="E44" s="30" t="s">
        <v>616</v>
      </c>
      <c r="F44" s="30" t="s">
        <v>601</v>
      </c>
    </row>
    <row r="45" spans="1:6">
      <c r="A45" s="32"/>
      <c r="B45" s="33"/>
      <c r="C45" s="33" t="s">
        <v>617</v>
      </c>
      <c r="D45" s="33"/>
      <c r="E45" s="33"/>
      <c r="F45" s="34"/>
    </row>
    <row r="46" spans="1:6">
      <c r="A46" s="35"/>
      <c r="B46" s="35" t="s">
        <v>516</v>
      </c>
      <c r="C46" s="35" t="s">
        <v>517</v>
      </c>
      <c r="D46" s="39">
        <v>0.2552</v>
      </c>
      <c r="E46" s="35" t="s">
        <v>518</v>
      </c>
      <c r="F46" s="35" t="s">
        <v>519</v>
      </c>
    </row>
    <row r="47" spans="1:6">
      <c r="A47" s="28"/>
      <c r="B47" s="28" t="s">
        <v>520</v>
      </c>
      <c r="C47" s="28" t="s">
        <v>521</v>
      </c>
      <c r="D47" s="37">
        <v>1.0826</v>
      </c>
      <c r="E47" s="28" t="s">
        <v>522</v>
      </c>
      <c r="F47" s="28" t="s">
        <v>519</v>
      </c>
    </row>
    <row r="48" spans="1:6">
      <c r="A48" s="28"/>
      <c r="B48" s="28" t="s">
        <v>523</v>
      </c>
      <c r="C48" s="28" t="s">
        <v>524</v>
      </c>
      <c r="D48" s="37">
        <v>0.6095</v>
      </c>
      <c r="E48" s="28" t="s">
        <v>525</v>
      </c>
      <c r="F48" s="28" t="s">
        <v>526</v>
      </c>
    </row>
    <row r="49" spans="1:6">
      <c r="A49" s="28"/>
      <c r="B49" s="28" t="s">
        <v>527</v>
      </c>
      <c r="C49" s="28" t="s">
        <v>528</v>
      </c>
      <c r="D49" s="37">
        <v>1.3949</v>
      </c>
      <c r="E49" s="28" t="s">
        <v>529</v>
      </c>
      <c r="F49" s="28" t="s">
        <v>526</v>
      </c>
    </row>
    <row r="50" spans="1:6">
      <c r="A50" s="28"/>
      <c r="B50" s="28" t="s">
        <v>533</v>
      </c>
      <c r="C50" s="28" t="s">
        <v>534</v>
      </c>
      <c r="D50" s="37">
        <v>0.7071</v>
      </c>
      <c r="E50" s="28" t="s">
        <v>535</v>
      </c>
      <c r="F50" s="28" t="s">
        <v>526</v>
      </c>
    </row>
    <row r="51" spans="1:6">
      <c r="A51" s="28"/>
      <c r="B51" s="28" t="s">
        <v>536</v>
      </c>
      <c r="C51" s="28" t="s">
        <v>537</v>
      </c>
      <c r="D51" s="37">
        <v>0.1561</v>
      </c>
      <c r="E51" s="28" t="s">
        <v>538</v>
      </c>
      <c r="F51" s="28" t="s">
        <v>526</v>
      </c>
    </row>
    <row r="52" spans="1:6">
      <c r="A52" s="28"/>
      <c r="B52" s="28" t="s">
        <v>539</v>
      </c>
      <c r="C52" s="28" t="s">
        <v>540</v>
      </c>
      <c r="D52" s="37">
        <v>0.7845</v>
      </c>
      <c r="E52" s="28" t="s">
        <v>541</v>
      </c>
      <c r="F52" s="28" t="s">
        <v>526</v>
      </c>
    </row>
    <row r="53" spans="1:6">
      <c r="A53" s="28"/>
      <c r="B53" s="28" t="s">
        <v>618</v>
      </c>
      <c r="C53" s="28" t="s">
        <v>619</v>
      </c>
      <c r="D53" s="37">
        <v>2.8563</v>
      </c>
      <c r="E53" s="28" t="s">
        <v>620</v>
      </c>
      <c r="F53" s="28" t="s">
        <v>526</v>
      </c>
    </row>
    <row r="54" spans="1:6">
      <c r="A54" s="28"/>
      <c r="B54" s="28" t="s">
        <v>542</v>
      </c>
      <c r="C54" s="28" t="s">
        <v>543</v>
      </c>
      <c r="D54" s="37">
        <v>2.6409</v>
      </c>
      <c r="E54" s="28" t="s">
        <v>544</v>
      </c>
      <c r="F54" s="28" t="s">
        <v>526</v>
      </c>
    </row>
    <row r="55" spans="1:6">
      <c r="A55" s="28"/>
      <c r="B55" s="28" t="s">
        <v>545</v>
      </c>
      <c r="C55" s="28" t="s">
        <v>546</v>
      </c>
      <c r="D55" s="37">
        <v>1.829</v>
      </c>
      <c r="E55" s="28" t="s">
        <v>547</v>
      </c>
      <c r="F55" s="28" t="s">
        <v>548</v>
      </c>
    </row>
    <row r="56" ht="29.95" spans="1:6">
      <c r="A56" s="28"/>
      <c r="B56" s="28" t="s">
        <v>553</v>
      </c>
      <c r="C56" s="28" t="s">
        <v>554</v>
      </c>
      <c r="D56" s="37">
        <v>1.5768</v>
      </c>
      <c r="E56" s="28" t="s">
        <v>555</v>
      </c>
      <c r="F56" s="28" t="s">
        <v>556</v>
      </c>
    </row>
    <row r="57" spans="1:6">
      <c r="A57" s="28"/>
      <c r="B57" s="28" t="s">
        <v>557</v>
      </c>
      <c r="C57" s="28" t="s">
        <v>558</v>
      </c>
      <c r="D57" s="37">
        <v>1.083</v>
      </c>
      <c r="E57" s="28" t="s">
        <v>559</v>
      </c>
      <c r="F57" s="28" t="s">
        <v>556</v>
      </c>
    </row>
    <row r="58" spans="1:6">
      <c r="A58" s="28"/>
      <c r="B58" s="28" t="s">
        <v>560</v>
      </c>
      <c r="C58" s="28" t="s">
        <v>561</v>
      </c>
      <c r="D58" s="37">
        <v>1.3253</v>
      </c>
      <c r="E58" s="28" t="s">
        <v>562</v>
      </c>
      <c r="F58" s="28" t="s">
        <v>563</v>
      </c>
    </row>
    <row r="59" spans="1:6">
      <c r="A59" s="28"/>
      <c r="B59" s="28" t="s">
        <v>564</v>
      </c>
      <c r="C59" s="28" t="s">
        <v>565</v>
      </c>
      <c r="D59" s="37">
        <v>2.1489</v>
      </c>
      <c r="E59" s="28" t="s">
        <v>566</v>
      </c>
      <c r="F59" s="28" t="s">
        <v>563</v>
      </c>
    </row>
    <row r="60" spans="1:6">
      <c r="A60" s="28"/>
      <c r="B60" s="28" t="s">
        <v>567</v>
      </c>
      <c r="C60" s="28" t="s">
        <v>568</v>
      </c>
      <c r="D60" s="37">
        <v>0.224</v>
      </c>
      <c r="E60" s="28" t="s">
        <v>569</v>
      </c>
      <c r="F60" s="28" t="s">
        <v>570</v>
      </c>
    </row>
    <row r="61" spans="1:6">
      <c r="A61" s="28"/>
      <c r="B61" s="28" t="s">
        <v>571</v>
      </c>
      <c r="C61" s="28" t="s">
        <v>572</v>
      </c>
      <c r="D61" s="37">
        <v>2.5821</v>
      </c>
      <c r="E61" s="28" t="s">
        <v>573</v>
      </c>
      <c r="F61" s="28" t="s">
        <v>570</v>
      </c>
    </row>
    <row r="62" spans="1:6">
      <c r="A62" s="28"/>
      <c r="B62" s="28" t="s">
        <v>574</v>
      </c>
      <c r="C62" s="28" t="s">
        <v>575</v>
      </c>
      <c r="D62" s="37">
        <v>1.2863</v>
      </c>
      <c r="E62" s="28" t="s">
        <v>576</v>
      </c>
      <c r="F62" s="28" t="s">
        <v>577</v>
      </c>
    </row>
    <row r="63" spans="1:6">
      <c r="A63" s="28"/>
      <c r="B63" s="28" t="s">
        <v>578</v>
      </c>
      <c r="C63" s="28" t="s">
        <v>579</v>
      </c>
      <c r="D63" s="37">
        <v>1.2859</v>
      </c>
      <c r="E63" s="28" t="s">
        <v>580</v>
      </c>
      <c r="F63" s="28" t="s">
        <v>577</v>
      </c>
    </row>
    <row r="64" spans="1:6">
      <c r="A64" s="28"/>
      <c r="B64" s="28" t="s">
        <v>584</v>
      </c>
      <c r="C64" s="28" t="s">
        <v>585</v>
      </c>
      <c r="D64" s="37">
        <v>3.0556</v>
      </c>
      <c r="E64" s="28" t="s">
        <v>586</v>
      </c>
      <c r="F64" s="28" t="s">
        <v>587</v>
      </c>
    </row>
    <row r="65" spans="1:6">
      <c r="A65" s="28"/>
      <c r="B65" s="28" t="s">
        <v>588</v>
      </c>
      <c r="C65" s="28" t="s">
        <v>589</v>
      </c>
      <c r="D65" s="37">
        <v>0.9083</v>
      </c>
      <c r="E65" s="28" t="s">
        <v>590</v>
      </c>
      <c r="F65" s="28" t="s">
        <v>587</v>
      </c>
    </row>
    <row r="66" spans="1:6">
      <c r="A66" s="28"/>
      <c r="B66" s="28" t="s">
        <v>591</v>
      </c>
      <c r="C66" s="28" t="s">
        <v>592</v>
      </c>
      <c r="D66" s="37">
        <v>1.3518</v>
      </c>
      <c r="E66" s="28" t="s">
        <v>593</v>
      </c>
      <c r="F66" s="28" t="s">
        <v>594</v>
      </c>
    </row>
    <row r="67" spans="1:6">
      <c r="A67" s="28"/>
      <c r="B67" s="28" t="s">
        <v>595</v>
      </c>
      <c r="C67" s="28" t="s">
        <v>596</v>
      </c>
      <c r="D67" s="37">
        <v>1.2694</v>
      </c>
      <c r="E67" s="28" t="s">
        <v>597</v>
      </c>
      <c r="F67" s="28" t="s">
        <v>594</v>
      </c>
    </row>
    <row r="68" spans="1:6">
      <c r="A68" s="28"/>
      <c r="B68" s="28" t="s">
        <v>598</v>
      </c>
      <c r="C68" s="28" t="s">
        <v>599</v>
      </c>
      <c r="D68" s="37">
        <v>0.6665</v>
      </c>
      <c r="E68" s="28" t="s">
        <v>600</v>
      </c>
      <c r="F68" s="28" t="s">
        <v>601</v>
      </c>
    </row>
    <row r="69" spans="1:6">
      <c r="A69" s="28"/>
      <c r="B69" s="28" t="s">
        <v>602</v>
      </c>
      <c r="C69" s="28" t="s">
        <v>603</v>
      </c>
      <c r="D69" s="37">
        <v>1.149</v>
      </c>
      <c r="E69" s="28" t="s">
        <v>604</v>
      </c>
      <c r="F69" s="28" t="s">
        <v>601</v>
      </c>
    </row>
    <row r="70" spans="1:6">
      <c r="A70" s="28"/>
      <c r="B70" s="28" t="s">
        <v>605</v>
      </c>
      <c r="C70" s="28" t="s">
        <v>606</v>
      </c>
      <c r="D70" s="37">
        <v>1.5</v>
      </c>
      <c r="E70" s="28" t="s">
        <v>607</v>
      </c>
      <c r="F70" s="28" t="s">
        <v>601</v>
      </c>
    </row>
    <row r="71" spans="1:6">
      <c r="A71" s="28"/>
      <c r="B71" s="28" t="s">
        <v>608</v>
      </c>
      <c r="C71" s="28" t="s">
        <v>609</v>
      </c>
      <c r="D71" s="37">
        <v>1.1136</v>
      </c>
      <c r="E71" s="28" t="s">
        <v>610</v>
      </c>
      <c r="F71" s="28" t="s">
        <v>601</v>
      </c>
    </row>
    <row r="72" spans="1:6">
      <c r="A72" s="28"/>
      <c r="B72" s="28" t="s">
        <v>611</v>
      </c>
      <c r="C72" s="28" t="s">
        <v>612</v>
      </c>
      <c r="D72" s="37">
        <v>2.1794</v>
      </c>
      <c r="E72" s="28" t="s">
        <v>613</v>
      </c>
      <c r="F72" s="28" t="s">
        <v>601</v>
      </c>
    </row>
    <row r="73" spans="1:6">
      <c r="A73" s="28"/>
      <c r="B73" s="28" t="s">
        <v>614</v>
      </c>
      <c r="C73" s="28" t="s">
        <v>615</v>
      </c>
      <c r="D73" s="37">
        <v>3.836</v>
      </c>
      <c r="E73" s="28" t="s">
        <v>616</v>
      </c>
      <c r="F73" s="28" t="s">
        <v>601</v>
      </c>
    </row>
    <row r="74" spans="1:6">
      <c r="A74" s="28" t="s">
        <v>621</v>
      </c>
      <c r="B74" s="28" t="s">
        <v>622</v>
      </c>
      <c r="C74" s="28" t="s">
        <v>623</v>
      </c>
      <c r="D74" s="28"/>
      <c r="E74" s="28"/>
      <c r="F74" s="28"/>
    </row>
    <row r="75" ht="29.95" spans="1:6">
      <c r="A75" s="28" t="s">
        <v>624</v>
      </c>
      <c r="B75" s="28" t="s">
        <v>625</v>
      </c>
      <c r="C75" s="28" t="s">
        <v>626</v>
      </c>
      <c r="D75" s="28"/>
      <c r="E75" s="28"/>
      <c r="F75" s="28"/>
    </row>
    <row r="76" spans="1:6">
      <c r="A76" s="28" t="s">
        <v>627</v>
      </c>
      <c r="B76" s="28" t="s">
        <v>628</v>
      </c>
      <c r="C76" s="28" t="s">
        <v>629</v>
      </c>
      <c r="D76" s="28"/>
      <c r="E76" s="28"/>
      <c r="F76" s="28"/>
    </row>
    <row r="77" spans="1:6">
      <c r="A77" s="28" t="s">
        <v>630</v>
      </c>
      <c r="B77" s="28" t="s">
        <v>631</v>
      </c>
      <c r="C77" s="28" t="s">
        <v>632</v>
      </c>
      <c r="D77" s="28"/>
      <c r="E77" s="28"/>
      <c r="F77" s="28"/>
    </row>
    <row r="78" spans="1:6">
      <c r="A78" s="28" t="s">
        <v>633</v>
      </c>
      <c r="B78" s="28" t="s">
        <v>634</v>
      </c>
      <c r="C78" s="28" t="s">
        <v>635</v>
      </c>
      <c r="D78" s="28"/>
      <c r="E78" s="28"/>
      <c r="F78" s="28"/>
    </row>
    <row r="79" spans="1:6">
      <c r="A79" s="28" t="s">
        <v>636</v>
      </c>
      <c r="B79" s="28" t="s">
        <v>637</v>
      </c>
      <c r="C79" s="28" t="s">
        <v>638</v>
      </c>
      <c r="D79" s="28"/>
      <c r="E79" s="28"/>
      <c r="F79" s="28"/>
    </row>
    <row r="80" ht="29.95" spans="1:6">
      <c r="A80" s="28" t="s">
        <v>639</v>
      </c>
      <c r="B80" s="28" t="s">
        <v>640</v>
      </c>
      <c r="C80" s="28" t="s">
        <v>641</v>
      </c>
      <c r="D80" s="28"/>
      <c r="E80" s="28"/>
      <c r="F80" s="28"/>
    </row>
  </sheetData>
  <sheetProtection password="CCF5" sheet="1"/>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22">
    <tabColor rgb="FF7030A0"/>
  </sheetPr>
  <dimension ref="A1:D243"/>
  <sheetViews>
    <sheetView topLeftCell="A200" workbookViewId="0">
      <selection activeCell="E6" sqref="E6"/>
    </sheetView>
  </sheetViews>
  <sheetFormatPr defaultColWidth="9" defaultRowHeight="13.5" outlineLevelCol="3"/>
  <cols>
    <col min="1" max="1" width="14.3947368421053" style="9" customWidth="1"/>
    <col min="2" max="2" width="13.6666666666667" style="9" customWidth="1"/>
    <col min="3" max="3" width="76.3947368421053" style="10" customWidth="1"/>
    <col min="4" max="4" width="11.2631578947368" style="10" customWidth="1"/>
    <col min="5" max="16384" width="9" style="10"/>
  </cols>
  <sheetData>
    <row r="1" ht="60" customHeight="1"/>
    <row r="2" ht="20.25" customHeight="1" spans="1:4">
      <c r="A2" s="11"/>
      <c r="B2" s="12"/>
      <c r="C2" s="13" t="s">
        <v>642</v>
      </c>
      <c r="D2" s="12"/>
    </row>
    <row r="3" ht="17.1" spans="1:4">
      <c r="A3" s="14" t="s">
        <v>643</v>
      </c>
      <c r="B3" s="14" t="s">
        <v>644</v>
      </c>
      <c r="C3" s="14" t="s">
        <v>645</v>
      </c>
      <c r="D3" s="14" t="s">
        <v>646</v>
      </c>
    </row>
    <row r="4" ht="17.25" customHeight="1" spans="1:4">
      <c r="A4" s="15" t="s">
        <v>647</v>
      </c>
      <c r="B4" s="15" t="s">
        <v>648</v>
      </c>
      <c r="C4" s="16" t="s">
        <v>649</v>
      </c>
      <c r="D4" s="15">
        <v>98390</v>
      </c>
    </row>
    <row r="5" ht="17.25" customHeight="1" spans="1:4">
      <c r="A5" s="15" t="s">
        <v>647</v>
      </c>
      <c r="B5" s="15" t="s">
        <v>650</v>
      </c>
      <c r="C5" s="16" t="s">
        <v>651</v>
      </c>
      <c r="D5" s="15">
        <v>98327</v>
      </c>
    </row>
    <row r="6" ht="17.25" customHeight="1" spans="1:4">
      <c r="A6" s="15" t="s">
        <v>647</v>
      </c>
      <c r="B6" s="17"/>
      <c r="C6" s="18" t="s">
        <v>652</v>
      </c>
      <c r="D6" s="17">
        <v>98134</v>
      </c>
    </row>
    <row r="7" ht="17.25" customHeight="1" spans="1:4">
      <c r="A7" s="15" t="s">
        <v>647</v>
      </c>
      <c r="B7" s="17"/>
      <c r="C7" s="18" t="s">
        <v>653</v>
      </c>
      <c r="D7" s="17">
        <v>98134</v>
      </c>
    </row>
    <row r="8" ht="17.25" customHeight="1" spans="1:4">
      <c r="A8" s="15" t="s">
        <v>647</v>
      </c>
      <c r="B8" s="17" t="s">
        <v>654</v>
      </c>
      <c r="C8" s="18" t="s">
        <v>655</v>
      </c>
      <c r="D8" s="17">
        <v>98133</v>
      </c>
    </row>
    <row r="9" ht="17.25" customHeight="1" spans="1:4">
      <c r="A9" s="15" t="s">
        <v>647</v>
      </c>
      <c r="B9" s="17" t="s">
        <v>656</v>
      </c>
      <c r="C9" s="18" t="s">
        <v>657</v>
      </c>
      <c r="D9" s="17">
        <v>98121</v>
      </c>
    </row>
    <row r="10" ht="17.25" customHeight="1" spans="1:4">
      <c r="A10" s="15" t="s">
        <v>647</v>
      </c>
      <c r="B10" s="17" t="s">
        <v>658</v>
      </c>
      <c r="C10" s="18" t="s">
        <v>659</v>
      </c>
      <c r="D10" s="17">
        <v>98108</v>
      </c>
    </row>
    <row r="11" ht="17.25" customHeight="1" spans="1:4">
      <c r="A11" s="15" t="s">
        <v>647</v>
      </c>
      <c r="B11" s="17" t="s">
        <v>660</v>
      </c>
      <c r="C11" s="18" t="s">
        <v>661</v>
      </c>
      <c r="D11" s="17">
        <v>98034</v>
      </c>
    </row>
    <row r="12" ht="17.25" customHeight="1" spans="1:4">
      <c r="A12" s="15" t="s">
        <v>647</v>
      </c>
      <c r="B12" s="15" t="s">
        <v>662</v>
      </c>
      <c r="C12" s="16" t="s">
        <v>663</v>
      </c>
      <c r="D12" s="15">
        <v>98032</v>
      </c>
    </row>
    <row r="13" ht="17.25" customHeight="1" spans="1:4">
      <c r="A13" s="15" t="s">
        <v>647</v>
      </c>
      <c r="B13" s="17" t="s">
        <v>664</v>
      </c>
      <c r="C13" s="18" t="s">
        <v>665</v>
      </c>
      <c r="D13" s="17">
        <v>98032</v>
      </c>
    </row>
    <row r="14" ht="17.25" customHeight="1" spans="1:4">
      <c r="A14" s="15" t="s">
        <v>647</v>
      </c>
      <c r="B14" s="17" t="s">
        <v>666</v>
      </c>
      <c r="C14" s="18" t="s">
        <v>667</v>
      </c>
      <c r="D14" s="17">
        <v>98032</v>
      </c>
    </row>
    <row r="15" ht="17.25" customHeight="1" spans="1:4">
      <c r="A15" s="15" t="s">
        <v>647</v>
      </c>
      <c r="B15" s="17" t="s">
        <v>668</v>
      </c>
      <c r="C15" s="18" t="s">
        <v>669</v>
      </c>
      <c r="D15" s="17">
        <v>98005</v>
      </c>
    </row>
    <row r="16" ht="17.25" customHeight="1" spans="1:4">
      <c r="A16" s="15" t="s">
        <v>670</v>
      </c>
      <c r="B16" s="17" t="s">
        <v>671</v>
      </c>
      <c r="C16" s="18" t="s">
        <v>672</v>
      </c>
      <c r="D16" s="17">
        <v>97210</v>
      </c>
    </row>
    <row r="17" ht="17.25" customHeight="1" spans="1:4">
      <c r="A17" s="15" t="s">
        <v>673</v>
      </c>
      <c r="B17" s="17" t="s">
        <v>674</v>
      </c>
      <c r="C17" s="18" t="s">
        <v>675</v>
      </c>
      <c r="D17" s="17">
        <v>97124</v>
      </c>
    </row>
    <row r="18" ht="17.25" customHeight="1" spans="1:4">
      <c r="A18" s="15" t="s">
        <v>673</v>
      </c>
      <c r="B18" s="15" t="s">
        <v>676</v>
      </c>
      <c r="C18" s="16" t="s">
        <v>677</v>
      </c>
      <c r="D18" s="15">
        <v>97060</v>
      </c>
    </row>
    <row r="19" ht="17.25" customHeight="1" spans="1:4">
      <c r="A19" s="15" t="s">
        <v>678</v>
      </c>
      <c r="B19" s="15">
        <v>2017</v>
      </c>
      <c r="C19" s="16" t="s">
        <v>679</v>
      </c>
      <c r="D19" s="15">
        <v>95835</v>
      </c>
    </row>
    <row r="20" ht="17.25" customHeight="1" spans="1:4">
      <c r="A20" s="15" t="s">
        <v>678</v>
      </c>
      <c r="B20" s="17" t="s">
        <v>680</v>
      </c>
      <c r="C20" s="18" t="s">
        <v>681</v>
      </c>
      <c r="D20" s="17">
        <v>95826</v>
      </c>
    </row>
    <row r="21" ht="17.25" customHeight="1" spans="1:4">
      <c r="A21" s="15" t="s">
        <v>678</v>
      </c>
      <c r="B21" s="15" t="s">
        <v>682</v>
      </c>
      <c r="C21" s="16" t="s">
        <v>683</v>
      </c>
      <c r="D21" s="15">
        <v>95377</v>
      </c>
    </row>
    <row r="22" ht="17.25" customHeight="1" spans="1:4">
      <c r="A22" s="15" t="s">
        <v>678</v>
      </c>
      <c r="B22" s="15" t="s">
        <v>684</v>
      </c>
      <c r="C22" s="16" t="s">
        <v>685</v>
      </c>
      <c r="D22" s="15">
        <v>95363</v>
      </c>
    </row>
    <row r="23" ht="17.25" customHeight="1" spans="1:4">
      <c r="A23" s="15" t="s">
        <v>678</v>
      </c>
      <c r="B23" s="15" t="s">
        <v>686</v>
      </c>
      <c r="C23" s="16" t="s">
        <v>687</v>
      </c>
      <c r="D23" s="15">
        <v>95304</v>
      </c>
    </row>
    <row r="24" ht="17.25" customHeight="1" spans="1:4">
      <c r="A24" s="15" t="s">
        <v>678</v>
      </c>
      <c r="B24" s="15" t="s">
        <v>688</v>
      </c>
      <c r="C24" s="16" t="s">
        <v>689</v>
      </c>
      <c r="D24" s="15">
        <v>95304</v>
      </c>
    </row>
    <row r="25" ht="17.25" customHeight="1" spans="1:4">
      <c r="A25" s="15" t="s">
        <v>678</v>
      </c>
      <c r="B25" s="15" t="s">
        <v>690</v>
      </c>
      <c r="C25" s="16" t="s">
        <v>691</v>
      </c>
      <c r="D25" s="15">
        <v>95206</v>
      </c>
    </row>
    <row r="26" ht="17.25" customHeight="1" spans="1:4">
      <c r="A26" s="15" t="s">
        <v>678</v>
      </c>
      <c r="B26" s="19" t="s">
        <v>692</v>
      </c>
      <c r="C26" s="20" t="s">
        <v>693</v>
      </c>
      <c r="D26" s="19">
        <v>95131</v>
      </c>
    </row>
    <row r="27" ht="17.25" customHeight="1" spans="1:4">
      <c r="A27" s="15" t="s">
        <v>678</v>
      </c>
      <c r="B27" s="17" t="s">
        <v>694</v>
      </c>
      <c r="C27" s="18" t="s">
        <v>695</v>
      </c>
      <c r="D27" s="17">
        <v>94702</v>
      </c>
    </row>
    <row r="28" ht="17.25" customHeight="1" spans="1:4">
      <c r="A28" s="15" t="s">
        <v>678</v>
      </c>
      <c r="B28" s="19" t="s">
        <v>696</v>
      </c>
      <c r="C28" s="20" t="s">
        <v>697</v>
      </c>
      <c r="D28" s="19">
        <v>94577</v>
      </c>
    </row>
    <row r="29" ht="17.25" customHeight="1" spans="1:4">
      <c r="A29" s="15" t="s">
        <v>678</v>
      </c>
      <c r="B29" s="17" t="s">
        <v>698</v>
      </c>
      <c r="C29" s="18" t="s">
        <v>699</v>
      </c>
      <c r="D29" s="17">
        <v>94560</v>
      </c>
    </row>
    <row r="30" ht="17.25" customHeight="1" spans="1:4">
      <c r="A30" s="15" t="s">
        <v>678</v>
      </c>
      <c r="B30" s="17" t="s">
        <v>700</v>
      </c>
      <c r="C30" s="18" t="s">
        <v>701</v>
      </c>
      <c r="D30" s="17">
        <v>94112</v>
      </c>
    </row>
    <row r="31" ht="17.25" customHeight="1" spans="1:4">
      <c r="A31" s="15" t="s">
        <v>678</v>
      </c>
      <c r="B31" s="17" t="s">
        <v>702</v>
      </c>
      <c r="C31" s="18" t="s">
        <v>703</v>
      </c>
      <c r="D31" s="17">
        <v>94085</v>
      </c>
    </row>
    <row r="32" ht="17.25" customHeight="1" spans="1:4">
      <c r="A32" s="15" t="s">
        <v>678</v>
      </c>
      <c r="B32" s="17" t="s">
        <v>704</v>
      </c>
      <c r="C32" s="18" t="s">
        <v>705</v>
      </c>
      <c r="D32" s="17">
        <v>94080</v>
      </c>
    </row>
    <row r="33" ht="17.25" customHeight="1" spans="1:4">
      <c r="A33" s="15" t="s">
        <v>678</v>
      </c>
      <c r="B33" s="17" t="s">
        <v>706</v>
      </c>
      <c r="C33" s="18" t="s">
        <v>707</v>
      </c>
      <c r="D33" s="17">
        <v>94080</v>
      </c>
    </row>
    <row r="34" ht="17.25" customHeight="1" spans="1:4">
      <c r="A34" s="15" t="s">
        <v>678</v>
      </c>
      <c r="B34" s="15">
        <v>2017</v>
      </c>
      <c r="C34" s="16" t="s">
        <v>708</v>
      </c>
      <c r="D34" s="15">
        <v>92614</v>
      </c>
    </row>
    <row r="35" ht="17.25" customHeight="1" spans="1:4">
      <c r="A35" s="15" t="s">
        <v>678</v>
      </c>
      <c r="B35" s="17" t="s">
        <v>709</v>
      </c>
      <c r="C35" s="18" t="s">
        <v>710</v>
      </c>
      <c r="D35" s="17">
        <v>92614</v>
      </c>
    </row>
    <row r="36" ht="17.25" customHeight="1" spans="1:4">
      <c r="A36" s="15" t="s">
        <v>678</v>
      </c>
      <c r="B36" s="15" t="s">
        <v>711</v>
      </c>
      <c r="C36" s="16" t="s">
        <v>712</v>
      </c>
      <c r="D36" s="15">
        <v>92551</v>
      </c>
    </row>
    <row r="37" ht="17.25" customHeight="1" spans="1:4">
      <c r="A37" s="21" t="s">
        <v>678</v>
      </c>
      <c r="B37" s="21" t="s">
        <v>713</v>
      </c>
      <c r="C37" s="22" t="s">
        <v>714</v>
      </c>
      <c r="D37" s="21">
        <v>92551</v>
      </c>
    </row>
    <row r="38" ht="17.25" customHeight="1" spans="1:4">
      <c r="A38" s="15" t="s">
        <v>678</v>
      </c>
      <c r="B38" s="17" t="s">
        <v>715</v>
      </c>
      <c r="C38" s="18" t="s">
        <v>716</v>
      </c>
      <c r="D38" s="17">
        <v>92507</v>
      </c>
    </row>
    <row r="39" ht="17.25" customHeight="1" spans="1:4">
      <c r="A39" s="15" t="s">
        <v>678</v>
      </c>
      <c r="B39" s="15" t="s">
        <v>717</v>
      </c>
      <c r="C39" s="16" t="s">
        <v>718</v>
      </c>
      <c r="D39" s="15">
        <v>92408</v>
      </c>
    </row>
    <row r="40" ht="17.25" customHeight="1" spans="1:4">
      <c r="A40" s="15" t="s">
        <v>678</v>
      </c>
      <c r="B40" s="15" t="s">
        <v>719</v>
      </c>
      <c r="C40" s="16" t="s">
        <v>720</v>
      </c>
      <c r="D40" s="15">
        <v>92408</v>
      </c>
    </row>
    <row r="41" ht="17.25" customHeight="1" spans="1:4">
      <c r="A41" s="15" t="s">
        <v>678</v>
      </c>
      <c r="B41" s="17" t="s">
        <v>721</v>
      </c>
      <c r="C41" s="18" t="s">
        <v>722</v>
      </c>
      <c r="D41" s="17">
        <v>92408</v>
      </c>
    </row>
    <row r="42" ht="17.25" customHeight="1" spans="1:4">
      <c r="A42" s="15" t="s">
        <v>678</v>
      </c>
      <c r="B42" s="15" t="s">
        <v>723</v>
      </c>
      <c r="C42" s="16" t="s">
        <v>724</v>
      </c>
      <c r="D42" s="15">
        <v>92408</v>
      </c>
    </row>
    <row r="43" ht="17.25" customHeight="1" spans="1:4">
      <c r="A43" s="15" t="s">
        <v>678</v>
      </c>
      <c r="B43" s="15" t="s">
        <v>725</v>
      </c>
      <c r="C43" s="16" t="s">
        <v>726</v>
      </c>
      <c r="D43" s="15">
        <v>92376</v>
      </c>
    </row>
    <row r="44" ht="17.25" customHeight="1" spans="1:4">
      <c r="A44" s="15" t="s">
        <v>678</v>
      </c>
      <c r="B44" s="15">
        <v>2018</v>
      </c>
      <c r="C44" s="16" t="s">
        <v>727</v>
      </c>
      <c r="D44" s="15">
        <v>92374</v>
      </c>
    </row>
    <row r="45" ht="17.25" customHeight="1" spans="1:4">
      <c r="A45" s="15" t="s">
        <v>678</v>
      </c>
      <c r="B45" s="15" t="s">
        <v>728</v>
      </c>
      <c r="C45" s="16" t="s">
        <v>729</v>
      </c>
      <c r="D45" s="15">
        <v>92374</v>
      </c>
    </row>
    <row r="46" ht="17.25" customHeight="1" spans="1:4">
      <c r="A46" s="15" t="s">
        <v>678</v>
      </c>
      <c r="B46" s="17" t="s">
        <v>730</v>
      </c>
      <c r="C46" s="18" t="s">
        <v>731</v>
      </c>
      <c r="D46" s="17">
        <v>92121</v>
      </c>
    </row>
    <row r="47" ht="17.25" customHeight="1" spans="1:4">
      <c r="A47" s="15" t="s">
        <v>678</v>
      </c>
      <c r="B47" s="17" t="s">
        <v>732</v>
      </c>
      <c r="C47" s="18" t="s">
        <v>733</v>
      </c>
      <c r="D47" s="17">
        <v>92110</v>
      </c>
    </row>
    <row r="48" ht="17.25" customHeight="1" spans="1:4">
      <c r="A48" s="15" t="s">
        <v>678</v>
      </c>
      <c r="B48" s="17" t="s">
        <v>734</v>
      </c>
      <c r="C48" s="18" t="s">
        <v>735</v>
      </c>
      <c r="D48" s="17">
        <v>92010</v>
      </c>
    </row>
    <row r="49" ht="17.25" customHeight="1" spans="1:4">
      <c r="A49" s="15" t="s">
        <v>678</v>
      </c>
      <c r="B49" s="15">
        <v>2018</v>
      </c>
      <c r="C49" s="16" t="s">
        <v>736</v>
      </c>
      <c r="D49" s="15">
        <v>91752</v>
      </c>
    </row>
    <row r="50" ht="17.25" customHeight="1" spans="1:4">
      <c r="A50" s="15" t="s">
        <v>678</v>
      </c>
      <c r="B50" s="15" t="s">
        <v>737</v>
      </c>
      <c r="C50" s="16" t="s">
        <v>738</v>
      </c>
      <c r="D50" s="15">
        <v>91752</v>
      </c>
    </row>
    <row r="51" ht="17.25" customHeight="1" spans="1:4">
      <c r="A51" s="15" t="s">
        <v>678</v>
      </c>
      <c r="B51" s="17" t="s">
        <v>739</v>
      </c>
      <c r="C51" s="18" t="s">
        <v>740</v>
      </c>
      <c r="D51" s="17">
        <v>91311</v>
      </c>
    </row>
    <row r="52" ht="17.25" customHeight="1" spans="1:4">
      <c r="A52" s="15" t="s">
        <v>678</v>
      </c>
      <c r="B52" s="17" t="s">
        <v>741</v>
      </c>
      <c r="C52" s="18" t="s">
        <v>742</v>
      </c>
      <c r="D52" s="17">
        <v>90621</v>
      </c>
    </row>
    <row r="53" ht="17.25" customHeight="1" spans="1:4">
      <c r="A53" s="15" t="s">
        <v>678</v>
      </c>
      <c r="B53" s="17" t="s">
        <v>743</v>
      </c>
      <c r="C53" s="18" t="s">
        <v>744</v>
      </c>
      <c r="D53" s="17">
        <v>90301</v>
      </c>
    </row>
    <row r="54" ht="17.25" customHeight="1" spans="1:4">
      <c r="A54" s="15" t="s">
        <v>678</v>
      </c>
      <c r="B54" s="17" t="s">
        <v>745</v>
      </c>
      <c r="C54" s="18" t="s">
        <v>746</v>
      </c>
      <c r="D54" s="17">
        <v>90277</v>
      </c>
    </row>
    <row r="55" ht="17.25" customHeight="1" spans="1:4">
      <c r="A55" s="15" t="s">
        <v>678</v>
      </c>
      <c r="B55" s="17" t="s">
        <v>747</v>
      </c>
      <c r="C55" s="18" t="s">
        <v>748</v>
      </c>
      <c r="D55" s="17">
        <v>90250</v>
      </c>
    </row>
    <row r="56" ht="17.25" customHeight="1" spans="1:4">
      <c r="A56" s="15" t="s">
        <v>678</v>
      </c>
      <c r="B56" s="17"/>
      <c r="C56" s="18" t="s">
        <v>749</v>
      </c>
      <c r="D56" s="17">
        <v>90065</v>
      </c>
    </row>
    <row r="57" ht="17.25" customHeight="1" spans="1:4">
      <c r="A57" s="15" t="s">
        <v>678</v>
      </c>
      <c r="B57" s="17" t="s">
        <v>750</v>
      </c>
      <c r="C57" s="18" t="s">
        <v>751</v>
      </c>
      <c r="D57" s="17">
        <v>90064</v>
      </c>
    </row>
    <row r="58" ht="17.25" customHeight="1" spans="1:4">
      <c r="A58" s="15" t="s">
        <v>678</v>
      </c>
      <c r="B58" s="17" t="s">
        <v>752</v>
      </c>
      <c r="C58" s="18" t="s">
        <v>753</v>
      </c>
      <c r="D58" s="17">
        <v>90040</v>
      </c>
    </row>
    <row r="59" ht="17.25" customHeight="1" spans="1:4">
      <c r="A59" s="15" t="s">
        <v>678</v>
      </c>
      <c r="B59" s="17" t="s">
        <v>754</v>
      </c>
      <c r="C59" s="18" t="s">
        <v>755</v>
      </c>
      <c r="D59" s="17">
        <v>90001</v>
      </c>
    </row>
    <row r="60" ht="17.25" customHeight="1" spans="1:4">
      <c r="A60" s="15" t="s">
        <v>756</v>
      </c>
      <c r="B60" s="15" t="s">
        <v>757</v>
      </c>
      <c r="C60" s="16" t="s">
        <v>758</v>
      </c>
      <c r="D60" s="15">
        <v>89506</v>
      </c>
    </row>
    <row r="61" ht="17.25" customHeight="1" spans="1:4">
      <c r="A61" s="15" t="s">
        <v>756</v>
      </c>
      <c r="B61" s="15" t="s">
        <v>759</v>
      </c>
      <c r="C61" s="16" t="s">
        <v>760</v>
      </c>
      <c r="D61" s="15">
        <v>89434</v>
      </c>
    </row>
    <row r="62" ht="17.25" customHeight="1" spans="1:4">
      <c r="A62" s="15" t="s">
        <v>761</v>
      </c>
      <c r="B62" s="17" t="s">
        <v>762</v>
      </c>
      <c r="C62" s="18" t="s">
        <v>763</v>
      </c>
      <c r="D62" s="17">
        <v>89120</v>
      </c>
    </row>
    <row r="63" ht="17.25" customHeight="1" spans="1:4">
      <c r="A63" s="15" t="s">
        <v>756</v>
      </c>
      <c r="B63" s="15">
        <v>2017</v>
      </c>
      <c r="C63" s="16" t="s">
        <v>764</v>
      </c>
      <c r="D63" s="15">
        <v>89081</v>
      </c>
    </row>
    <row r="64" ht="17.25" customHeight="1" spans="1:4">
      <c r="A64" s="15" t="s">
        <v>756</v>
      </c>
      <c r="B64" s="15" t="s">
        <v>765</v>
      </c>
      <c r="C64" s="16" t="s">
        <v>766</v>
      </c>
      <c r="D64" s="15">
        <v>89030</v>
      </c>
    </row>
    <row r="65" ht="17.25" customHeight="1" spans="1:4">
      <c r="A65" s="15" t="s">
        <v>767</v>
      </c>
      <c r="B65" s="15" t="s">
        <v>768</v>
      </c>
      <c r="C65" s="16" t="s">
        <v>769</v>
      </c>
      <c r="D65" s="15">
        <v>85338</v>
      </c>
    </row>
    <row r="66" ht="17.25" customHeight="1" spans="1:4">
      <c r="A66" s="15" t="s">
        <v>767</v>
      </c>
      <c r="B66" s="19" t="s">
        <v>770</v>
      </c>
      <c r="C66" s="20" t="s">
        <v>771</v>
      </c>
      <c r="D66" s="19">
        <v>85043</v>
      </c>
    </row>
    <row r="67" ht="17.25" customHeight="1" spans="1:4">
      <c r="A67" s="15" t="s">
        <v>767</v>
      </c>
      <c r="B67" s="15" t="s">
        <v>772</v>
      </c>
      <c r="C67" s="16" t="s">
        <v>773</v>
      </c>
      <c r="D67" s="15">
        <v>85043</v>
      </c>
    </row>
    <row r="68" ht="17.25" customHeight="1" spans="1:4">
      <c r="A68" s="15" t="s">
        <v>767</v>
      </c>
      <c r="B68" s="15" t="s">
        <v>774</v>
      </c>
      <c r="C68" s="16" t="s">
        <v>775</v>
      </c>
      <c r="D68" s="15">
        <v>85043</v>
      </c>
    </row>
    <row r="69" ht="17.25" customHeight="1" spans="1:4">
      <c r="A69" s="15" t="s">
        <v>767</v>
      </c>
      <c r="B69" s="15" t="s">
        <v>776</v>
      </c>
      <c r="C69" s="16" t="s">
        <v>777</v>
      </c>
      <c r="D69" s="15">
        <v>85043</v>
      </c>
    </row>
    <row r="70" ht="17.25" customHeight="1" spans="1:4">
      <c r="A70" s="15" t="s">
        <v>767</v>
      </c>
      <c r="B70" s="17" t="s">
        <v>778</v>
      </c>
      <c r="C70" s="18" t="s">
        <v>777</v>
      </c>
      <c r="D70" s="17">
        <v>85043</v>
      </c>
    </row>
    <row r="71" ht="17.25" customHeight="1" spans="1:4">
      <c r="A71" s="15" t="s">
        <v>767</v>
      </c>
      <c r="B71" s="19" t="s">
        <v>779</v>
      </c>
      <c r="C71" s="20" t="s">
        <v>780</v>
      </c>
      <c r="D71" s="19">
        <v>85034</v>
      </c>
    </row>
    <row r="72" ht="17.25" customHeight="1" spans="1:4">
      <c r="A72" s="15" t="s">
        <v>767</v>
      </c>
      <c r="B72" s="17" t="s">
        <v>781</v>
      </c>
      <c r="C72" s="18" t="s">
        <v>782</v>
      </c>
      <c r="D72" s="17">
        <v>85001</v>
      </c>
    </row>
    <row r="73" ht="17.25" customHeight="1" spans="1:4">
      <c r="A73" s="15" t="s">
        <v>783</v>
      </c>
      <c r="B73" s="15" t="s">
        <v>784</v>
      </c>
      <c r="C73" s="16" t="s">
        <v>785</v>
      </c>
      <c r="D73" s="15">
        <v>80216</v>
      </c>
    </row>
    <row r="74" ht="17.25" customHeight="1" spans="1:4">
      <c r="A74" s="15" t="s">
        <v>783</v>
      </c>
      <c r="B74" s="15" t="s">
        <v>786</v>
      </c>
      <c r="C74" s="16" t="s">
        <v>787</v>
      </c>
      <c r="D74" s="15">
        <v>80019</v>
      </c>
    </row>
    <row r="75" ht="17.25" customHeight="1" spans="1:4">
      <c r="A75" s="15" t="s">
        <v>783</v>
      </c>
      <c r="B75" s="17" t="s">
        <v>788</v>
      </c>
      <c r="C75" s="18" t="s">
        <v>789</v>
      </c>
      <c r="D75" s="17">
        <v>80011</v>
      </c>
    </row>
    <row r="76" ht="17.25" customHeight="1" spans="1:4">
      <c r="A76" s="15" t="s">
        <v>790</v>
      </c>
      <c r="B76" s="15" t="s">
        <v>791</v>
      </c>
      <c r="C76" s="16" t="s">
        <v>792</v>
      </c>
      <c r="D76" s="15">
        <v>78666</v>
      </c>
    </row>
    <row r="77" ht="17.25" customHeight="1" spans="1:4">
      <c r="A77" s="15" t="s">
        <v>790</v>
      </c>
      <c r="B77" s="17" t="s">
        <v>793</v>
      </c>
      <c r="C77" s="18" t="s">
        <v>794</v>
      </c>
      <c r="D77" s="17">
        <v>78227</v>
      </c>
    </row>
    <row r="78" ht="17.25" customHeight="1" spans="1:4">
      <c r="A78" s="15" t="s">
        <v>790</v>
      </c>
      <c r="B78" s="15" t="s">
        <v>795</v>
      </c>
      <c r="C78" s="16" t="s">
        <v>796</v>
      </c>
      <c r="D78" s="15">
        <v>78154</v>
      </c>
    </row>
    <row r="79" ht="17.25" customHeight="1" spans="1:4">
      <c r="A79" s="15" t="s">
        <v>790</v>
      </c>
      <c r="B79" s="17" t="s">
        <v>797</v>
      </c>
      <c r="C79" s="18" t="s">
        <v>798</v>
      </c>
      <c r="D79" s="17">
        <v>77338</v>
      </c>
    </row>
    <row r="80" ht="17.25" customHeight="1" spans="1:4">
      <c r="A80" s="15" t="s">
        <v>790</v>
      </c>
      <c r="B80" s="17" t="s">
        <v>799</v>
      </c>
      <c r="C80" s="18" t="s">
        <v>800</v>
      </c>
      <c r="D80" s="17">
        <v>77001</v>
      </c>
    </row>
    <row r="81" ht="17.25" customHeight="1" spans="1:4">
      <c r="A81" s="15" t="s">
        <v>790</v>
      </c>
      <c r="B81" s="15" t="s">
        <v>801</v>
      </c>
      <c r="C81" s="16" t="s">
        <v>802</v>
      </c>
      <c r="D81" s="15">
        <v>76177</v>
      </c>
    </row>
    <row r="82" ht="17.25" customHeight="1" spans="1:4">
      <c r="A82" s="15" t="s">
        <v>790</v>
      </c>
      <c r="B82" s="15" t="s">
        <v>803</v>
      </c>
      <c r="C82" s="16" t="s">
        <v>804</v>
      </c>
      <c r="D82" s="15">
        <v>76177</v>
      </c>
    </row>
    <row r="83" ht="17.25" customHeight="1" spans="1:4">
      <c r="A83" s="15" t="s">
        <v>790</v>
      </c>
      <c r="B83" s="15" t="s">
        <v>805</v>
      </c>
      <c r="C83" s="16" t="s">
        <v>806</v>
      </c>
      <c r="D83" s="15">
        <v>76155</v>
      </c>
    </row>
    <row r="84" ht="17.25" customHeight="1" spans="1:4">
      <c r="A84" s="15" t="s">
        <v>790</v>
      </c>
      <c r="B84" s="17" t="s">
        <v>807</v>
      </c>
      <c r="C84" s="18" t="s">
        <v>808</v>
      </c>
      <c r="D84" s="17">
        <v>76106</v>
      </c>
    </row>
    <row r="85" ht="17.25" customHeight="1" spans="1:4">
      <c r="A85" s="15" t="s">
        <v>790</v>
      </c>
      <c r="B85" s="15" t="s">
        <v>809</v>
      </c>
      <c r="C85" s="16" t="s">
        <v>810</v>
      </c>
      <c r="D85" s="15">
        <v>75261</v>
      </c>
    </row>
    <row r="86" ht="17.25" customHeight="1" spans="1:4">
      <c r="A86" s="21" t="s">
        <v>790</v>
      </c>
      <c r="B86" s="21" t="s">
        <v>811</v>
      </c>
      <c r="C86" s="22" t="s">
        <v>812</v>
      </c>
      <c r="D86" s="21">
        <v>75241</v>
      </c>
    </row>
    <row r="87" ht="17.25" customHeight="1" spans="1:4">
      <c r="A87" s="15" t="s">
        <v>790</v>
      </c>
      <c r="B87" s="17" t="s">
        <v>813</v>
      </c>
      <c r="C87" s="18" t="s">
        <v>814</v>
      </c>
      <c r="D87" s="17">
        <v>75234</v>
      </c>
    </row>
    <row r="88" ht="17.25" customHeight="1" spans="1:4">
      <c r="A88" s="15" t="s">
        <v>673</v>
      </c>
      <c r="B88" s="17" t="s">
        <v>815</v>
      </c>
      <c r="C88" s="18" t="s">
        <v>816</v>
      </c>
      <c r="D88" s="17">
        <v>75234</v>
      </c>
    </row>
    <row r="89" ht="17.25" customHeight="1" spans="1:4">
      <c r="A89" s="15" t="s">
        <v>790</v>
      </c>
      <c r="B89" s="17" t="s">
        <v>817</v>
      </c>
      <c r="C89" s="18" t="s">
        <v>818</v>
      </c>
      <c r="D89" s="17">
        <v>75134</v>
      </c>
    </row>
    <row r="90" ht="17.25" customHeight="1" spans="1:4">
      <c r="A90" s="15" t="s">
        <v>790</v>
      </c>
      <c r="B90" s="17" t="s">
        <v>819</v>
      </c>
      <c r="C90" s="18" t="s">
        <v>820</v>
      </c>
      <c r="D90" s="17">
        <v>75063</v>
      </c>
    </row>
    <row r="91" ht="17.25" customHeight="1" spans="1:4">
      <c r="A91" s="15" t="s">
        <v>790</v>
      </c>
      <c r="B91" s="15">
        <v>2017</v>
      </c>
      <c r="C91" s="16" t="s">
        <v>821</v>
      </c>
      <c r="D91" s="15">
        <v>75019</v>
      </c>
    </row>
    <row r="92" ht="17.25" customHeight="1" spans="1:4">
      <c r="A92" s="15" t="s">
        <v>790</v>
      </c>
      <c r="B92" s="15" t="s">
        <v>822</v>
      </c>
      <c r="C92" s="16" t="s">
        <v>823</v>
      </c>
      <c r="D92" s="15">
        <v>75019</v>
      </c>
    </row>
    <row r="93" ht="17.25" customHeight="1" spans="1:4">
      <c r="A93" s="15" t="s">
        <v>790</v>
      </c>
      <c r="B93" s="17" t="s">
        <v>824</v>
      </c>
      <c r="C93" s="18" t="s">
        <v>825</v>
      </c>
      <c r="D93" s="17">
        <v>75014</v>
      </c>
    </row>
    <row r="94" ht="17.25" customHeight="1" spans="1:4">
      <c r="A94" s="15" t="s">
        <v>790</v>
      </c>
      <c r="B94" s="17" t="s">
        <v>826</v>
      </c>
      <c r="C94" s="18" t="s">
        <v>827</v>
      </c>
      <c r="D94" s="17">
        <v>73301</v>
      </c>
    </row>
    <row r="95" ht="17.25" customHeight="1" spans="1:4">
      <c r="A95" s="15" t="s">
        <v>828</v>
      </c>
      <c r="B95" s="17" t="s">
        <v>829</v>
      </c>
      <c r="C95" s="18" t="s">
        <v>830</v>
      </c>
      <c r="D95" s="17">
        <v>73179</v>
      </c>
    </row>
    <row r="96" ht="17.25" customHeight="1" spans="1:4">
      <c r="A96" s="15" t="s">
        <v>831</v>
      </c>
      <c r="B96" s="15">
        <v>2017</v>
      </c>
      <c r="C96" s="16" t="s">
        <v>832</v>
      </c>
      <c r="D96" s="15">
        <v>66226</v>
      </c>
    </row>
    <row r="97" ht="17.25" customHeight="1" spans="1:4">
      <c r="A97" s="15" t="s">
        <v>831</v>
      </c>
      <c r="B97" s="17" t="s">
        <v>833</v>
      </c>
      <c r="C97" s="18" t="s">
        <v>834</v>
      </c>
      <c r="D97" s="17">
        <v>66219</v>
      </c>
    </row>
    <row r="98" ht="17.25" customHeight="1" spans="1:4">
      <c r="A98" s="15" t="s">
        <v>831</v>
      </c>
      <c r="B98" s="15" t="s">
        <v>835</v>
      </c>
      <c r="C98" s="16" t="s">
        <v>836</v>
      </c>
      <c r="D98" s="15">
        <v>66102</v>
      </c>
    </row>
    <row r="99" ht="17.25" customHeight="1" spans="1:4">
      <c r="A99" s="15" t="s">
        <v>831</v>
      </c>
      <c r="B99" s="15" t="s">
        <v>837</v>
      </c>
      <c r="C99" s="16" t="s">
        <v>838</v>
      </c>
      <c r="D99" s="15">
        <v>66031</v>
      </c>
    </row>
    <row r="100" ht="17.25" customHeight="1" spans="1:4">
      <c r="A100" s="15" t="s">
        <v>831</v>
      </c>
      <c r="B100" s="15" t="s">
        <v>839</v>
      </c>
      <c r="C100" s="16" t="s">
        <v>840</v>
      </c>
      <c r="D100" s="15">
        <v>66030</v>
      </c>
    </row>
    <row r="101" ht="17.25" customHeight="1" spans="1:4">
      <c r="A101" s="15" t="s">
        <v>841</v>
      </c>
      <c r="B101" s="15" t="s">
        <v>842</v>
      </c>
      <c r="C101" s="16" t="s">
        <v>843</v>
      </c>
      <c r="D101" s="15">
        <v>62025</v>
      </c>
    </row>
    <row r="102" ht="17.25" customHeight="1" spans="1:4">
      <c r="A102" s="15" t="s">
        <v>841</v>
      </c>
      <c r="B102" s="15" t="s">
        <v>844</v>
      </c>
      <c r="C102" s="16" t="s">
        <v>845</v>
      </c>
      <c r="D102" s="15">
        <v>62025</v>
      </c>
    </row>
    <row r="103" ht="17.25" customHeight="1" spans="1:4">
      <c r="A103" s="15" t="s">
        <v>841</v>
      </c>
      <c r="B103" s="15" t="s">
        <v>846</v>
      </c>
      <c r="C103" s="16" t="s">
        <v>847</v>
      </c>
      <c r="D103" s="15">
        <v>62025</v>
      </c>
    </row>
    <row r="104" ht="17.25" customHeight="1" spans="1:4">
      <c r="A104" s="15" t="s">
        <v>841</v>
      </c>
      <c r="B104" s="17" t="s">
        <v>848</v>
      </c>
      <c r="C104" s="18" t="s">
        <v>849</v>
      </c>
      <c r="D104" s="17">
        <v>60642</v>
      </c>
    </row>
    <row r="105" ht="17.25" customHeight="1" spans="1:4">
      <c r="A105" s="15" t="s">
        <v>850</v>
      </c>
      <c r="B105" s="17" t="s">
        <v>851</v>
      </c>
      <c r="C105" s="18" t="s">
        <v>852</v>
      </c>
      <c r="D105" s="17">
        <v>60608</v>
      </c>
    </row>
    <row r="106" ht="17.25" customHeight="1" spans="1:4">
      <c r="A106" s="15" t="s">
        <v>841</v>
      </c>
      <c r="B106" s="15">
        <v>2018</v>
      </c>
      <c r="C106" s="16" t="s">
        <v>853</v>
      </c>
      <c r="D106" s="15">
        <v>60563</v>
      </c>
    </row>
    <row r="107" ht="17.25" customHeight="1" spans="1:4">
      <c r="A107" s="15" t="s">
        <v>850</v>
      </c>
      <c r="B107" s="17" t="s">
        <v>854</v>
      </c>
      <c r="C107" s="18" t="s">
        <v>855</v>
      </c>
      <c r="D107" s="17">
        <v>60532</v>
      </c>
    </row>
    <row r="108" ht="17.25" customHeight="1" spans="1:4">
      <c r="A108" s="15" t="s">
        <v>841</v>
      </c>
      <c r="B108" s="15" t="s">
        <v>856</v>
      </c>
      <c r="C108" s="16" t="s">
        <v>857</v>
      </c>
      <c r="D108" s="15">
        <v>60449</v>
      </c>
    </row>
    <row r="109" ht="17.25" customHeight="1" spans="1:4">
      <c r="A109" s="15" t="s">
        <v>841</v>
      </c>
      <c r="B109" s="15" t="s">
        <v>858</v>
      </c>
      <c r="C109" s="16" t="s">
        <v>859</v>
      </c>
      <c r="D109" s="15">
        <v>60449</v>
      </c>
    </row>
    <row r="110" ht="17.25" customHeight="1" spans="1:4">
      <c r="A110" s="15" t="s">
        <v>841</v>
      </c>
      <c r="B110" s="15" t="s">
        <v>860</v>
      </c>
      <c r="C110" s="16" t="s">
        <v>861</v>
      </c>
      <c r="D110" s="15">
        <v>60446</v>
      </c>
    </row>
    <row r="111" ht="17.25" customHeight="1" spans="1:4">
      <c r="A111" s="21" t="s">
        <v>841</v>
      </c>
      <c r="B111" s="21" t="s">
        <v>862</v>
      </c>
      <c r="C111" s="22" t="s">
        <v>863</v>
      </c>
      <c r="D111" s="21">
        <v>60433</v>
      </c>
    </row>
    <row r="112" ht="17.25" customHeight="1" spans="1:4">
      <c r="A112" s="15" t="s">
        <v>841</v>
      </c>
      <c r="B112" s="17" t="s">
        <v>864</v>
      </c>
      <c r="C112" s="18" t="s">
        <v>865</v>
      </c>
      <c r="D112" s="17">
        <v>60191</v>
      </c>
    </row>
    <row r="113" ht="17.25" customHeight="1" spans="1:4">
      <c r="A113" s="15" t="s">
        <v>850</v>
      </c>
      <c r="B113" s="17" t="s">
        <v>866</v>
      </c>
      <c r="C113" s="18" t="s">
        <v>867</v>
      </c>
      <c r="D113" s="17">
        <v>60053</v>
      </c>
    </row>
    <row r="114" ht="17.25" customHeight="1" spans="1:4">
      <c r="A114" s="15" t="s">
        <v>756</v>
      </c>
      <c r="B114" s="17" t="s">
        <v>868</v>
      </c>
      <c r="C114" s="18" t="s">
        <v>869</v>
      </c>
      <c r="D114" s="17">
        <v>55414</v>
      </c>
    </row>
    <row r="115" ht="17.25" customHeight="1" spans="1:4">
      <c r="A115" s="15" t="s">
        <v>870</v>
      </c>
      <c r="B115" s="15" t="s">
        <v>871</v>
      </c>
      <c r="C115" s="16" t="s">
        <v>872</v>
      </c>
      <c r="D115" s="15">
        <v>55379</v>
      </c>
    </row>
    <row r="116" ht="17.25" customHeight="1" spans="1:4">
      <c r="A116" s="15" t="s">
        <v>870</v>
      </c>
      <c r="B116" s="17" t="s">
        <v>873</v>
      </c>
      <c r="C116" s="18" t="s">
        <v>874</v>
      </c>
      <c r="D116" s="17">
        <v>55379</v>
      </c>
    </row>
    <row r="117" ht="17.25" customHeight="1" spans="1:4">
      <c r="A117" s="15" t="s">
        <v>870</v>
      </c>
      <c r="B117" s="17" t="s">
        <v>875</v>
      </c>
      <c r="C117" s="18" t="s">
        <v>876</v>
      </c>
      <c r="D117" s="17">
        <v>55121</v>
      </c>
    </row>
    <row r="118" ht="17.25" customHeight="1" spans="1:4">
      <c r="A118" s="15" t="s">
        <v>877</v>
      </c>
      <c r="B118" s="15" t="s">
        <v>878</v>
      </c>
      <c r="C118" s="16" t="s">
        <v>879</v>
      </c>
      <c r="D118" s="15">
        <v>53144</v>
      </c>
    </row>
    <row r="119" ht="17.25" customHeight="1" spans="1:4">
      <c r="A119" s="15" t="s">
        <v>877</v>
      </c>
      <c r="B119" s="17" t="s">
        <v>880</v>
      </c>
      <c r="C119" s="18" t="s">
        <v>881</v>
      </c>
      <c r="D119" s="17">
        <v>53144</v>
      </c>
    </row>
    <row r="120" ht="17.25" customHeight="1" spans="1:4">
      <c r="A120" s="15" t="s">
        <v>877</v>
      </c>
      <c r="B120" s="17" t="s">
        <v>882</v>
      </c>
      <c r="C120" s="18" t="s">
        <v>883</v>
      </c>
      <c r="D120" s="17">
        <v>53125</v>
      </c>
    </row>
    <row r="121" ht="17.25" customHeight="1" spans="1:4">
      <c r="A121" s="15" t="s">
        <v>884</v>
      </c>
      <c r="B121" s="17" t="s">
        <v>885</v>
      </c>
      <c r="C121" s="18" t="s">
        <v>886</v>
      </c>
      <c r="D121" s="17">
        <v>48183</v>
      </c>
    </row>
    <row r="122" ht="17.25" customHeight="1" spans="1:4">
      <c r="A122" s="15" t="s">
        <v>887</v>
      </c>
      <c r="B122" s="15" t="s">
        <v>888</v>
      </c>
      <c r="C122" s="16" t="s">
        <v>889</v>
      </c>
      <c r="D122" s="15">
        <v>48150</v>
      </c>
    </row>
    <row r="123" ht="17.25" customHeight="1" spans="1:4">
      <c r="A123" s="15" t="s">
        <v>890</v>
      </c>
      <c r="B123" s="15" t="s">
        <v>891</v>
      </c>
      <c r="C123" s="16" t="s">
        <v>892</v>
      </c>
      <c r="D123" s="15">
        <v>47130</v>
      </c>
    </row>
    <row r="124" ht="17.25" customHeight="1" spans="1:4">
      <c r="A124" s="15" t="s">
        <v>890</v>
      </c>
      <c r="B124" s="15" t="s">
        <v>893</v>
      </c>
      <c r="C124" s="16" t="s">
        <v>894</v>
      </c>
      <c r="D124" s="15">
        <v>46241</v>
      </c>
    </row>
    <row r="125" ht="17.25" customHeight="1" spans="1:4">
      <c r="A125" s="15" t="s">
        <v>890</v>
      </c>
      <c r="B125" s="15" t="s">
        <v>895</v>
      </c>
      <c r="C125" s="16" t="s">
        <v>896</v>
      </c>
      <c r="D125" s="15">
        <v>46168</v>
      </c>
    </row>
    <row r="126" ht="17.25" customHeight="1" spans="1:4">
      <c r="A126" s="15" t="s">
        <v>890</v>
      </c>
      <c r="B126" s="15" t="s">
        <v>897</v>
      </c>
      <c r="C126" s="16" t="s">
        <v>898</v>
      </c>
      <c r="D126" s="15">
        <v>46168</v>
      </c>
    </row>
    <row r="127" ht="17.25" customHeight="1" spans="1:4">
      <c r="A127" s="15" t="s">
        <v>890</v>
      </c>
      <c r="B127" s="15" t="s">
        <v>899</v>
      </c>
      <c r="C127" s="16" t="s">
        <v>900</v>
      </c>
      <c r="D127" s="15">
        <v>46075</v>
      </c>
    </row>
    <row r="128" ht="17.25" customHeight="1" spans="1:4">
      <c r="A128" s="15" t="s">
        <v>890</v>
      </c>
      <c r="B128" s="15" t="s">
        <v>901</v>
      </c>
      <c r="C128" s="16" t="s">
        <v>902</v>
      </c>
      <c r="D128" s="15">
        <v>46075</v>
      </c>
    </row>
    <row r="129" ht="17.25" customHeight="1" spans="1:4">
      <c r="A129" s="15" t="s">
        <v>903</v>
      </c>
      <c r="B129" s="17" t="s">
        <v>904</v>
      </c>
      <c r="C129" s="18" t="s">
        <v>905</v>
      </c>
      <c r="D129" s="17">
        <v>44087</v>
      </c>
    </row>
    <row r="130" ht="17.25" customHeight="1" spans="1:4">
      <c r="A130" s="15" t="s">
        <v>673</v>
      </c>
      <c r="B130" s="17" t="s">
        <v>906</v>
      </c>
      <c r="C130" s="18" t="s">
        <v>907</v>
      </c>
      <c r="D130" s="17">
        <v>43204</v>
      </c>
    </row>
    <row r="131" ht="17.25" customHeight="1" spans="1:4">
      <c r="A131" s="15" t="s">
        <v>903</v>
      </c>
      <c r="B131" s="15" t="s">
        <v>908</v>
      </c>
      <c r="C131" s="16" t="s">
        <v>909</v>
      </c>
      <c r="D131" s="15">
        <v>43125</v>
      </c>
    </row>
    <row r="132" ht="17.25" customHeight="1" spans="1:4">
      <c r="A132" s="15" t="s">
        <v>903</v>
      </c>
      <c r="B132" s="15" t="s">
        <v>910</v>
      </c>
      <c r="C132" s="16" t="s">
        <v>911</v>
      </c>
      <c r="D132" s="15">
        <v>43062</v>
      </c>
    </row>
    <row r="133" ht="17.25" customHeight="1" spans="1:4">
      <c r="A133" s="15" t="s">
        <v>912</v>
      </c>
      <c r="B133" s="15" t="s">
        <v>913</v>
      </c>
      <c r="C133" s="16" t="s">
        <v>914</v>
      </c>
      <c r="D133" s="15">
        <v>42718</v>
      </c>
    </row>
    <row r="134" ht="17.25" customHeight="1" spans="1:4">
      <c r="A134" s="15" t="s">
        <v>912</v>
      </c>
      <c r="B134" s="15" t="s">
        <v>915</v>
      </c>
      <c r="C134" s="16" t="s">
        <v>916</v>
      </c>
      <c r="D134" s="15">
        <v>41048</v>
      </c>
    </row>
    <row r="135" ht="17.25" customHeight="1" spans="1:4">
      <c r="A135" s="15" t="s">
        <v>912</v>
      </c>
      <c r="B135" s="15" t="s">
        <v>917</v>
      </c>
      <c r="C135" s="16" t="s">
        <v>918</v>
      </c>
      <c r="D135" s="15">
        <v>41048</v>
      </c>
    </row>
    <row r="136" ht="17.25" customHeight="1" spans="1:4">
      <c r="A136" s="15" t="s">
        <v>912</v>
      </c>
      <c r="B136" s="17" t="s">
        <v>919</v>
      </c>
      <c r="C136" s="18" t="s">
        <v>920</v>
      </c>
      <c r="D136" s="17">
        <v>41048</v>
      </c>
    </row>
    <row r="137" ht="17.25" customHeight="1" spans="1:4">
      <c r="A137" s="15" t="s">
        <v>912</v>
      </c>
      <c r="B137" s="15" t="s">
        <v>921</v>
      </c>
      <c r="C137" s="16" t="s">
        <v>922</v>
      </c>
      <c r="D137" s="15">
        <v>41048</v>
      </c>
    </row>
    <row r="138" ht="17.25" customHeight="1" spans="1:4">
      <c r="A138" s="15" t="s">
        <v>912</v>
      </c>
      <c r="B138" s="15" t="s">
        <v>923</v>
      </c>
      <c r="C138" s="16" t="s">
        <v>924</v>
      </c>
      <c r="D138" s="15">
        <v>41042</v>
      </c>
    </row>
    <row r="139" ht="17.25" customHeight="1" spans="1:4">
      <c r="A139" s="15" t="s">
        <v>912</v>
      </c>
      <c r="B139" s="15" t="s">
        <v>925</v>
      </c>
      <c r="C139" s="16" t="s">
        <v>926</v>
      </c>
      <c r="D139" s="15">
        <v>40511</v>
      </c>
    </row>
    <row r="140" ht="17.25" customHeight="1" spans="1:4">
      <c r="A140" s="15" t="s">
        <v>912</v>
      </c>
      <c r="B140" s="15" t="s">
        <v>927</v>
      </c>
      <c r="C140" s="16" t="s">
        <v>928</v>
      </c>
      <c r="D140" s="15">
        <v>40511</v>
      </c>
    </row>
    <row r="141" ht="17.25" customHeight="1" spans="1:4">
      <c r="A141" s="15" t="s">
        <v>912</v>
      </c>
      <c r="B141" s="15" t="s">
        <v>929</v>
      </c>
      <c r="C141" s="16" t="s">
        <v>930</v>
      </c>
      <c r="D141" s="15">
        <v>40218</v>
      </c>
    </row>
    <row r="142" ht="17.25" customHeight="1" spans="1:4">
      <c r="A142" s="15" t="s">
        <v>912</v>
      </c>
      <c r="B142" s="15" t="s">
        <v>931</v>
      </c>
      <c r="C142" s="16" t="s">
        <v>932</v>
      </c>
      <c r="D142" s="15">
        <v>40165</v>
      </c>
    </row>
    <row r="143" ht="17.25" customHeight="1" spans="1:4">
      <c r="A143" s="15" t="s">
        <v>912</v>
      </c>
      <c r="B143" s="15" t="s">
        <v>933</v>
      </c>
      <c r="C143" s="16" t="s">
        <v>934</v>
      </c>
      <c r="D143" s="15">
        <v>40165</v>
      </c>
    </row>
    <row r="144" ht="17.25" customHeight="1" spans="1:4">
      <c r="A144" s="15" t="s">
        <v>912</v>
      </c>
      <c r="B144" s="15" t="s">
        <v>935</v>
      </c>
      <c r="C144" s="16" t="s">
        <v>936</v>
      </c>
      <c r="D144" s="15">
        <v>40165</v>
      </c>
    </row>
    <row r="145" ht="17.25" customHeight="1" spans="1:4">
      <c r="A145" s="15" t="s">
        <v>912</v>
      </c>
      <c r="B145" s="15" t="s">
        <v>937</v>
      </c>
      <c r="C145" s="16" t="s">
        <v>938</v>
      </c>
      <c r="D145" s="15">
        <v>40165</v>
      </c>
    </row>
    <row r="146" ht="17.25" customHeight="1" spans="1:4">
      <c r="A146" s="15" t="s">
        <v>939</v>
      </c>
      <c r="B146" s="15" t="s">
        <v>940</v>
      </c>
      <c r="C146" s="16" t="s">
        <v>941</v>
      </c>
      <c r="D146" s="15">
        <v>37416</v>
      </c>
    </row>
    <row r="147" ht="17.25" customHeight="1" spans="1:4">
      <c r="A147" s="15" t="s">
        <v>939</v>
      </c>
      <c r="B147" s="15" t="s">
        <v>942</v>
      </c>
      <c r="C147" s="16" t="s">
        <v>943</v>
      </c>
      <c r="D147" s="15">
        <v>37310</v>
      </c>
    </row>
    <row r="148" ht="17.25" customHeight="1" spans="1:4">
      <c r="A148" s="15" t="s">
        <v>939</v>
      </c>
      <c r="B148" s="17" t="s">
        <v>944</v>
      </c>
      <c r="C148" s="18" t="s">
        <v>945</v>
      </c>
      <c r="D148" s="17">
        <v>37217</v>
      </c>
    </row>
    <row r="149" ht="17.25" customHeight="1" spans="1:4">
      <c r="A149" s="15" t="s">
        <v>939</v>
      </c>
      <c r="B149" s="15" t="s">
        <v>946</v>
      </c>
      <c r="C149" s="16" t="s">
        <v>947</v>
      </c>
      <c r="D149" s="15">
        <v>37127</v>
      </c>
    </row>
    <row r="150" ht="17.25" customHeight="1" spans="1:4">
      <c r="A150" s="15" t="s">
        <v>939</v>
      </c>
      <c r="B150" s="15" t="s">
        <v>948</v>
      </c>
      <c r="C150" s="16" t="s">
        <v>949</v>
      </c>
      <c r="D150" s="15">
        <v>37090</v>
      </c>
    </row>
    <row r="151" ht="17.25" customHeight="1" spans="1:4">
      <c r="A151" s="15" t="s">
        <v>939</v>
      </c>
      <c r="B151" s="15" t="s">
        <v>950</v>
      </c>
      <c r="C151" s="16" t="s">
        <v>951</v>
      </c>
      <c r="D151" s="15">
        <v>37087</v>
      </c>
    </row>
    <row r="152" ht="17.25" customHeight="1" spans="1:4">
      <c r="A152" s="15" t="s">
        <v>952</v>
      </c>
      <c r="B152" s="17" t="s">
        <v>953</v>
      </c>
      <c r="C152" s="18" t="s">
        <v>954</v>
      </c>
      <c r="D152" s="17">
        <v>33897</v>
      </c>
    </row>
    <row r="153" ht="17.25" customHeight="1" spans="1:4">
      <c r="A153" s="15" t="s">
        <v>952</v>
      </c>
      <c r="B153" s="15" t="s">
        <v>955</v>
      </c>
      <c r="C153" s="16" t="s">
        <v>956</v>
      </c>
      <c r="D153" s="15">
        <v>33811</v>
      </c>
    </row>
    <row r="154" ht="17.25" customHeight="1" spans="1:4">
      <c r="A154" s="15" t="s">
        <v>952</v>
      </c>
      <c r="B154" s="17" t="s">
        <v>957</v>
      </c>
      <c r="C154" s="18" t="s">
        <v>958</v>
      </c>
      <c r="D154" s="17">
        <v>33605</v>
      </c>
    </row>
    <row r="155" ht="17.25" customHeight="1" spans="1:4">
      <c r="A155" s="15" t="s">
        <v>952</v>
      </c>
      <c r="B155" s="15" t="s">
        <v>959</v>
      </c>
      <c r="C155" s="16" t="s">
        <v>960</v>
      </c>
      <c r="D155" s="15">
        <v>33570</v>
      </c>
    </row>
    <row r="156" ht="17.25" customHeight="1" spans="1:4">
      <c r="A156" s="15" t="s">
        <v>952</v>
      </c>
      <c r="B156" s="17" t="s">
        <v>961</v>
      </c>
      <c r="C156" s="18" t="s">
        <v>962</v>
      </c>
      <c r="D156" s="17">
        <v>33182</v>
      </c>
    </row>
    <row r="157" ht="17.25" customHeight="1" spans="1:4">
      <c r="A157" s="15" t="s">
        <v>952</v>
      </c>
      <c r="B157" s="17" t="s">
        <v>963</v>
      </c>
      <c r="C157" s="18" t="s">
        <v>964</v>
      </c>
      <c r="D157" s="17">
        <v>33169</v>
      </c>
    </row>
    <row r="158" ht="17.25" customHeight="1" spans="1:4">
      <c r="A158" s="15" t="s">
        <v>952</v>
      </c>
      <c r="B158" s="17" t="s">
        <v>965</v>
      </c>
      <c r="C158" s="18" t="s">
        <v>966</v>
      </c>
      <c r="D158" s="17">
        <v>33122</v>
      </c>
    </row>
    <row r="159" ht="17.25" customHeight="1" spans="1:4">
      <c r="A159" s="15" t="s">
        <v>952</v>
      </c>
      <c r="B159" s="15" t="s">
        <v>967</v>
      </c>
      <c r="C159" s="16" t="s">
        <v>968</v>
      </c>
      <c r="D159" s="15">
        <v>33054</v>
      </c>
    </row>
    <row r="160" ht="17.25" customHeight="1" spans="1:4">
      <c r="A160" s="15" t="s">
        <v>969</v>
      </c>
      <c r="B160" s="17" t="s">
        <v>970</v>
      </c>
      <c r="C160" s="18" t="s">
        <v>971</v>
      </c>
      <c r="D160" s="17">
        <v>32819</v>
      </c>
    </row>
    <row r="161" ht="17.25" customHeight="1" spans="1:4">
      <c r="A161" s="15" t="s">
        <v>952</v>
      </c>
      <c r="B161" s="17" t="s">
        <v>972</v>
      </c>
      <c r="C161" s="18" t="s">
        <v>973</v>
      </c>
      <c r="D161" s="17">
        <v>32226</v>
      </c>
    </row>
    <row r="162" ht="17.25" customHeight="1" spans="1:4">
      <c r="A162" s="15" t="s">
        <v>952</v>
      </c>
      <c r="B162" s="15" t="s">
        <v>974</v>
      </c>
      <c r="C162" s="16" t="s">
        <v>975</v>
      </c>
      <c r="D162" s="15">
        <v>32221</v>
      </c>
    </row>
    <row r="163" ht="17.25" customHeight="1" spans="1:4">
      <c r="A163" s="15" t="s">
        <v>952</v>
      </c>
      <c r="B163" s="17" t="s">
        <v>976</v>
      </c>
      <c r="C163" s="18" t="s">
        <v>977</v>
      </c>
      <c r="D163" s="17">
        <v>32219</v>
      </c>
    </row>
    <row r="164" ht="17.25" customHeight="1" spans="1:4">
      <c r="A164" s="15" t="s">
        <v>952</v>
      </c>
      <c r="B164" s="15" t="s">
        <v>978</v>
      </c>
      <c r="C164" s="16" t="s">
        <v>979</v>
      </c>
      <c r="D164" s="15">
        <v>32218</v>
      </c>
    </row>
    <row r="165" ht="17.25" customHeight="1" spans="1:4">
      <c r="A165" s="15" t="s">
        <v>969</v>
      </c>
      <c r="B165" s="15" t="s">
        <v>980</v>
      </c>
      <c r="C165" s="16" t="s">
        <v>981</v>
      </c>
      <c r="D165" s="15">
        <v>30517</v>
      </c>
    </row>
    <row r="166" ht="17.25" customHeight="1" spans="1:4">
      <c r="A166" s="15" t="s">
        <v>969</v>
      </c>
      <c r="B166" s="17" t="s">
        <v>982</v>
      </c>
      <c r="C166" s="18" t="s">
        <v>983</v>
      </c>
      <c r="D166" s="17">
        <v>30344</v>
      </c>
    </row>
    <row r="167" ht="17.25" customHeight="1" spans="1:4">
      <c r="A167" s="15" t="s">
        <v>841</v>
      </c>
      <c r="B167" s="17" t="s">
        <v>984</v>
      </c>
      <c r="C167" s="18" t="s">
        <v>985</v>
      </c>
      <c r="D167" s="17">
        <v>30318</v>
      </c>
    </row>
    <row r="168" ht="17.25" customHeight="1" spans="1:4">
      <c r="A168" s="15" t="s">
        <v>969</v>
      </c>
      <c r="B168" s="15" t="s">
        <v>986</v>
      </c>
      <c r="C168" s="16" t="s">
        <v>987</v>
      </c>
      <c r="D168" s="15">
        <v>30291</v>
      </c>
    </row>
    <row r="169" ht="17.25" customHeight="1" spans="1:4">
      <c r="A169" s="15" t="s">
        <v>969</v>
      </c>
      <c r="B169" s="15" t="s">
        <v>988</v>
      </c>
      <c r="C169" s="16" t="s">
        <v>989</v>
      </c>
      <c r="D169" s="15">
        <v>30122</v>
      </c>
    </row>
    <row r="170" ht="17.25" customHeight="1" spans="1:4">
      <c r="A170" s="15" t="s">
        <v>969</v>
      </c>
      <c r="B170" s="15">
        <v>42675</v>
      </c>
      <c r="C170" s="16" t="s">
        <v>990</v>
      </c>
      <c r="D170" s="15">
        <v>30096</v>
      </c>
    </row>
    <row r="171" ht="17.25" customHeight="1" spans="1:4">
      <c r="A171" s="15" t="s">
        <v>991</v>
      </c>
      <c r="B171" s="15" t="s">
        <v>992</v>
      </c>
      <c r="C171" s="16" t="s">
        <v>993</v>
      </c>
      <c r="D171" s="15">
        <v>29303</v>
      </c>
    </row>
    <row r="172" ht="17.25" customHeight="1" spans="1:4">
      <c r="A172" s="15" t="s">
        <v>991</v>
      </c>
      <c r="B172" s="15" t="s">
        <v>994</v>
      </c>
      <c r="C172" s="16" t="s">
        <v>995</v>
      </c>
      <c r="D172" s="15">
        <v>29172</v>
      </c>
    </row>
    <row r="173" ht="17.25" customHeight="1" spans="1:4">
      <c r="A173" s="15" t="s">
        <v>991</v>
      </c>
      <c r="B173" s="15" t="s">
        <v>996</v>
      </c>
      <c r="C173" s="16" t="s">
        <v>997</v>
      </c>
      <c r="D173" s="15">
        <v>29172</v>
      </c>
    </row>
    <row r="174" ht="17.25" customHeight="1" spans="1:4">
      <c r="A174" s="21" t="s">
        <v>998</v>
      </c>
      <c r="B174" s="21" t="s">
        <v>999</v>
      </c>
      <c r="C174" s="22" t="s">
        <v>1000</v>
      </c>
      <c r="D174" s="21">
        <v>28214</v>
      </c>
    </row>
    <row r="175" ht="17.25" customHeight="1" spans="1:4">
      <c r="A175" s="15" t="s">
        <v>998</v>
      </c>
      <c r="B175" s="17" t="s">
        <v>1001</v>
      </c>
      <c r="C175" s="18" t="s">
        <v>1002</v>
      </c>
      <c r="D175" s="17">
        <v>28201</v>
      </c>
    </row>
    <row r="176" ht="17.25" customHeight="1" spans="1:4">
      <c r="A176" s="15" t="s">
        <v>998</v>
      </c>
      <c r="B176" s="17" t="s">
        <v>1003</v>
      </c>
      <c r="C176" s="18" t="s">
        <v>1004</v>
      </c>
      <c r="D176" s="17">
        <v>28027</v>
      </c>
    </row>
    <row r="177" ht="17.25" customHeight="1" spans="1:4">
      <c r="A177" s="15" t="s">
        <v>998</v>
      </c>
      <c r="B177" s="17" t="s">
        <v>1005</v>
      </c>
      <c r="C177" s="18" t="s">
        <v>1006</v>
      </c>
      <c r="D177" s="17">
        <v>27703</v>
      </c>
    </row>
    <row r="178" ht="17.25" customHeight="1" spans="1:4">
      <c r="A178" s="15" t="s">
        <v>903</v>
      </c>
      <c r="B178" s="17" t="s">
        <v>1007</v>
      </c>
      <c r="C178" s="18" t="s">
        <v>1008</v>
      </c>
      <c r="D178" s="17">
        <v>27609</v>
      </c>
    </row>
    <row r="179" ht="17.25" customHeight="1" spans="1:4">
      <c r="A179" s="15" t="s">
        <v>1009</v>
      </c>
      <c r="B179" s="15" t="s">
        <v>1010</v>
      </c>
      <c r="C179" s="16" t="s">
        <v>1011</v>
      </c>
      <c r="D179" s="15">
        <v>23836</v>
      </c>
    </row>
    <row r="180" ht="17.25" customHeight="1" spans="1:4">
      <c r="A180" s="15" t="s">
        <v>1009</v>
      </c>
      <c r="B180" s="17" t="s">
        <v>1012</v>
      </c>
      <c r="C180" s="18" t="s">
        <v>1013</v>
      </c>
      <c r="D180" s="17">
        <v>23836</v>
      </c>
    </row>
    <row r="181" ht="17.25" customHeight="1" spans="1:4">
      <c r="A181" s="15" t="s">
        <v>1009</v>
      </c>
      <c r="B181" s="15" t="s">
        <v>1014</v>
      </c>
      <c r="C181" s="16" t="s">
        <v>1015</v>
      </c>
      <c r="D181" s="15">
        <v>23803</v>
      </c>
    </row>
    <row r="182" ht="17.25" customHeight="1" spans="1:4">
      <c r="A182" s="15" t="s">
        <v>647</v>
      </c>
      <c r="B182" s="17" t="s">
        <v>1016</v>
      </c>
      <c r="C182" s="18" t="s">
        <v>1017</v>
      </c>
      <c r="D182" s="17">
        <v>23230</v>
      </c>
    </row>
    <row r="183" ht="17.25" customHeight="1" spans="1:4">
      <c r="A183" s="15" t="s">
        <v>1009</v>
      </c>
      <c r="B183" s="17" t="s">
        <v>1018</v>
      </c>
      <c r="C183" s="18" t="s">
        <v>1019</v>
      </c>
      <c r="D183" s="17">
        <v>22151</v>
      </c>
    </row>
    <row r="184" ht="17.25" customHeight="1" spans="1:4">
      <c r="A184" s="15" t="s">
        <v>1009</v>
      </c>
      <c r="B184" s="17" t="s">
        <v>1020</v>
      </c>
      <c r="C184" s="18" t="s">
        <v>1019</v>
      </c>
      <c r="D184" s="17">
        <v>22151</v>
      </c>
    </row>
    <row r="185" ht="17.25" customHeight="1" spans="1:4">
      <c r="A185" s="15" t="s">
        <v>1021</v>
      </c>
      <c r="B185" s="15" t="s">
        <v>1022</v>
      </c>
      <c r="C185" s="16" t="s">
        <v>1023</v>
      </c>
      <c r="D185" s="15">
        <v>21224</v>
      </c>
    </row>
    <row r="186" ht="17.25" customHeight="1" spans="1:4">
      <c r="A186" s="15" t="s">
        <v>1021</v>
      </c>
      <c r="B186" s="17" t="s">
        <v>1024</v>
      </c>
      <c r="C186" s="18" t="s">
        <v>1025</v>
      </c>
      <c r="D186" s="17">
        <v>21224</v>
      </c>
    </row>
    <row r="187" ht="17.25" customHeight="1" spans="1:4">
      <c r="A187" s="15" t="s">
        <v>1021</v>
      </c>
      <c r="B187" s="15" t="s">
        <v>1026</v>
      </c>
      <c r="C187" s="16" t="s">
        <v>1027</v>
      </c>
      <c r="D187" s="15">
        <v>21093</v>
      </c>
    </row>
    <row r="188" ht="17.25" customHeight="1" spans="1:4">
      <c r="A188" s="15" t="s">
        <v>1021</v>
      </c>
      <c r="B188" s="17" t="s">
        <v>1028</v>
      </c>
      <c r="C188" s="18" t="s">
        <v>1029</v>
      </c>
      <c r="D188" s="17">
        <v>20850</v>
      </c>
    </row>
    <row r="189" ht="17.25" customHeight="1" spans="1:4">
      <c r="A189" s="15" t="s">
        <v>1009</v>
      </c>
      <c r="B189" s="17" t="s">
        <v>1030</v>
      </c>
      <c r="C189" s="18" t="s">
        <v>1031</v>
      </c>
      <c r="D189" s="17">
        <v>20166</v>
      </c>
    </row>
    <row r="190" ht="17.25" customHeight="1" spans="1:4">
      <c r="A190" s="15" t="s">
        <v>1032</v>
      </c>
      <c r="B190" s="15" t="s">
        <v>1033</v>
      </c>
      <c r="C190" s="16" t="s">
        <v>1034</v>
      </c>
      <c r="D190" s="15">
        <v>19720</v>
      </c>
    </row>
    <row r="191" ht="17.25" customHeight="1" spans="1:4">
      <c r="A191" s="15" t="s">
        <v>1032</v>
      </c>
      <c r="B191" s="15" t="s">
        <v>1035</v>
      </c>
      <c r="C191" s="16" t="s">
        <v>1036</v>
      </c>
      <c r="D191" s="15">
        <v>19709</v>
      </c>
    </row>
    <row r="192" ht="17.25" customHeight="1" spans="1:4">
      <c r="A192" s="15" t="s">
        <v>670</v>
      </c>
      <c r="B192" s="17" t="s">
        <v>1037</v>
      </c>
      <c r="C192" s="18" t="s">
        <v>1038</v>
      </c>
      <c r="D192" s="17">
        <v>19137</v>
      </c>
    </row>
    <row r="193" ht="17.25" customHeight="1" spans="1:4">
      <c r="A193" s="15" t="s">
        <v>670</v>
      </c>
      <c r="B193" s="15" t="s">
        <v>1039</v>
      </c>
      <c r="C193" s="16" t="s">
        <v>1040</v>
      </c>
      <c r="D193" s="15">
        <v>18640</v>
      </c>
    </row>
    <row r="194" ht="17.25" customHeight="1" spans="1:4">
      <c r="A194" s="15" t="s">
        <v>670</v>
      </c>
      <c r="B194" s="15" t="s">
        <v>1041</v>
      </c>
      <c r="C194" s="16" t="s">
        <v>1042</v>
      </c>
      <c r="D194" s="15">
        <v>18424</v>
      </c>
    </row>
    <row r="195" ht="17.25" customHeight="1" spans="1:4">
      <c r="A195" s="15" t="s">
        <v>670</v>
      </c>
      <c r="B195" s="15" t="s">
        <v>1043</v>
      </c>
      <c r="C195" s="16" t="s">
        <v>1044</v>
      </c>
      <c r="D195" s="15">
        <v>18202</v>
      </c>
    </row>
    <row r="196" ht="17.25" customHeight="1" spans="1:4">
      <c r="A196" s="15" t="s">
        <v>670</v>
      </c>
      <c r="B196" s="15" t="s">
        <v>1045</v>
      </c>
      <c r="C196" s="16" t="s">
        <v>1046</v>
      </c>
      <c r="D196" s="15">
        <v>18045</v>
      </c>
    </row>
    <row r="197" ht="17.25" customHeight="1" spans="1:4">
      <c r="A197" s="15" t="s">
        <v>670</v>
      </c>
      <c r="B197" s="15" t="s">
        <v>1047</v>
      </c>
      <c r="C197" s="16" t="s">
        <v>1048</v>
      </c>
      <c r="D197" s="15">
        <v>18031</v>
      </c>
    </row>
    <row r="198" ht="17.25" customHeight="1" spans="1:4">
      <c r="A198" s="15" t="s">
        <v>670</v>
      </c>
      <c r="B198" s="15" t="s">
        <v>1049</v>
      </c>
      <c r="C198" s="16" t="s">
        <v>1050</v>
      </c>
      <c r="D198" s="15">
        <v>18020</v>
      </c>
    </row>
    <row r="199" ht="17.25" customHeight="1" spans="1:4">
      <c r="A199" s="15" t="s">
        <v>670</v>
      </c>
      <c r="B199" s="15" t="s">
        <v>1051</v>
      </c>
      <c r="C199" s="16" t="s">
        <v>1052</v>
      </c>
      <c r="D199" s="15">
        <v>17339</v>
      </c>
    </row>
    <row r="200" ht="17.25" customHeight="1" spans="1:4">
      <c r="A200" s="15" t="s">
        <v>670</v>
      </c>
      <c r="B200" s="15" t="s">
        <v>1053</v>
      </c>
      <c r="C200" s="16" t="s">
        <v>1054</v>
      </c>
      <c r="D200" s="15">
        <v>17112</v>
      </c>
    </row>
    <row r="201" ht="17.25" customHeight="1" spans="1:4">
      <c r="A201" s="15" t="s">
        <v>670</v>
      </c>
      <c r="B201" s="15" t="s">
        <v>1055</v>
      </c>
      <c r="C201" s="16" t="s">
        <v>1056</v>
      </c>
      <c r="D201" s="15">
        <v>17015</v>
      </c>
    </row>
    <row r="202" ht="17.25" customHeight="1" spans="1:4">
      <c r="A202" s="15" t="s">
        <v>670</v>
      </c>
      <c r="B202" s="15" t="s">
        <v>1057</v>
      </c>
      <c r="C202" s="16" t="s">
        <v>1058</v>
      </c>
      <c r="D202" s="15">
        <v>17015</v>
      </c>
    </row>
    <row r="203" ht="17.25" customHeight="1" spans="1:4">
      <c r="A203" s="15" t="s">
        <v>670</v>
      </c>
      <c r="B203" s="15" t="s">
        <v>1059</v>
      </c>
      <c r="C203" s="16" t="s">
        <v>1060</v>
      </c>
      <c r="D203" s="15">
        <v>17015</v>
      </c>
    </row>
    <row r="204" ht="17.25" customHeight="1" spans="1:4">
      <c r="A204" s="15" t="s">
        <v>670</v>
      </c>
      <c r="B204" s="15" t="s">
        <v>1061</v>
      </c>
      <c r="C204" s="16" t="s">
        <v>1062</v>
      </c>
      <c r="D204" s="15">
        <v>17013</v>
      </c>
    </row>
    <row r="205" ht="17.25" customHeight="1" spans="1:4">
      <c r="A205" s="15" t="s">
        <v>670</v>
      </c>
      <c r="B205" s="17" t="s">
        <v>1063</v>
      </c>
      <c r="C205" s="18" t="s">
        <v>1064</v>
      </c>
      <c r="D205" s="17">
        <v>15205</v>
      </c>
    </row>
    <row r="206" ht="17.25" customHeight="1" spans="1:4">
      <c r="A206" s="15" t="s">
        <v>1065</v>
      </c>
      <c r="B206" s="17"/>
      <c r="C206" s="18" t="s">
        <v>1066</v>
      </c>
      <c r="D206" s="17">
        <v>12183</v>
      </c>
    </row>
    <row r="207" ht="17.25" customHeight="1" spans="1:4">
      <c r="A207" s="15" t="s">
        <v>761</v>
      </c>
      <c r="B207" s="17" t="s">
        <v>1067</v>
      </c>
      <c r="C207" s="18" t="s">
        <v>1068</v>
      </c>
      <c r="D207" s="17">
        <v>11714</v>
      </c>
    </row>
    <row r="208" ht="17.25" customHeight="1" spans="1:4">
      <c r="A208" s="15" t="s">
        <v>998</v>
      </c>
      <c r="B208" s="17"/>
      <c r="C208" s="18" t="s">
        <v>1069</v>
      </c>
      <c r="D208" s="17">
        <v>11232</v>
      </c>
    </row>
    <row r="209" ht="17.25" customHeight="1" spans="1:4">
      <c r="A209" s="15" t="s">
        <v>761</v>
      </c>
      <c r="B209" s="17" t="s">
        <v>1070</v>
      </c>
      <c r="C209" s="18" t="s">
        <v>1071</v>
      </c>
      <c r="D209" s="17">
        <v>10001</v>
      </c>
    </row>
    <row r="210" ht="17.25" customHeight="1" spans="1:4">
      <c r="A210" s="15" t="s">
        <v>1072</v>
      </c>
      <c r="B210" s="15" t="s">
        <v>1073</v>
      </c>
      <c r="C210" s="16" t="s">
        <v>1074</v>
      </c>
      <c r="D210" s="382" t="s">
        <v>1075</v>
      </c>
    </row>
    <row r="211" ht="17.25" customHeight="1" spans="1:4">
      <c r="A211" s="21" t="s">
        <v>1072</v>
      </c>
      <c r="B211" s="21" t="s">
        <v>1076</v>
      </c>
      <c r="C211" s="22" t="s">
        <v>1077</v>
      </c>
      <c r="D211" s="383" t="s">
        <v>1078</v>
      </c>
    </row>
    <row r="212" ht="17.25" customHeight="1" spans="1:4">
      <c r="A212" s="15" t="s">
        <v>1072</v>
      </c>
      <c r="B212" s="17" t="s">
        <v>1079</v>
      </c>
      <c r="C212" s="18" t="s">
        <v>1080</v>
      </c>
      <c r="D212" s="384" t="s">
        <v>1081</v>
      </c>
    </row>
    <row r="213" ht="17.25" customHeight="1" spans="1:4">
      <c r="A213" s="15" t="s">
        <v>1072</v>
      </c>
      <c r="B213" s="15">
        <v>2017</v>
      </c>
      <c r="C213" s="16" t="s">
        <v>1082</v>
      </c>
      <c r="D213" s="382" t="s">
        <v>1083</v>
      </c>
    </row>
    <row r="214" ht="17.25" customHeight="1" spans="1:4">
      <c r="A214" s="15" t="s">
        <v>1072</v>
      </c>
      <c r="B214" s="17" t="s">
        <v>1084</v>
      </c>
      <c r="C214" s="18" t="s">
        <v>1085</v>
      </c>
      <c r="D214" s="384" t="s">
        <v>1086</v>
      </c>
    </row>
    <row r="215" ht="17.25" customHeight="1" spans="1:4">
      <c r="A215" s="15" t="s">
        <v>1072</v>
      </c>
      <c r="B215" s="17" t="s">
        <v>1087</v>
      </c>
      <c r="C215" s="18" t="s">
        <v>1088</v>
      </c>
      <c r="D215" s="384" t="s">
        <v>1089</v>
      </c>
    </row>
    <row r="216" ht="17.25" customHeight="1" spans="1:4">
      <c r="A216" s="15" t="s">
        <v>1072</v>
      </c>
      <c r="B216" s="17" t="s">
        <v>1090</v>
      </c>
      <c r="C216" s="18" t="s">
        <v>1091</v>
      </c>
      <c r="D216" s="384" t="s">
        <v>1089</v>
      </c>
    </row>
    <row r="217" ht="17.25" customHeight="1" spans="1:4">
      <c r="A217" s="15" t="s">
        <v>1072</v>
      </c>
      <c r="B217" s="17" t="s">
        <v>1092</v>
      </c>
      <c r="C217" s="18" t="s">
        <v>1093</v>
      </c>
      <c r="D217" s="384" t="s">
        <v>1094</v>
      </c>
    </row>
    <row r="218" ht="17.25" customHeight="1" spans="1:4">
      <c r="A218" s="15" t="s">
        <v>1072</v>
      </c>
      <c r="B218" s="17" t="s">
        <v>1095</v>
      </c>
      <c r="C218" s="18" t="s">
        <v>1096</v>
      </c>
      <c r="D218" s="384" t="s">
        <v>1094</v>
      </c>
    </row>
    <row r="219" ht="17.25" customHeight="1" spans="1:4">
      <c r="A219" s="15" t="s">
        <v>1097</v>
      </c>
      <c r="B219" s="17" t="s">
        <v>1098</v>
      </c>
      <c r="C219" s="18" t="s">
        <v>1099</v>
      </c>
      <c r="D219" s="384" t="s">
        <v>1100</v>
      </c>
    </row>
    <row r="220" ht="17.25" customHeight="1" spans="1:4">
      <c r="A220" s="15" t="s">
        <v>1097</v>
      </c>
      <c r="B220" s="15" t="s">
        <v>1101</v>
      </c>
      <c r="C220" s="16" t="s">
        <v>1102</v>
      </c>
      <c r="D220" s="382" t="s">
        <v>1103</v>
      </c>
    </row>
    <row r="221" ht="17.25" customHeight="1" spans="1:4">
      <c r="A221" s="15" t="s">
        <v>1104</v>
      </c>
      <c r="B221" s="15" t="s">
        <v>1105</v>
      </c>
      <c r="C221" s="16" t="s">
        <v>1106</v>
      </c>
      <c r="D221" s="382" t="s">
        <v>1107</v>
      </c>
    </row>
    <row r="222" ht="17.25" customHeight="1" spans="1:4">
      <c r="A222" s="15" t="s">
        <v>1108</v>
      </c>
      <c r="B222" s="15" t="s">
        <v>1109</v>
      </c>
      <c r="C222" s="16" t="s">
        <v>1110</v>
      </c>
      <c r="D222" s="382" t="s">
        <v>1111</v>
      </c>
    </row>
    <row r="223" ht="17.25" customHeight="1" spans="1:4">
      <c r="A223" s="15" t="s">
        <v>1108</v>
      </c>
      <c r="B223" s="17" t="s">
        <v>1112</v>
      </c>
      <c r="C223" s="18" t="s">
        <v>1113</v>
      </c>
      <c r="D223" s="384" t="s">
        <v>1114</v>
      </c>
    </row>
    <row r="224" ht="17.25" customHeight="1" spans="1:4">
      <c r="A224" s="15" t="s">
        <v>1108</v>
      </c>
      <c r="B224" s="17" t="s">
        <v>1115</v>
      </c>
      <c r="C224" s="18" t="s">
        <v>1113</v>
      </c>
      <c r="D224" s="384" t="s">
        <v>1114</v>
      </c>
    </row>
    <row r="225" ht="17.25" customHeight="1" spans="1:4">
      <c r="A225" s="15" t="s">
        <v>1108</v>
      </c>
      <c r="B225" s="17" t="s">
        <v>1116</v>
      </c>
      <c r="C225" s="18" t="s">
        <v>1117</v>
      </c>
      <c r="D225" s="384" t="s">
        <v>1118</v>
      </c>
    </row>
    <row r="226" ht="17.25" customHeight="1" spans="1:4">
      <c r="A226" s="15" t="s">
        <v>1108</v>
      </c>
      <c r="B226" s="17" t="s">
        <v>1119</v>
      </c>
      <c r="C226" s="18" t="s">
        <v>1120</v>
      </c>
      <c r="D226" s="384" t="s">
        <v>1121</v>
      </c>
    </row>
    <row r="227" ht="17.25" customHeight="1" spans="1:4">
      <c r="A227" s="15" t="s">
        <v>678</v>
      </c>
      <c r="B227" s="15">
        <v>2017</v>
      </c>
      <c r="C227" s="16" t="s">
        <v>1122</v>
      </c>
      <c r="D227" s="15"/>
    </row>
    <row r="228" ht="17.25" customHeight="1" spans="1:4">
      <c r="A228" s="15" t="s">
        <v>952</v>
      </c>
      <c r="B228" s="17" t="s">
        <v>1123</v>
      </c>
      <c r="C228" s="18" t="s">
        <v>1124</v>
      </c>
      <c r="D228" s="17"/>
    </row>
    <row r="229" ht="17.25" customHeight="1" spans="1:4">
      <c r="A229" s="15" t="s">
        <v>1065</v>
      </c>
      <c r="B229" s="17" t="s">
        <v>1125</v>
      </c>
      <c r="C229" s="18" t="s">
        <v>1126</v>
      </c>
      <c r="D229" s="17"/>
    </row>
    <row r="230" ht="17.25" customHeight="1" spans="1:4">
      <c r="A230" s="15" t="s">
        <v>1065</v>
      </c>
      <c r="B230" s="17" t="s">
        <v>1127</v>
      </c>
      <c r="C230" s="18" t="s">
        <v>1126</v>
      </c>
      <c r="D230" s="17"/>
    </row>
    <row r="231" ht="17.25" customHeight="1" spans="1:4">
      <c r="A231" s="15" t="s">
        <v>678</v>
      </c>
      <c r="B231" s="19" t="s">
        <v>1128</v>
      </c>
      <c r="C231" s="20" t="s">
        <v>1129</v>
      </c>
      <c r="D231" s="19"/>
    </row>
    <row r="232" ht="17.25" customHeight="1" spans="1:4">
      <c r="A232" s="15" t="s">
        <v>678</v>
      </c>
      <c r="B232" s="19" t="s">
        <v>1130</v>
      </c>
      <c r="C232" s="20" t="s">
        <v>1131</v>
      </c>
      <c r="D232" s="19"/>
    </row>
    <row r="233" ht="17.25" customHeight="1" spans="1:4">
      <c r="A233" s="15" t="s">
        <v>790</v>
      </c>
      <c r="B233" s="15" t="s">
        <v>1132</v>
      </c>
      <c r="C233" s="16" t="s">
        <v>1133</v>
      </c>
      <c r="D233" s="15"/>
    </row>
    <row r="234" ht="17.25" customHeight="1" spans="1:4">
      <c r="A234" s="15" t="s">
        <v>969</v>
      </c>
      <c r="B234" s="17" t="s">
        <v>1134</v>
      </c>
      <c r="C234" s="18" t="s">
        <v>1135</v>
      </c>
      <c r="D234" s="17"/>
    </row>
    <row r="235" ht="17.25" customHeight="1" spans="1:4">
      <c r="A235" s="15" t="s">
        <v>890</v>
      </c>
      <c r="B235" s="17" t="s">
        <v>1136</v>
      </c>
      <c r="C235" s="18" t="s">
        <v>1137</v>
      </c>
      <c r="D235" s="17"/>
    </row>
    <row r="236" ht="17.25" customHeight="1" spans="1:4">
      <c r="A236" s="15" t="s">
        <v>1021</v>
      </c>
      <c r="B236" s="17" t="s">
        <v>1138</v>
      </c>
      <c r="C236" s="18" t="s">
        <v>1139</v>
      </c>
      <c r="D236" s="17"/>
    </row>
    <row r="237" ht="17.25" customHeight="1" spans="1:4">
      <c r="A237" s="15" t="s">
        <v>870</v>
      </c>
      <c r="B237" s="17" t="s">
        <v>1140</v>
      </c>
      <c r="C237" s="18" t="s">
        <v>1141</v>
      </c>
      <c r="D237" s="17"/>
    </row>
    <row r="238" ht="17.25" customHeight="1" spans="1:4">
      <c r="A238" s="15" t="s">
        <v>903</v>
      </c>
      <c r="B238" s="17" t="s">
        <v>1142</v>
      </c>
      <c r="C238" s="18" t="s">
        <v>1143</v>
      </c>
      <c r="D238" s="17"/>
    </row>
    <row r="239" ht="17.25" customHeight="1" spans="1:4">
      <c r="A239" s="15" t="s">
        <v>939</v>
      </c>
      <c r="B239" s="17" t="s">
        <v>1144</v>
      </c>
      <c r="C239" s="18" t="s">
        <v>1145</v>
      </c>
      <c r="D239" s="17"/>
    </row>
    <row r="240" ht="17.25" customHeight="1" spans="1:4">
      <c r="A240" s="15" t="s">
        <v>790</v>
      </c>
      <c r="B240" s="17" t="s">
        <v>1146</v>
      </c>
      <c r="C240" s="18" t="s">
        <v>1147</v>
      </c>
      <c r="D240" s="17"/>
    </row>
    <row r="241" ht="17.25" customHeight="1" spans="1:4">
      <c r="A241" s="15" t="s">
        <v>790</v>
      </c>
      <c r="B241" s="17" t="s">
        <v>1148</v>
      </c>
      <c r="C241" s="18" t="s">
        <v>1149</v>
      </c>
      <c r="D241" s="17"/>
    </row>
    <row r="242" ht="17.25" customHeight="1" spans="1:4">
      <c r="A242" s="15" t="s">
        <v>1009</v>
      </c>
      <c r="B242" s="17" t="s">
        <v>1150</v>
      </c>
      <c r="C242" s="18" t="s">
        <v>1151</v>
      </c>
      <c r="D242" s="17"/>
    </row>
    <row r="243" ht="17.25" customHeight="1" spans="1:4">
      <c r="A243" s="15" t="s">
        <v>1009</v>
      </c>
      <c r="B243" s="17" t="s">
        <v>1152</v>
      </c>
      <c r="C243" s="18" t="s">
        <v>1153</v>
      </c>
      <c r="D243" s="17"/>
    </row>
  </sheetData>
  <sheetProtection password="CCF5" sheet="1"/>
  <pageMargins left="0.7" right="0.7" top="0.75" bottom="0.75" header="0.3" footer="0.3"/>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23">
    <tabColor rgb="FF7030A0"/>
  </sheetPr>
  <dimension ref="A1:F30"/>
  <sheetViews>
    <sheetView workbookViewId="0">
      <selection activeCell="E6" sqref="E6"/>
    </sheetView>
  </sheetViews>
  <sheetFormatPr defaultColWidth="9" defaultRowHeight="13.5" outlineLevelCol="5"/>
  <cols>
    <col min="1" max="6" width="15.5350877192982" style="2" customWidth="1"/>
    <col min="7" max="16384" width="9" style="2"/>
  </cols>
  <sheetData>
    <row r="1" ht="23.15" spans="1:6">
      <c r="C1" s="3" t="s">
        <v>1154</v>
      </c>
    </row>
    <row r="2" spans="1:6">
      <c r="A2" s="2" t="s">
        <v>1155</v>
      </c>
    </row>
    <row r="3" spans="1:6">
      <c r="A3" s="2" t="s">
        <v>1156</v>
      </c>
    </row>
    <row r="4" spans="1:6">
      <c r="A4" s="2" t="s">
        <v>1157</v>
      </c>
    </row>
    <row r="5" ht="25.5" customHeight="1" spans="1:6">
      <c r="A5" s="4" t="s">
        <v>1158</v>
      </c>
      <c r="B5" s="5"/>
      <c r="C5" s="5"/>
      <c r="D5" s="5"/>
      <c r="E5" s="5"/>
      <c r="F5" s="5"/>
    </row>
    <row r="6" ht="17.25" customHeight="1" spans="1:6">
      <c r="A6" s="6" t="s">
        <v>1159</v>
      </c>
      <c r="B6" s="6" t="s">
        <v>1160</v>
      </c>
      <c r="C6" s="6" t="s">
        <v>1161</v>
      </c>
      <c r="D6" s="6" t="s">
        <v>1162</v>
      </c>
      <c r="E6" s="6" t="s">
        <v>1163</v>
      </c>
      <c r="F6" s="6" t="s">
        <v>1164</v>
      </c>
    </row>
    <row r="7" ht="17.25" customHeight="1" spans="1:6">
      <c r="A7" s="6" t="s">
        <v>1165</v>
      </c>
      <c r="B7" s="6" t="s">
        <v>1165</v>
      </c>
      <c r="C7" s="6" t="s">
        <v>1166</v>
      </c>
      <c r="D7" s="6" t="s">
        <v>1167</v>
      </c>
      <c r="E7" s="6" t="s">
        <v>1168</v>
      </c>
      <c r="F7" s="6" t="s">
        <v>1169</v>
      </c>
    </row>
    <row r="8" ht="17.25" customHeight="1" spans="1:6">
      <c r="A8" s="6" t="s">
        <v>1170</v>
      </c>
      <c r="B8" s="6" t="s">
        <v>1171</v>
      </c>
      <c r="C8" s="6"/>
      <c r="D8" s="6"/>
      <c r="E8" s="6"/>
      <c r="F8" s="6"/>
    </row>
    <row r="9" ht="21.75" customHeight="1" spans="1:6">
      <c r="A9" s="4" t="s">
        <v>1172</v>
      </c>
      <c r="B9" s="5"/>
      <c r="C9" s="5"/>
      <c r="D9" s="5"/>
      <c r="E9" s="5"/>
      <c r="F9" s="5"/>
    </row>
    <row r="10" ht="17.25" customHeight="1" spans="1:6">
      <c r="A10" s="6" t="s">
        <v>1173</v>
      </c>
      <c r="B10" s="6" t="s">
        <v>1174</v>
      </c>
      <c r="C10" s="6" t="s">
        <v>1175</v>
      </c>
      <c r="D10" s="6" t="s">
        <v>1176</v>
      </c>
      <c r="E10" s="6" t="s">
        <v>1177</v>
      </c>
      <c r="F10" s="6" t="s">
        <v>1178</v>
      </c>
    </row>
    <row r="11" ht="17.25" customHeight="1" spans="1:6">
      <c r="A11" s="6" t="s">
        <v>1179</v>
      </c>
      <c r="B11" s="6" t="s">
        <v>1177</v>
      </c>
      <c r="C11" s="6" t="s">
        <v>1180</v>
      </c>
      <c r="D11" s="6" t="s">
        <v>1181</v>
      </c>
      <c r="E11" s="6" t="s">
        <v>1182</v>
      </c>
      <c r="F11" s="6" t="s">
        <v>1183</v>
      </c>
    </row>
    <row r="12" ht="17.25" customHeight="1" spans="1:6">
      <c r="A12" s="6" t="s">
        <v>1184</v>
      </c>
      <c r="B12" s="6" t="s">
        <v>1185</v>
      </c>
      <c r="C12" s="6" t="s">
        <v>1186</v>
      </c>
      <c r="D12" s="6" t="s">
        <v>1187</v>
      </c>
      <c r="E12" s="6" t="s">
        <v>1188</v>
      </c>
      <c r="F12" s="6" t="s">
        <v>1189</v>
      </c>
    </row>
    <row r="13" ht="17.25" customHeight="1" spans="1:6">
      <c r="A13" s="6" t="s">
        <v>1190</v>
      </c>
      <c r="B13" s="6" t="s">
        <v>1191</v>
      </c>
      <c r="C13" s="6" t="s">
        <v>1192</v>
      </c>
      <c r="D13" s="6" t="s">
        <v>1193</v>
      </c>
      <c r="E13" s="6"/>
      <c r="F13" s="6"/>
    </row>
    <row r="14" ht="22.5" customHeight="1" spans="1:6">
      <c r="A14" s="4" t="s">
        <v>1194</v>
      </c>
      <c r="B14" s="5"/>
      <c r="C14" s="5"/>
      <c r="D14" s="5"/>
      <c r="E14" s="5"/>
      <c r="F14" s="5"/>
    </row>
    <row r="15" ht="16.5" customHeight="1" spans="1:6">
      <c r="A15" s="6" t="s">
        <v>1195</v>
      </c>
      <c r="B15" s="6" t="s">
        <v>1196</v>
      </c>
      <c r="C15" s="6" t="s">
        <v>1197</v>
      </c>
      <c r="D15" s="6" t="s">
        <v>1198</v>
      </c>
      <c r="E15" s="6" t="s">
        <v>1199</v>
      </c>
      <c r="F15" s="6" t="s">
        <v>1200</v>
      </c>
    </row>
    <row r="16" ht="16.5" customHeight="1" spans="1:6">
      <c r="A16" s="6" t="s">
        <v>1201</v>
      </c>
      <c r="B16" s="6" t="s">
        <v>1202</v>
      </c>
      <c r="C16" s="6" t="s">
        <v>1203</v>
      </c>
      <c r="D16" s="6" t="s">
        <v>1204</v>
      </c>
      <c r="E16" s="6" t="s">
        <v>1205</v>
      </c>
      <c r="F16" s="6" t="s">
        <v>1206</v>
      </c>
    </row>
    <row r="17" ht="16.5" customHeight="1" spans="1:6">
      <c r="A17" s="6" t="s">
        <v>1207</v>
      </c>
      <c r="B17" s="6" t="s">
        <v>1208</v>
      </c>
      <c r="C17" s="6" t="s">
        <v>1209</v>
      </c>
      <c r="D17" s="6" t="s">
        <v>1210</v>
      </c>
      <c r="E17" s="6" t="s">
        <v>1211</v>
      </c>
      <c r="F17" s="6" t="s">
        <v>1212</v>
      </c>
    </row>
    <row r="18" ht="16.5" customHeight="1" spans="1:6">
      <c r="A18" s="6" t="s">
        <v>1213</v>
      </c>
      <c r="B18" s="6" t="s">
        <v>1214</v>
      </c>
      <c r="C18" s="6" t="s">
        <v>1215</v>
      </c>
      <c r="D18" s="6" t="s">
        <v>1216</v>
      </c>
      <c r="E18" s="6" t="s">
        <v>1217</v>
      </c>
      <c r="F18" s="6" t="s">
        <v>1218</v>
      </c>
    </row>
    <row r="19" ht="16.5" customHeight="1" spans="1:6">
      <c r="A19" s="6" t="s">
        <v>1219</v>
      </c>
      <c r="B19" s="6" t="s">
        <v>1220</v>
      </c>
      <c r="C19" s="6" t="s">
        <v>1221</v>
      </c>
      <c r="D19" s="6" t="s">
        <v>1222</v>
      </c>
      <c r="E19" s="6" t="s">
        <v>1223</v>
      </c>
      <c r="F19" s="6" t="s">
        <v>1224</v>
      </c>
    </row>
    <row r="20" ht="16.5" customHeight="1" spans="1:6">
      <c r="A20" s="6" t="s">
        <v>1225</v>
      </c>
      <c r="B20" s="6" t="s">
        <v>1226</v>
      </c>
      <c r="C20" s="6" t="s">
        <v>1227</v>
      </c>
      <c r="D20" s="6" t="s">
        <v>1228</v>
      </c>
      <c r="E20" s="6" t="s">
        <v>1229</v>
      </c>
      <c r="F20" s="6" t="s">
        <v>1230</v>
      </c>
    </row>
    <row r="21" ht="16.5" customHeight="1" spans="1:6">
      <c r="A21" s="6" t="s">
        <v>1231</v>
      </c>
      <c r="B21" s="6"/>
      <c r="C21" s="6"/>
      <c r="D21" s="6"/>
      <c r="E21" s="6"/>
      <c r="F21" s="6"/>
    </row>
    <row r="22" ht="23.25" customHeight="1" spans="1:6">
      <c r="A22" s="7" t="s">
        <v>1232</v>
      </c>
      <c r="B22" s="5"/>
      <c r="C22" s="5"/>
      <c r="D22" s="5"/>
      <c r="E22" s="5"/>
      <c r="F22" s="5"/>
    </row>
    <row r="23" ht="17.25" customHeight="1" spans="1:6">
      <c r="A23" s="6" t="s">
        <v>1233</v>
      </c>
      <c r="B23" s="6" t="s">
        <v>1234</v>
      </c>
      <c r="C23" s="6" t="s">
        <v>1235</v>
      </c>
      <c r="D23" s="6" t="s">
        <v>1236</v>
      </c>
      <c r="E23" s="6" t="s">
        <v>1237</v>
      </c>
      <c r="F23" s="6" t="s">
        <v>1238</v>
      </c>
    </row>
    <row r="24" ht="17.25" customHeight="1" spans="1:6">
      <c r="A24" s="6" t="s">
        <v>1239</v>
      </c>
      <c r="B24" s="6" t="s">
        <v>1240</v>
      </c>
      <c r="C24" s="6" t="s">
        <v>1241</v>
      </c>
      <c r="D24" s="6" t="s">
        <v>1242</v>
      </c>
      <c r="E24" s="6" t="s">
        <v>1243</v>
      </c>
      <c r="F24" s="6" t="s">
        <v>1244</v>
      </c>
    </row>
    <row r="25" ht="17.25" customHeight="1" spans="1:6">
      <c r="A25" s="6" t="s">
        <v>1245</v>
      </c>
      <c r="B25" s="6" t="s">
        <v>1246</v>
      </c>
      <c r="C25" s="6" t="s">
        <v>1247</v>
      </c>
      <c r="D25" s="6" t="s">
        <v>1248</v>
      </c>
      <c r="E25" s="6" t="s">
        <v>1249</v>
      </c>
      <c r="F25" s="6" t="s">
        <v>1250</v>
      </c>
    </row>
    <row r="26" ht="17.25" customHeight="1" spans="1:6">
      <c r="A26" s="6" t="s">
        <v>1251</v>
      </c>
      <c r="B26" s="6" t="s">
        <v>1252</v>
      </c>
      <c r="C26" s="6"/>
      <c r="D26" s="6"/>
      <c r="E26" s="6"/>
      <c r="F26" s="6"/>
    </row>
    <row r="27" ht="23.25" customHeight="1" spans="1:6">
      <c r="A27" s="7" t="s">
        <v>1253</v>
      </c>
      <c r="B27" s="5"/>
      <c r="C27" s="5"/>
      <c r="D27" s="5"/>
      <c r="E27" s="5"/>
      <c r="F27" s="5"/>
    </row>
    <row r="28" ht="15.75" customHeight="1" spans="1:6">
      <c r="A28" s="6" t="s">
        <v>1254</v>
      </c>
      <c r="B28" s="6" t="s">
        <v>1255</v>
      </c>
      <c r="C28" s="6" t="s">
        <v>1256</v>
      </c>
      <c r="D28" s="6" t="s">
        <v>1257</v>
      </c>
      <c r="E28" s="6" t="s">
        <v>1258</v>
      </c>
      <c r="F28" s="6" t="s">
        <v>1259</v>
      </c>
    </row>
    <row r="29" ht="15.75" customHeight="1" spans="1:6">
      <c r="A29" s="6" t="s">
        <v>1260</v>
      </c>
      <c r="B29" s="6" t="s">
        <v>1261</v>
      </c>
      <c r="C29" s="6" t="s">
        <v>1262</v>
      </c>
      <c r="D29" s="6"/>
      <c r="E29" s="6"/>
      <c r="F29" s="6"/>
    </row>
    <row r="30" ht="34.5" customHeight="1" spans="1:6">
      <c r="A30" s="8" t="s">
        <v>1263</v>
      </c>
      <c r="B30" s="8"/>
      <c r="C30" s="8"/>
      <c r="D30" s="8"/>
      <c r="E30" s="8"/>
      <c r="F30" s="8"/>
    </row>
  </sheetData>
  <sheetProtection password="CCF5" sheet="1"/>
  <mergeCells count="1">
    <mergeCell ref="A30:F30"/>
  </mergeCell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24"/>
  <dimension ref="A1:F15"/>
  <sheetViews>
    <sheetView workbookViewId="0">
      <selection activeCell="E6" sqref="E6"/>
    </sheetView>
  </sheetViews>
  <sheetFormatPr defaultColWidth="9" defaultRowHeight="13.5" outlineLevelCol="5"/>
  <cols>
    <col min="1" max="2" width="11.6666666666667" customWidth="1"/>
    <col min="3" max="3" width="12.5350877192982" customWidth="1"/>
    <col min="4" max="4" width="13.3947368421053" customWidth="1"/>
    <col min="5" max="5" width="9.53508771929824" customWidth="1"/>
    <col min="6" max="6" width="10.2631578947368" customWidth="1"/>
  </cols>
  <sheetData>
    <row r="1" ht="16.5" customHeight="1" spans="1:6">
      <c r="A1" t="s">
        <v>1264</v>
      </c>
    </row>
    <row r="2" ht="16.5" customHeight="1" spans="1:6">
      <c r="A2" t="s">
        <v>1265</v>
      </c>
    </row>
    <row r="3" ht="16.5" customHeight="1" spans="1:6">
      <c r="A3" t="s">
        <v>1266</v>
      </c>
    </row>
    <row r="4" ht="16.5" customHeight="1" spans="1:6">
      <c r="A4" t="s">
        <v>1267</v>
      </c>
    </row>
    <row r="5" ht="16.5" customHeight="1" spans="1:6">
      <c r="A5" t="s">
        <v>1268</v>
      </c>
    </row>
    <row r="6" ht="16.5" customHeight="1" spans="1:6">
      <c r="A6" t="s">
        <v>1269</v>
      </c>
    </row>
    <row r="7" ht="16.5" customHeight="1" spans="1:6">
      <c r="A7" t="s">
        <v>1270</v>
      </c>
    </row>
    <row r="8" ht="16.5" customHeight="1" spans="1:6">
      <c r="A8" t="s">
        <v>1271</v>
      </c>
    </row>
    <row r="9" ht="20.25" customHeight="1" spans="1:6">
      <c r="A9" t="s">
        <v>47</v>
      </c>
      <c r="B9" s="1"/>
      <c r="C9" s="1"/>
      <c r="D9" s="1"/>
      <c r="E9" s="1"/>
      <c r="F9" s="1"/>
    </row>
    <row r="10" ht="16.5" customHeight="1" spans="1:6">
      <c r="A10" t="s">
        <v>51</v>
      </c>
    </row>
    <row r="11" ht="16.5" customHeight="1" spans="1:6">
      <c r="A11" t="s">
        <v>1272</v>
      </c>
    </row>
    <row r="12" ht="16.5" customHeight="1" spans="1:6">
      <c r="A12" t="s">
        <v>55</v>
      </c>
    </row>
    <row r="13" ht="16.5" customHeight="1" spans="1:6">
      <c r="A13" t="s">
        <v>1273</v>
      </c>
    </row>
    <row r="14" ht="16.5" customHeight="1"/>
    <row r="15" ht="16.5" customHeight="1"/>
  </sheetData>
  <sheetProtection formatCells="0" formatColumns="0" formatRows="0" insertRows="0" insertColumns="0" insertHyperlinks="0" deleteColumns="0" deleteRows="0" sort="0" autoFilter="0" pivotTables="0"/>
  <hyperlinks>
    <hyperlink ref="A10" location="空派综合报价!A1" display="美国空派-经济线"/>
    <hyperlink ref="A13" location="空派超大件报价!A1" display="美国空派-超大件"/>
    <hyperlink ref="A9" location="空派综合报价!A1" display="美国空派-快线不带电"/>
  </hyperlink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1" master="" otherUserPermission="visible"/>
  <rangeList sheetStid="31" master="" otherUserPermission="edit"/>
  <rangeList sheetStid="2" master="" otherUserPermission="visible"/>
  <rangeList sheetStid="33" master="" otherUserPermission="edit"/>
  <rangeList sheetStid="43" master="" otherUserPermission="edit"/>
  <rangeList sheetStid="39" master="" otherUserPermission="edit"/>
  <rangeList sheetStid="47" master="" otherUserPermission="edit"/>
  <rangeList sheetStid="50" master="" otherUserPermission="edit"/>
  <rangeList sheetStid="26" master="" otherUserPermission="visible"/>
  <rangeList sheetStid="11" master="" otherUserPermission="edit"/>
  <rangeList sheetStid="3" master="" otherUserPermission="visible"/>
  <rangeList sheetStid="12" master="" otherUserPermission="visible"/>
  <rangeList sheetStid="13" master="" otherUserPermission="visible"/>
  <rangeList sheetStid="14" master="" otherUserPermission="visible"/>
  <rangeList sheetStid="15" master="" otherUserPermission="visible"/>
</allowEditUser>
</file>

<file path=customXml/item2.xml>����Vzz>m-�_�~&^5uzz>m�~T�b�N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customXml/itemProps4.xml><?xml version="1.0" encoding="utf-8"?>
<ds:datastoreItem xmlns:ds="http://schemas.openxmlformats.org/officeDocument/2006/customXml" ds:itemID="{A02B7E37-CEC0-4786-9FA4-411A3DC59612}">
  <ds:schemaRefs/>
</ds:datastoreItem>
</file>

<file path=docProps/app.xml><?xml version="1.0" encoding="utf-8"?>
<Properties xmlns="http://schemas.openxmlformats.org/officeDocument/2006/extended-properties" xmlns:vt="http://schemas.openxmlformats.org/officeDocument/2006/docPropsVTypes">
  <Company>ITMG</Company>
  <Application>WPS Office WWO_wpscloud_20251010183206-22817e2cf8</Application>
  <HeadingPairs>
    <vt:vector size="2" baseType="variant">
      <vt:variant>
        <vt:lpstr>工作表</vt:lpstr>
      </vt:variant>
      <vt:variant>
        <vt:i4>15</vt:i4>
      </vt:variant>
    </vt:vector>
  </HeadingPairs>
  <TitlesOfParts>
    <vt:vector size="15" baseType="lpstr">
      <vt:lpstr>首页价格目录</vt:lpstr>
      <vt:lpstr>航空表</vt:lpstr>
      <vt:lpstr>通讯录</vt:lpstr>
      <vt:lpstr>空派综合报价</vt:lpstr>
      <vt:lpstr>荣耀超大件空运快递报价</vt:lpstr>
      <vt:lpstr>空卡超大件卡车报价</vt:lpstr>
      <vt:lpstr>UPS-MIA</vt:lpstr>
      <vt:lpstr>GA公布价</vt:lpstr>
      <vt:lpstr>海外仓收费标准</vt:lpstr>
      <vt:lpstr>美国专线--发票样板</vt:lpstr>
      <vt:lpstr>拒收产品目录</vt:lpstr>
      <vt:lpstr>美国反倾销列表</vt:lpstr>
      <vt:lpstr>美国亚马逊仓库地址</vt:lpstr>
      <vt:lpstr>常见带磁货物列表</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PSGJ客服</cp:lastModifiedBy>
  <dcterms:created xsi:type="dcterms:W3CDTF">2017-09-29T09:38:00Z</dcterms:created>
  <dcterms:modified xsi:type="dcterms:W3CDTF">2026-04-02T10:01:39Z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false</vt:bool>
  </property>
  <property fmtid="{D5CDD505-2E9C-101B-9397-08002B2CF9AE}" pid="3" name="KSOProductBuildVer">
    <vt:lpwstr>2052-12.1.0.25222</vt:lpwstr>
  </property>
  <property fmtid="{D5CDD505-2E9C-101B-9397-08002B2CF9AE}" pid="4" name="ICV">
    <vt:lpwstr>57929679B5A442CBA0C765B9E24A9134_13</vt:lpwstr>
  </property>
  <property fmtid="{D5CDD505-2E9C-101B-9397-08002B2CF9AE}" pid="5" name="commondata">
    <vt:lpwstr>eyJoZGlkIjoiMTNiNjg2Y2YzMWVjMjIwOGE0OTAyY2I1OTBmZTg3MWYifQ==</vt:lpwstr>
  </property>
  <property fmtid="{D5CDD505-2E9C-101B-9397-08002B2CF9AE}" pid="6" name="CalculationRule">
    <vt:i4>0</vt:i4>
  </property>
</Properties>
</file>